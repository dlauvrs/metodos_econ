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lauvrs/Downloads/"/>
    </mc:Choice>
  </mc:AlternateContent>
  <xr:revisionPtr revIDLastSave="0" documentId="13_ncr:1_{47B29635-C822-3849-A7B3-E4E84A38AFB2}" xr6:coauthVersionLast="47" xr6:coauthVersionMax="47" xr10:uidLastSave="{00000000-0000-0000-0000-000000000000}"/>
  <bookViews>
    <workbookView xWindow="0" yWindow="680" windowWidth="28800" windowHeight="17100" xr2:uid="{F3FC5DE6-CA90-B64E-B89E-5EA7D6073C84}"/>
  </bookViews>
  <sheets>
    <sheet name="Planilha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971" i="1" l="1"/>
  <c r="W2970" i="1"/>
  <c r="W2969" i="1"/>
  <c r="W2968" i="1"/>
  <c r="W2967" i="1"/>
  <c r="W2966" i="1"/>
  <c r="W2965" i="1"/>
  <c r="W2964" i="1"/>
  <c r="W2963" i="1"/>
  <c r="W2962" i="1"/>
  <c r="W2961" i="1"/>
  <c r="W2960" i="1"/>
  <c r="W2959" i="1"/>
  <c r="W2958" i="1"/>
  <c r="W2957" i="1"/>
  <c r="W2956" i="1"/>
  <c r="W2955" i="1"/>
  <c r="W2954" i="1"/>
  <c r="W2953" i="1"/>
  <c r="W2952" i="1"/>
  <c r="W2951" i="1"/>
  <c r="W2950" i="1"/>
  <c r="W2949" i="1"/>
  <c r="W2948" i="1"/>
  <c r="W2947" i="1"/>
  <c r="W2946" i="1"/>
  <c r="W2945" i="1"/>
  <c r="W2944" i="1"/>
  <c r="W2943" i="1"/>
  <c r="W2942" i="1"/>
  <c r="W2941" i="1"/>
  <c r="W2940" i="1"/>
  <c r="W2939" i="1"/>
  <c r="W2938" i="1"/>
  <c r="W2937" i="1"/>
  <c r="W2936" i="1"/>
  <c r="W2935" i="1"/>
  <c r="W2934" i="1"/>
  <c r="W2933" i="1"/>
  <c r="W2932" i="1"/>
  <c r="W2931" i="1"/>
  <c r="W2930" i="1"/>
  <c r="W2929" i="1"/>
  <c r="W2928" i="1"/>
  <c r="W2927" i="1"/>
  <c r="W2926" i="1"/>
  <c r="W2925" i="1"/>
  <c r="W2924" i="1"/>
  <c r="W2923" i="1"/>
  <c r="W2922" i="1"/>
  <c r="W2921" i="1"/>
  <c r="W2920" i="1"/>
  <c r="W2919" i="1"/>
  <c r="W2918" i="1"/>
  <c r="W2917" i="1"/>
  <c r="W2916" i="1"/>
  <c r="W2915" i="1"/>
  <c r="W2914" i="1"/>
  <c r="W2913" i="1"/>
  <c r="W2912" i="1"/>
  <c r="W2911" i="1"/>
  <c r="W2910" i="1"/>
  <c r="W2909" i="1"/>
  <c r="W2908" i="1"/>
  <c r="W2907" i="1"/>
  <c r="W2906" i="1"/>
  <c r="W2905" i="1"/>
  <c r="W2904" i="1"/>
  <c r="W2903" i="1"/>
  <c r="W2902" i="1"/>
  <c r="W2901" i="1"/>
  <c r="W2900" i="1"/>
  <c r="W2899" i="1"/>
  <c r="W2898" i="1"/>
  <c r="W2897" i="1"/>
  <c r="W2896" i="1"/>
  <c r="W2895" i="1"/>
  <c r="W2894" i="1"/>
  <c r="W2893" i="1"/>
  <c r="W2892" i="1"/>
  <c r="W2891" i="1"/>
  <c r="W2890" i="1"/>
  <c r="W2889" i="1"/>
  <c r="W2888" i="1"/>
  <c r="W2887" i="1"/>
  <c r="W2886" i="1"/>
  <c r="W2885" i="1"/>
  <c r="W2884" i="1"/>
  <c r="W2883" i="1"/>
  <c r="W2882" i="1"/>
  <c r="W2881" i="1"/>
  <c r="W2880" i="1"/>
  <c r="W2879" i="1"/>
  <c r="W2878" i="1"/>
  <c r="W2877" i="1"/>
  <c r="W2876" i="1"/>
  <c r="W2875" i="1"/>
  <c r="W2874" i="1"/>
  <c r="W2873" i="1"/>
  <c r="W2872" i="1"/>
  <c r="W2871" i="1"/>
  <c r="W2870" i="1"/>
  <c r="W2869" i="1"/>
  <c r="W2868" i="1"/>
  <c r="W2867" i="1"/>
  <c r="W2866" i="1"/>
  <c r="W2865" i="1"/>
  <c r="W2864" i="1"/>
  <c r="W2863" i="1"/>
  <c r="W2862" i="1"/>
  <c r="W2861" i="1"/>
  <c r="W2860" i="1"/>
  <c r="W2859" i="1"/>
  <c r="W2858" i="1"/>
  <c r="W2857" i="1"/>
  <c r="W2856" i="1"/>
  <c r="W2855" i="1"/>
  <c r="W2854" i="1"/>
  <c r="W2853" i="1"/>
  <c r="W2852" i="1"/>
  <c r="W2851" i="1"/>
  <c r="W2850" i="1"/>
  <c r="W2849" i="1"/>
  <c r="W2848" i="1"/>
  <c r="W2847" i="1"/>
  <c r="W2846" i="1"/>
  <c r="W2845" i="1"/>
  <c r="W2844" i="1"/>
  <c r="W2843" i="1"/>
  <c r="W2842" i="1"/>
  <c r="W2841" i="1"/>
  <c r="W2840" i="1"/>
  <c r="W2839" i="1"/>
  <c r="W2838" i="1"/>
  <c r="W2837" i="1"/>
  <c r="W2836" i="1"/>
  <c r="W2835" i="1"/>
  <c r="W2834" i="1"/>
  <c r="W2833" i="1"/>
  <c r="W2832" i="1"/>
  <c r="W2831" i="1"/>
  <c r="W2830" i="1"/>
  <c r="W2829" i="1"/>
  <c r="W2828" i="1"/>
  <c r="W2827" i="1"/>
  <c r="W2826" i="1"/>
  <c r="W2825" i="1"/>
  <c r="W2824" i="1"/>
  <c r="W2823" i="1"/>
  <c r="W2822" i="1"/>
  <c r="W2821" i="1"/>
  <c r="W2820" i="1"/>
  <c r="W2819" i="1"/>
  <c r="W2818" i="1"/>
  <c r="W2817" i="1"/>
  <c r="W2816" i="1"/>
  <c r="W2815" i="1"/>
  <c r="W2814" i="1"/>
  <c r="W2813" i="1"/>
  <c r="W2812" i="1"/>
  <c r="W2811" i="1"/>
  <c r="W2810" i="1"/>
  <c r="W2809" i="1"/>
  <c r="W2808" i="1"/>
  <c r="W2807" i="1"/>
  <c r="W2806" i="1"/>
  <c r="W2805" i="1"/>
  <c r="W2804" i="1"/>
  <c r="W2803" i="1"/>
  <c r="W2802" i="1"/>
  <c r="W2801" i="1"/>
  <c r="W2800" i="1"/>
  <c r="W2799" i="1"/>
  <c r="W2798" i="1"/>
  <c r="W2797" i="1"/>
  <c r="W2796" i="1"/>
  <c r="W2795" i="1"/>
  <c r="W2794" i="1"/>
  <c r="W2793" i="1"/>
  <c r="W2792" i="1"/>
  <c r="W2791" i="1"/>
  <c r="W2790" i="1"/>
  <c r="W2789" i="1"/>
  <c r="W2788" i="1"/>
  <c r="W2787" i="1"/>
  <c r="W2786" i="1"/>
  <c r="W2785" i="1"/>
  <c r="W2784" i="1"/>
  <c r="W2783" i="1"/>
  <c r="W2782" i="1"/>
  <c r="W2781" i="1"/>
  <c r="W2780" i="1"/>
  <c r="W2779" i="1"/>
  <c r="W2778" i="1"/>
  <c r="W2777" i="1"/>
  <c r="W2776" i="1"/>
  <c r="W2775" i="1"/>
  <c r="W2774" i="1"/>
  <c r="W2773" i="1"/>
  <c r="W2772" i="1"/>
  <c r="W2771" i="1"/>
  <c r="W2770" i="1"/>
  <c r="W2769" i="1"/>
  <c r="W2768" i="1"/>
  <c r="W2767" i="1"/>
  <c r="W2766" i="1"/>
  <c r="W2765" i="1"/>
  <c r="W2764" i="1"/>
  <c r="W2763" i="1"/>
  <c r="W2762" i="1"/>
  <c r="W2761" i="1"/>
  <c r="W2760" i="1"/>
  <c r="W2759" i="1"/>
  <c r="W2758" i="1"/>
  <c r="W2757" i="1"/>
  <c r="W2756" i="1"/>
  <c r="W2755" i="1"/>
  <c r="W2754" i="1"/>
  <c r="W2753" i="1"/>
  <c r="W2752" i="1"/>
  <c r="W2751" i="1"/>
  <c r="W2750" i="1"/>
  <c r="W2749" i="1"/>
  <c r="W2748" i="1"/>
  <c r="W2747" i="1"/>
  <c r="W2746" i="1"/>
  <c r="W2745" i="1"/>
  <c r="W2744" i="1"/>
  <c r="W2743" i="1"/>
  <c r="W2742" i="1"/>
  <c r="W2741" i="1"/>
  <c r="W2740" i="1"/>
  <c r="W2739" i="1"/>
  <c r="W2738" i="1"/>
  <c r="W2737" i="1"/>
  <c r="W2736" i="1"/>
  <c r="W2735" i="1"/>
  <c r="W2734" i="1"/>
  <c r="W2733" i="1"/>
  <c r="W2732" i="1"/>
  <c r="W2731" i="1"/>
  <c r="W2730" i="1"/>
  <c r="W2729" i="1"/>
  <c r="W2728" i="1"/>
  <c r="W2727" i="1"/>
  <c r="W2726" i="1"/>
  <c r="W2725" i="1"/>
  <c r="W2724" i="1"/>
  <c r="W2723" i="1"/>
  <c r="W2722" i="1"/>
  <c r="W2721" i="1"/>
  <c r="W2720" i="1"/>
  <c r="W2719" i="1"/>
  <c r="W2718" i="1"/>
  <c r="W2717" i="1"/>
  <c r="W2716" i="1"/>
  <c r="W2715" i="1"/>
  <c r="W2714" i="1"/>
  <c r="W2713" i="1"/>
  <c r="W2712" i="1"/>
  <c r="W2711" i="1"/>
  <c r="W2710" i="1"/>
  <c r="W2709" i="1"/>
  <c r="W2708" i="1"/>
  <c r="W2707" i="1"/>
  <c r="W2706" i="1"/>
  <c r="W2705" i="1"/>
  <c r="W2704" i="1"/>
  <c r="W2703" i="1"/>
  <c r="W2702" i="1"/>
  <c r="W2701" i="1"/>
  <c r="W2700" i="1"/>
  <c r="W2699" i="1"/>
  <c r="W2698" i="1"/>
  <c r="W2697" i="1"/>
  <c r="W2696" i="1"/>
  <c r="W2695" i="1"/>
  <c r="W2694" i="1"/>
  <c r="W2693" i="1"/>
  <c r="W2692" i="1"/>
  <c r="W2691" i="1"/>
  <c r="W2690" i="1"/>
  <c r="W2689" i="1"/>
  <c r="W2688" i="1"/>
  <c r="W2687" i="1"/>
  <c r="W2686" i="1"/>
  <c r="W2685" i="1"/>
  <c r="W2684" i="1"/>
  <c r="W2683" i="1"/>
  <c r="W2682" i="1"/>
  <c r="W2681" i="1"/>
  <c r="W2680" i="1"/>
  <c r="W2679" i="1"/>
  <c r="W2678" i="1"/>
  <c r="W2677" i="1"/>
  <c r="W2676" i="1"/>
  <c r="W2675" i="1"/>
  <c r="W2674" i="1"/>
  <c r="W2673" i="1"/>
  <c r="W2672" i="1"/>
  <c r="W2671" i="1"/>
  <c r="W2670" i="1"/>
  <c r="W2669" i="1"/>
  <c r="W2668" i="1"/>
  <c r="W2667" i="1"/>
  <c r="W2666" i="1"/>
  <c r="W2665" i="1"/>
  <c r="W2664" i="1"/>
  <c r="W2663" i="1"/>
  <c r="W2662" i="1"/>
  <c r="W2661" i="1"/>
  <c r="W2660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1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604" i="1"/>
  <c r="W2603" i="1"/>
  <c r="W2602" i="1"/>
  <c r="W2601" i="1"/>
  <c r="W2600" i="1"/>
  <c r="W2599" i="1"/>
  <c r="W2598" i="1"/>
  <c r="W2597" i="1"/>
  <c r="W2596" i="1"/>
  <c r="W2595" i="1"/>
  <c r="W2594" i="1"/>
  <c r="W2593" i="1"/>
  <c r="W2592" i="1"/>
  <c r="W2591" i="1"/>
  <c r="W2590" i="1"/>
  <c r="W2589" i="1"/>
  <c r="W2588" i="1"/>
  <c r="W2587" i="1"/>
  <c r="W2586" i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9" i="1"/>
  <c r="W2568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9" i="1"/>
  <c r="W2538" i="1"/>
  <c r="W2537" i="1"/>
  <c r="W2536" i="1"/>
  <c r="W2535" i="1"/>
  <c r="W2534" i="1"/>
  <c r="W2533" i="1"/>
  <c r="W2532" i="1"/>
  <c r="W2531" i="1"/>
  <c r="W2530" i="1"/>
  <c r="W2529" i="1"/>
  <c r="W2528" i="1"/>
  <c r="W2527" i="1"/>
  <c r="W2526" i="1"/>
  <c r="W2525" i="1"/>
  <c r="W2524" i="1"/>
  <c r="W2523" i="1"/>
  <c r="W2522" i="1"/>
  <c r="W2521" i="1"/>
  <c r="W2520" i="1"/>
  <c r="W2519" i="1"/>
  <c r="W2518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75" i="1"/>
  <c r="W2474" i="1"/>
  <c r="W2473" i="1"/>
  <c r="W2472" i="1"/>
  <c r="W2471" i="1"/>
  <c r="W2470" i="1"/>
  <c r="W2469" i="1"/>
  <c r="W2468" i="1"/>
  <c r="W2467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33" i="1"/>
  <c r="W2432" i="1"/>
  <c r="W2431" i="1"/>
  <c r="W2430" i="1"/>
  <c r="W2429" i="1"/>
  <c r="W2428" i="1"/>
  <c r="W2427" i="1"/>
  <c r="W2426" i="1"/>
  <c r="W2425" i="1"/>
  <c r="W2424" i="1"/>
  <c r="W2423" i="1"/>
  <c r="W2422" i="1"/>
  <c r="W2421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72" i="1"/>
  <c r="W2271" i="1"/>
  <c r="W2270" i="1"/>
  <c r="W2269" i="1"/>
  <c r="W2268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1989" i="1"/>
  <c r="W1988" i="1"/>
  <c r="W1987" i="1"/>
  <c r="W1986" i="1"/>
  <c r="W1985" i="1"/>
  <c r="W1984" i="1"/>
  <c r="W1983" i="1"/>
  <c r="W1982" i="1"/>
  <c r="W1981" i="1"/>
  <c r="W1980" i="1"/>
  <c r="W1979" i="1"/>
  <c r="W1978" i="1"/>
  <c r="W1977" i="1"/>
  <c r="W1976" i="1"/>
  <c r="W1975" i="1"/>
  <c r="W1974" i="1"/>
  <c r="W1973" i="1"/>
  <c r="W1972" i="1"/>
  <c r="W1971" i="1"/>
  <c r="W1970" i="1"/>
  <c r="W1969" i="1"/>
  <c r="W1968" i="1"/>
  <c r="W1967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43" i="1"/>
  <c r="W1742" i="1"/>
  <c r="W1741" i="1"/>
  <c r="W1740" i="1"/>
  <c r="W1739" i="1"/>
  <c r="W1738" i="1"/>
  <c r="W1737" i="1"/>
  <c r="W1736" i="1"/>
  <c r="W1735" i="1"/>
  <c r="W1734" i="1"/>
  <c r="W1733" i="1"/>
  <c r="W1732" i="1"/>
  <c r="W1731" i="1"/>
  <c r="W1730" i="1"/>
  <c r="W1729" i="1"/>
  <c r="W1728" i="1"/>
  <c r="W1727" i="1"/>
  <c r="W1726" i="1"/>
  <c r="W1725" i="1"/>
  <c r="W1724" i="1"/>
  <c r="W1723" i="1"/>
  <c r="W1722" i="1"/>
  <c r="W1721" i="1"/>
  <c r="W1720" i="1"/>
  <c r="W1719" i="1"/>
  <c r="W1718" i="1"/>
  <c r="W1717" i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37" i="1"/>
  <c r="W1036" i="1"/>
  <c r="W1035" i="1"/>
  <c r="W1034" i="1"/>
  <c r="W1033" i="1"/>
  <c r="W1032" i="1"/>
  <c r="W1031" i="1"/>
  <c r="W1030" i="1"/>
  <c r="W1029" i="1"/>
  <c r="W1028" i="1"/>
  <c r="W1027" i="1"/>
  <c r="W1026" i="1"/>
  <c r="W1025" i="1"/>
  <c r="W1024" i="1"/>
  <c r="W1023" i="1"/>
  <c r="W1022" i="1"/>
  <c r="W1021" i="1"/>
  <c r="W1020" i="1"/>
  <c r="W1019" i="1"/>
  <c r="W1018" i="1"/>
  <c r="W1017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I2942" i="1" l="1"/>
  <c r="G2942" i="1"/>
  <c r="E2942" i="1"/>
  <c r="C2942" i="1"/>
  <c r="I2941" i="1"/>
  <c r="G2941" i="1"/>
  <c r="E2941" i="1"/>
  <c r="C2941" i="1"/>
  <c r="I2940" i="1"/>
  <c r="G2940" i="1"/>
  <c r="E2940" i="1"/>
  <c r="C2940" i="1"/>
  <c r="I2939" i="1"/>
  <c r="G2939" i="1"/>
  <c r="E2939" i="1"/>
  <c r="C2939" i="1"/>
  <c r="I2938" i="1"/>
  <c r="G2938" i="1"/>
  <c r="E2938" i="1"/>
  <c r="C2938" i="1"/>
  <c r="I2937" i="1"/>
  <c r="G2937" i="1"/>
  <c r="E2937" i="1"/>
  <c r="C2937" i="1"/>
  <c r="I2936" i="1"/>
  <c r="G2936" i="1"/>
  <c r="E2936" i="1"/>
  <c r="C2936" i="1"/>
  <c r="I2935" i="1"/>
  <c r="G2935" i="1"/>
  <c r="E2935" i="1"/>
  <c r="C2935" i="1"/>
  <c r="I2934" i="1"/>
  <c r="G2934" i="1"/>
  <c r="E2934" i="1"/>
  <c r="C2934" i="1"/>
  <c r="I2933" i="1"/>
  <c r="G2933" i="1"/>
  <c r="E2933" i="1"/>
  <c r="C2933" i="1"/>
  <c r="I2932" i="1"/>
  <c r="G2932" i="1"/>
  <c r="E2932" i="1"/>
  <c r="C2932" i="1"/>
  <c r="I2931" i="1"/>
  <c r="G2931" i="1"/>
  <c r="E2931" i="1"/>
  <c r="C2931" i="1"/>
  <c r="I2930" i="1"/>
  <c r="G2930" i="1"/>
  <c r="E2930" i="1"/>
  <c r="C2930" i="1"/>
  <c r="I2929" i="1"/>
  <c r="G2929" i="1"/>
  <c r="E2929" i="1"/>
  <c r="C2929" i="1"/>
  <c r="I2928" i="1"/>
  <c r="G2928" i="1"/>
  <c r="E2928" i="1"/>
  <c r="C2928" i="1"/>
  <c r="I2927" i="1"/>
  <c r="G2927" i="1"/>
  <c r="E2927" i="1"/>
  <c r="C2927" i="1"/>
  <c r="I2926" i="1"/>
  <c r="G2926" i="1"/>
  <c r="E2926" i="1"/>
  <c r="C2926" i="1"/>
  <c r="I2925" i="1"/>
  <c r="G2925" i="1"/>
  <c r="E2925" i="1"/>
  <c r="C2925" i="1"/>
  <c r="I2924" i="1"/>
  <c r="G2924" i="1"/>
  <c r="E2924" i="1"/>
  <c r="C2924" i="1"/>
  <c r="I2923" i="1"/>
  <c r="G2923" i="1"/>
  <c r="E2923" i="1"/>
  <c r="C2923" i="1"/>
  <c r="I2922" i="1"/>
  <c r="G2922" i="1"/>
  <c r="E2922" i="1"/>
  <c r="C2922" i="1"/>
  <c r="I2921" i="1"/>
  <c r="G2921" i="1"/>
  <c r="E2921" i="1"/>
  <c r="C2921" i="1"/>
  <c r="I2920" i="1"/>
  <c r="G2920" i="1"/>
  <c r="E2920" i="1"/>
  <c r="C2920" i="1"/>
  <c r="I2919" i="1"/>
  <c r="G2919" i="1"/>
  <c r="E2919" i="1"/>
  <c r="C2919" i="1"/>
  <c r="I2918" i="1"/>
  <c r="G2918" i="1"/>
  <c r="E2918" i="1"/>
  <c r="C2918" i="1"/>
  <c r="I2917" i="1"/>
  <c r="G2917" i="1"/>
  <c r="E2917" i="1"/>
  <c r="C2917" i="1"/>
  <c r="I2916" i="1"/>
  <c r="G2916" i="1"/>
  <c r="E2916" i="1"/>
  <c r="C2916" i="1"/>
  <c r="I2915" i="1"/>
  <c r="G2915" i="1"/>
  <c r="E2915" i="1"/>
  <c r="C2915" i="1"/>
  <c r="I2914" i="1"/>
  <c r="G2914" i="1"/>
  <c r="E2914" i="1"/>
  <c r="C2914" i="1"/>
  <c r="I2913" i="1"/>
  <c r="G2913" i="1"/>
  <c r="E2913" i="1"/>
  <c r="C2913" i="1"/>
  <c r="I2912" i="1"/>
  <c r="G2912" i="1"/>
  <c r="E2912" i="1"/>
  <c r="C2912" i="1"/>
  <c r="I2911" i="1"/>
  <c r="G2911" i="1"/>
  <c r="E2911" i="1"/>
  <c r="C2911" i="1"/>
  <c r="I2910" i="1"/>
  <c r="G2910" i="1"/>
  <c r="E2910" i="1"/>
  <c r="C2910" i="1"/>
  <c r="I2909" i="1"/>
  <c r="G2909" i="1"/>
  <c r="E2909" i="1"/>
  <c r="C2909" i="1"/>
  <c r="I2908" i="1"/>
  <c r="G2908" i="1"/>
  <c r="E2908" i="1"/>
  <c r="C2908" i="1"/>
  <c r="I2907" i="1"/>
  <c r="G2907" i="1"/>
  <c r="E2907" i="1"/>
  <c r="C2907" i="1"/>
  <c r="I2906" i="1"/>
  <c r="G2906" i="1"/>
  <c r="E2906" i="1"/>
  <c r="C2906" i="1"/>
  <c r="I2905" i="1"/>
  <c r="G2905" i="1"/>
  <c r="E2905" i="1"/>
  <c r="C2905" i="1"/>
  <c r="I2904" i="1"/>
  <c r="G2904" i="1"/>
  <c r="E2904" i="1"/>
  <c r="C2904" i="1"/>
  <c r="I2903" i="1"/>
  <c r="G2903" i="1"/>
  <c r="E2903" i="1"/>
  <c r="C2903" i="1"/>
  <c r="I2902" i="1"/>
  <c r="G2902" i="1"/>
  <c r="E2902" i="1"/>
  <c r="C2902" i="1"/>
  <c r="I2901" i="1"/>
  <c r="G2901" i="1"/>
  <c r="E2901" i="1"/>
  <c r="C2901" i="1"/>
  <c r="I2900" i="1"/>
  <c r="G2900" i="1"/>
  <c r="E2900" i="1"/>
  <c r="C2900" i="1"/>
  <c r="I2899" i="1"/>
  <c r="G2899" i="1"/>
  <c r="E2899" i="1"/>
  <c r="C2899" i="1"/>
  <c r="I2898" i="1"/>
  <c r="G2898" i="1"/>
  <c r="E2898" i="1"/>
  <c r="C2898" i="1"/>
  <c r="I2897" i="1"/>
  <c r="G2897" i="1"/>
  <c r="E2897" i="1"/>
  <c r="C2897" i="1"/>
  <c r="I2896" i="1"/>
  <c r="G2896" i="1"/>
  <c r="E2896" i="1"/>
  <c r="C2896" i="1"/>
  <c r="I2895" i="1"/>
  <c r="G2895" i="1"/>
  <c r="E2895" i="1"/>
  <c r="C2895" i="1"/>
  <c r="I2894" i="1"/>
  <c r="G2894" i="1"/>
  <c r="E2894" i="1"/>
  <c r="C2894" i="1"/>
  <c r="I2893" i="1"/>
  <c r="G2893" i="1"/>
  <c r="E2893" i="1"/>
  <c r="C2893" i="1"/>
  <c r="I2892" i="1"/>
  <c r="G2892" i="1"/>
  <c r="E2892" i="1"/>
  <c r="C2892" i="1"/>
  <c r="I2891" i="1"/>
  <c r="G2891" i="1"/>
  <c r="E2891" i="1"/>
  <c r="C2891" i="1"/>
  <c r="I2890" i="1"/>
  <c r="G2890" i="1"/>
  <c r="E2890" i="1"/>
  <c r="C2890" i="1"/>
  <c r="I2889" i="1"/>
  <c r="G2889" i="1"/>
  <c r="E2889" i="1"/>
  <c r="C2889" i="1"/>
  <c r="I2888" i="1"/>
  <c r="G2888" i="1"/>
  <c r="E2888" i="1"/>
  <c r="C2888" i="1"/>
  <c r="I2887" i="1"/>
  <c r="G2887" i="1"/>
  <c r="E2887" i="1"/>
  <c r="C2887" i="1"/>
  <c r="I2886" i="1"/>
  <c r="G2886" i="1"/>
  <c r="E2886" i="1"/>
  <c r="C2886" i="1"/>
  <c r="I2885" i="1"/>
  <c r="G2885" i="1"/>
  <c r="E2885" i="1"/>
  <c r="C2885" i="1"/>
  <c r="I2884" i="1"/>
  <c r="G2884" i="1"/>
  <c r="E2884" i="1"/>
  <c r="C2884" i="1"/>
  <c r="I2883" i="1"/>
  <c r="G2883" i="1"/>
  <c r="E2883" i="1"/>
  <c r="C2883" i="1"/>
  <c r="I2882" i="1"/>
  <c r="G2882" i="1"/>
  <c r="E2882" i="1"/>
  <c r="C2882" i="1"/>
  <c r="I2881" i="1"/>
  <c r="G2881" i="1"/>
  <c r="E2881" i="1"/>
  <c r="C2881" i="1"/>
  <c r="I2880" i="1"/>
  <c r="G2880" i="1"/>
  <c r="E2880" i="1"/>
  <c r="C2880" i="1"/>
  <c r="I2879" i="1"/>
  <c r="G2879" i="1"/>
  <c r="E2879" i="1"/>
  <c r="C2879" i="1"/>
  <c r="I2878" i="1"/>
  <c r="G2878" i="1"/>
  <c r="E2878" i="1"/>
  <c r="C2878" i="1"/>
  <c r="I2877" i="1"/>
  <c r="G2877" i="1"/>
  <c r="E2877" i="1"/>
  <c r="C2877" i="1"/>
  <c r="I2876" i="1"/>
  <c r="G2876" i="1"/>
  <c r="E2876" i="1"/>
  <c r="C2876" i="1"/>
  <c r="I2875" i="1"/>
  <c r="G2875" i="1"/>
  <c r="E2875" i="1"/>
  <c r="C2875" i="1"/>
  <c r="I2874" i="1"/>
  <c r="G2874" i="1"/>
  <c r="E2874" i="1"/>
  <c r="C2874" i="1"/>
  <c r="I2873" i="1"/>
  <c r="G2873" i="1"/>
  <c r="E2873" i="1"/>
  <c r="C2873" i="1"/>
  <c r="I2872" i="1"/>
  <c r="G2872" i="1"/>
  <c r="E2872" i="1"/>
  <c r="C2872" i="1"/>
  <c r="I2871" i="1"/>
  <c r="G2871" i="1"/>
  <c r="E2871" i="1"/>
  <c r="C2871" i="1"/>
  <c r="I2870" i="1"/>
  <c r="G2870" i="1"/>
  <c r="E2870" i="1"/>
  <c r="C2870" i="1"/>
  <c r="I2869" i="1"/>
  <c r="G2869" i="1"/>
  <c r="E2869" i="1"/>
  <c r="C2869" i="1"/>
  <c r="I2868" i="1"/>
  <c r="G2868" i="1"/>
  <c r="E2868" i="1"/>
  <c r="C2868" i="1"/>
  <c r="I2867" i="1"/>
  <c r="G2867" i="1"/>
  <c r="E2867" i="1"/>
  <c r="C2867" i="1"/>
  <c r="I2866" i="1"/>
  <c r="G2866" i="1"/>
  <c r="E2866" i="1"/>
  <c r="C2866" i="1"/>
  <c r="I2865" i="1"/>
  <c r="G2865" i="1"/>
  <c r="E2865" i="1"/>
  <c r="C2865" i="1"/>
  <c r="I2864" i="1"/>
  <c r="G2864" i="1"/>
  <c r="E2864" i="1"/>
  <c r="C2864" i="1"/>
  <c r="I2863" i="1"/>
  <c r="G2863" i="1"/>
  <c r="E2863" i="1"/>
  <c r="C2863" i="1"/>
  <c r="I2862" i="1"/>
  <c r="G2862" i="1"/>
  <c r="E2862" i="1"/>
  <c r="C2862" i="1"/>
  <c r="I2861" i="1"/>
  <c r="G2861" i="1"/>
  <c r="E2861" i="1"/>
  <c r="C2861" i="1"/>
  <c r="I2860" i="1"/>
  <c r="G2860" i="1"/>
  <c r="E2860" i="1"/>
  <c r="C2860" i="1"/>
  <c r="I2859" i="1"/>
  <c r="G2859" i="1"/>
  <c r="E2859" i="1"/>
  <c r="C2859" i="1"/>
  <c r="I2858" i="1"/>
  <c r="G2858" i="1"/>
  <c r="E2858" i="1"/>
  <c r="C2858" i="1"/>
  <c r="I2857" i="1"/>
  <c r="G2857" i="1"/>
  <c r="E2857" i="1"/>
  <c r="C2857" i="1"/>
  <c r="I2856" i="1"/>
  <c r="G2856" i="1"/>
  <c r="E2856" i="1"/>
  <c r="C2856" i="1"/>
  <c r="I2855" i="1"/>
  <c r="G2855" i="1"/>
  <c r="E2855" i="1"/>
  <c r="C2855" i="1"/>
  <c r="I2854" i="1"/>
  <c r="G2854" i="1"/>
  <c r="E2854" i="1"/>
  <c r="C2854" i="1"/>
  <c r="I2853" i="1"/>
  <c r="G2853" i="1"/>
  <c r="E2853" i="1"/>
  <c r="C2853" i="1"/>
  <c r="I2852" i="1"/>
  <c r="G2852" i="1"/>
  <c r="E2852" i="1"/>
  <c r="C2852" i="1"/>
  <c r="I2851" i="1"/>
  <c r="G2851" i="1"/>
  <c r="E2851" i="1"/>
  <c r="C2851" i="1"/>
  <c r="I2850" i="1"/>
  <c r="G2850" i="1"/>
  <c r="E2850" i="1"/>
  <c r="C2850" i="1"/>
  <c r="I2849" i="1"/>
  <c r="G2849" i="1"/>
  <c r="E2849" i="1"/>
  <c r="C2849" i="1"/>
  <c r="I2848" i="1"/>
  <c r="G2848" i="1"/>
  <c r="E2848" i="1"/>
  <c r="C2848" i="1"/>
  <c r="I2847" i="1"/>
  <c r="G2847" i="1"/>
  <c r="E2847" i="1"/>
  <c r="C2847" i="1"/>
  <c r="I2846" i="1"/>
  <c r="G2846" i="1"/>
  <c r="E2846" i="1"/>
  <c r="C2846" i="1"/>
  <c r="I2845" i="1"/>
  <c r="G2845" i="1"/>
  <c r="E2845" i="1"/>
  <c r="C2845" i="1"/>
  <c r="I2844" i="1"/>
  <c r="G2844" i="1"/>
  <c r="E2844" i="1"/>
  <c r="C2844" i="1"/>
  <c r="I2843" i="1"/>
  <c r="G2843" i="1"/>
  <c r="E2843" i="1"/>
  <c r="C2843" i="1"/>
  <c r="I2842" i="1"/>
  <c r="G2842" i="1"/>
  <c r="E2842" i="1"/>
  <c r="C2842" i="1"/>
  <c r="I2841" i="1"/>
  <c r="G2841" i="1"/>
  <c r="E2841" i="1"/>
  <c r="C2841" i="1"/>
  <c r="I2840" i="1"/>
  <c r="G2840" i="1"/>
  <c r="E2840" i="1"/>
  <c r="C2840" i="1"/>
  <c r="I2839" i="1"/>
  <c r="G2839" i="1"/>
  <c r="E2839" i="1"/>
  <c r="C2839" i="1"/>
  <c r="I2838" i="1"/>
  <c r="G2838" i="1"/>
  <c r="E2838" i="1"/>
  <c r="C2838" i="1"/>
  <c r="I2837" i="1"/>
  <c r="G2837" i="1"/>
  <c r="E2837" i="1"/>
  <c r="C2837" i="1"/>
  <c r="I2836" i="1"/>
  <c r="G2836" i="1"/>
  <c r="E2836" i="1"/>
  <c r="C2836" i="1"/>
  <c r="I2835" i="1"/>
  <c r="G2835" i="1"/>
  <c r="E2835" i="1"/>
  <c r="C2835" i="1"/>
  <c r="I2834" i="1"/>
  <c r="G2834" i="1"/>
  <c r="E2834" i="1"/>
  <c r="C2834" i="1"/>
  <c r="I2833" i="1"/>
  <c r="G2833" i="1"/>
  <c r="E2833" i="1"/>
  <c r="C2833" i="1"/>
  <c r="I2832" i="1"/>
  <c r="G2832" i="1"/>
  <c r="E2832" i="1"/>
  <c r="C2832" i="1"/>
  <c r="I2831" i="1"/>
  <c r="G2831" i="1"/>
  <c r="E2831" i="1"/>
  <c r="C2831" i="1"/>
  <c r="I2830" i="1"/>
  <c r="G2830" i="1"/>
  <c r="E2830" i="1"/>
  <c r="C2830" i="1"/>
  <c r="I2829" i="1"/>
  <c r="G2829" i="1"/>
  <c r="E2829" i="1"/>
  <c r="C2829" i="1"/>
  <c r="I2828" i="1"/>
  <c r="G2828" i="1"/>
  <c r="E2828" i="1"/>
  <c r="C2828" i="1"/>
  <c r="I2827" i="1"/>
  <c r="G2827" i="1"/>
  <c r="E2827" i="1"/>
  <c r="C2827" i="1"/>
  <c r="I2826" i="1"/>
  <c r="G2826" i="1"/>
  <c r="E2826" i="1"/>
  <c r="C2826" i="1"/>
  <c r="I2825" i="1"/>
  <c r="G2825" i="1"/>
  <c r="E2825" i="1"/>
  <c r="C2825" i="1"/>
  <c r="I2824" i="1"/>
  <c r="G2824" i="1"/>
  <c r="E2824" i="1"/>
  <c r="C2824" i="1"/>
  <c r="I2823" i="1"/>
  <c r="G2823" i="1"/>
  <c r="E2823" i="1"/>
  <c r="C2823" i="1"/>
  <c r="I2822" i="1"/>
  <c r="G2822" i="1"/>
  <c r="E2822" i="1"/>
  <c r="C2822" i="1"/>
  <c r="I2821" i="1"/>
  <c r="G2821" i="1"/>
  <c r="E2821" i="1"/>
  <c r="C2821" i="1"/>
  <c r="I2820" i="1"/>
  <c r="G2820" i="1"/>
  <c r="E2820" i="1"/>
  <c r="C2820" i="1"/>
  <c r="I2819" i="1"/>
  <c r="G2819" i="1"/>
  <c r="E2819" i="1"/>
  <c r="C2819" i="1"/>
  <c r="I2818" i="1"/>
  <c r="G2818" i="1"/>
  <c r="E2818" i="1"/>
  <c r="C2818" i="1"/>
  <c r="I2817" i="1"/>
  <c r="G2817" i="1"/>
  <c r="E2817" i="1"/>
  <c r="C2817" i="1"/>
  <c r="I2816" i="1"/>
  <c r="G2816" i="1"/>
  <c r="E2816" i="1"/>
  <c r="C2816" i="1"/>
  <c r="I2815" i="1"/>
  <c r="G2815" i="1"/>
  <c r="E2815" i="1"/>
  <c r="C2815" i="1"/>
  <c r="I2814" i="1"/>
  <c r="G2814" i="1"/>
  <c r="E2814" i="1"/>
  <c r="C2814" i="1"/>
  <c r="I2813" i="1"/>
  <c r="G2813" i="1"/>
  <c r="E2813" i="1"/>
  <c r="C2813" i="1"/>
  <c r="I2812" i="1"/>
  <c r="G2812" i="1"/>
  <c r="E2812" i="1"/>
  <c r="C2812" i="1"/>
  <c r="I2811" i="1"/>
  <c r="G2811" i="1"/>
  <c r="E2811" i="1"/>
  <c r="C2811" i="1"/>
  <c r="I2810" i="1"/>
  <c r="G2810" i="1"/>
  <c r="E2810" i="1"/>
  <c r="C2810" i="1"/>
  <c r="I2809" i="1"/>
  <c r="G2809" i="1"/>
  <c r="E2809" i="1"/>
  <c r="C2809" i="1"/>
  <c r="I2808" i="1"/>
  <c r="G2808" i="1"/>
  <c r="E2808" i="1"/>
  <c r="C2808" i="1"/>
  <c r="I2807" i="1"/>
  <c r="G2807" i="1"/>
  <c r="E2807" i="1"/>
  <c r="C2807" i="1"/>
  <c r="I2806" i="1"/>
  <c r="G2806" i="1"/>
  <c r="E2806" i="1"/>
  <c r="C2806" i="1"/>
  <c r="I2805" i="1"/>
  <c r="G2805" i="1"/>
  <c r="E2805" i="1"/>
  <c r="C2805" i="1"/>
  <c r="I2804" i="1"/>
  <c r="G2804" i="1"/>
  <c r="E2804" i="1"/>
  <c r="C2804" i="1"/>
  <c r="I2803" i="1"/>
  <c r="G2803" i="1"/>
  <c r="E2803" i="1"/>
  <c r="C2803" i="1"/>
  <c r="I2802" i="1"/>
  <c r="G2802" i="1"/>
  <c r="E2802" i="1"/>
  <c r="C2802" i="1"/>
  <c r="I2801" i="1"/>
  <c r="G2801" i="1"/>
  <c r="E2801" i="1"/>
  <c r="C2801" i="1"/>
  <c r="I2800" i="1"/>
  <c r="G2800" i="1"/>
  <c r="E2800" i="1"/>
  <c r="C2800" i="1"/>
  <c r="I2799" i="1"/>
  <c r="G2799" i="1"/>
  <c r="E2799" i="1"/>
  <c r="C2799" i="1"/>
  <c r="I2798" i="1"/>
  <c r="G2798" i="1"/>
  <c r="E2798" i="1"/>
  <c r="C2798" i="1"/>
  <c r="I2797" i="1"/>
  <c r="G2797" i="1"/>
  <c r="E2797" i="1"/>
  <c r="C2797" i="1"/>
  <c r="I2796" i="1"/>
  <c r="G2796" i="1"/>
  <c r="E2796" i="1"/>
  <c r="C2796" i="1"/>
  <c r="I2795" i="1"/>
  <c r="G2795" i="1"/>
  <c r="E2795" i="1"/>
  <c r="C2795" i="1"/>
  <c r="I2794" i="1"/>
  <c r="G2794" i="1"/>
  <c r="E2794" i="1"/>
  <c r="C2794" i="1"/>
  <c r="I2793" i="1"/>
  <c r="G2793" i="1"/>
  <c r="E2793" i="1"/>
  <c r="C2793" i="1"/>
  <c r="I2792" i="1"/>
  <c r="G2792" i="1"/>
  <c r="E2792" i="1"/>
  <c r="C2792" i="1"/>
  <c r="I2791" i="1"/>
  <c r="G2791" i="1"/>
  <c r="E2791" i="1"/>
  <c r="C2791" i="1"/>
  <c r="I2790" i="1"/>
  <c r="G2790" i="1"/>
  <c r="E2790" i="1"/>
  <c r="C2790" i="1"/>
  <c r="I2789" i="1"/>
  <c r="G2789" i="1"/>
  <c r="E2789" i="1"/>
  <c r="C2789" i="1"/>
  <c r="I2788" i="1"/>
  <c r="G2788" i="1"/>
  <c r="E2788" i="1"/>
  <c r="C2788" i="1"/>
  <c r="I2787" i="1"/>
  <c r="G2787" i="1"/>
  <c r="E2787" i="1"/>
  <c r="C2787" i="1"/>
  <c r="I2786" i="1"/>
  <c r="G2786" i="1"/>
  <c r="E2786" i="1"/>
  <c r="C2786" i="1"/>
  <c r="I2785" i="1"/>
  <c r="G2785" i="1"/>
  <c r="E2785" i="1"/>
  <c r="C2785" i="1"/>
  <c r="I2784" i="1"/>
  <c r="G2784" i="1"/>
  <c r="E2784" i="1"/>
  <c r="C2784" i="1"/>
  <c r="I2783" i="1"/>
  <c r="G2783" i="1"/>
  <c r="E2783" i="1"/>
  <c r="C2783" i="1"/>
  <c r="I2782" i="1"/>
  <c r="G2782" i="1"/>
  <c r="E2782" i="1"/>
  <c r="C2782" i="1"/>
  <c r="I2781" i="1"/>
  <c r="G2781" i="1"/>
  <c r="E2781" i="1"/>
  <c r="C2781" i="1"/>
  <c r="I2780" i="1"/>
  <c r="G2780" i="1"/>
  <c r="E2780" i="1"/>
  <c r="C2780" i="1"/>
  <c r="I2779" i="1"/>
  <c r="G2779" i="1"/>
  <c r="E2779" i="1"/>
  <c r="C2779" i="1"/>
  <c r="I2778" i="1"/>
  <c r="G2778" i="1"/>
  <c r="E2778" i="1"/>
  <c r="C2778" i="1"/>
  <c r="I2777" i="1"/>
  <c r="G2777" i="1"/>
  <c r="E2777" i="1"/>
  <c r="C2777" i="1"/>
  <c r="I2776" i="1"/>
  <c r="G2776" i="1"/>
  <c r="E2776" i="1"/>
  <c r="C2776" i="1"/>
  <c r="I2775" i="1"/>
  <c r="G2775" i="1"/>
  <c r="E2775" i="1"/>
  <c r="C2775" i="1"/>
  <c r="I2774" i="1"/>
  <c r="G2774" i="1"/>
  <c r="E2774" i="1"/>
  <c r="C2774" i="1"/>
  <c r="I2773" i="1"/>
  <c r="G2773" i="1"/>
  <c r="E2773" i="1"/>
  <c r="C2773" i="1"/>
  <c r="I2772" i="1"/>
  <c r="G2772" i="1"/>
  <c r="E2772" i="1"/>
  <c r="C2772" i="1"/>
  <c r="I2771" i="1"/>
  <c r="G2771" i="1"/>
  <c r="E2771" i="1"/>
  <c r="C2771" i="1"/>
  <c r="I2770" i="1"/>
  <c r="G2770" i="1"/>
  <c r="E2770" i="1"/>
  <c r="C2770" i="1"/>
  <c r="I2769" i="1"/>
  <c r="G2769" i="1"/>
  <c r="E2769" i="1"/>
  <c r="C2769" i="1"/>
  <c r="I2768" i="1"/>
  <c r="G2768" i="1"/>
  <c r="E2768" i="1"/>
  <c r="C2768" i="1"/>
  <c r="I2767" i="1"/>
  <c r="G2767" i="1"/>
  <c r="E2767" i="1"/>
  <c r="C2767" i="1"/>
  <c r="I2766" i="1"/>
  <c r="G2766" i="1"/>
  <c r="E2766" i="1"/>
  <c r="C2766" i="1"/>
  <c r="I2765" i="1"/>
  <c r="G2765" i="1"/>
  <c r="E2765" i="1"/>
  <c r="C2765" i="1"/>
  <c r="I2764" i="1"/>
  <c r="G2764" i="1"/>
  <c r="E2764" i="1"/>
  <c r="C2764" i="1"/>
  <c r="I2763" i="1"/>
  <c r="G2763" i="1"/>
  <c r="E2763" i="1"/>
  <c r="C2763" i="1"/>
  <c r="I2762" i="1"/>
  <c r="G2762" i="1"/>
  <c r="E2762" i="1"/>
  <c r="C2762" i="1"/>
  <c r="I2761" i="1"/>
  <c r="G2761" i="1"/>
  <c r="E2761" i="1"/>
  <c r="C2761" i="1"/>
  <c r="I2760" i="1"/>
  <c r="G2760" i="1"/>
  <c r="E2760" i="1"/>
  <c r="C2760" i="1"/>
  <c r="I2759" i="1"/>
  <c r="G2759" i="1"/>
  <c r="E2759" i="1"/>
  <c r="C2759" i="1"/>
  <c r="I2758" i="1"/>
  <c r="G2758" i="1"/>
  <c r="E2758" i="1"/>
  <c r="C2758" i="1"/>
  <c r="I2757" i="1"/>
  <c r="G2757" i="1"/>
  <c r="E2757" i="1"/>
  <c r="C2757" i="1"/>
  <c r="I2756" i="1"/>
  <c r="G2756" i="1"/>
  <c r="E2756" i="1"/>
  <c r="C2756" i="1"/>
  <c r="I2755" i="1"/>
  <c r="G2755" i="1"/>
  <c r="E2755" i="1"/>
  <c r="C2755" i="1"/>
  <c r="I2754" i="1"/>
  <c r="G2754" i="1"/>
  <c r="E2754" i="1"/>
  <c r="C2754" i="1"/>
  <c r="I2753" i="1"/>
  <c r="G2753" i="1"/>
  <c r="E2753" i="1"/>
  <c r="C2753" i="1"/>
  <c r="I2752" i="1"/>
  <c r="G2752" i="1"/>
  <c r="E2752" i="1"/>
  <c r="C2752" i="1"/>
  <c r="I2751" i="1"/>
  <c r="G2751" i="1"/>
  <c r="E2751" i="1"/>
  <c r="C2751" i="1"/>
  <c r="I2750" i="1"/>
  <c r="G2750" i="1"/>
  <c r="E2750" i="1"/>
  <c r="C2750" i="1"/>
  <c r="I2749" i="1"/>
  <c r="G2749" i="1"/>
  <c r="E2749" i="1"/>
  <c r="C2749" i="1"/>
  <c r="I2748" i="1"/>
  <c r="G2748" i="1"/>
  <c r="E2748" i="1"/>
  <c r="C2748" i="1"/>
  <c r="I2747" i="1"/>
  <c r="G2747" i="1"/>
  <c r="E2747" i="1"/>
  <c r="C2747" i="1"/>
  <c r="I2746" i="1"/>
  <c r="G2746" i="1"/>
  <c r="E2746" i="1"/>
  <c r="C2746" i="1"/>
  <c r="I2745" i="1"/>
  <c r="G2745" i="1"/>
  <c r="E2745" i="1"/>
  <c r="C2745" i="1"/>
  <c r="I2744" i="1"/>
  <c r="G2744" i="1"/>
  <c r="E2744" i="1"/>
  <c r="C2744" i="1"/>
  <c r="I2743" i="1"/>
  <c r="G2743" i="1"/>
  <c r="E2743" i="1"/>
  <c r="C2743" i="1"/>
  <c r="I2742" i="1"/>
  <c r="G2742" i="1"/>
  <c r="E2742" i="1"/>
  <c r="C2742" i="1"/>
  <c r="I2741" i="1"/>
  <c r="G2741" i="1"/>
  <c r="E2741" i="1"/>
  <c r="C2741" i="1"/>
  <c r="I2740" i="1"/>
  <c r="G2740" i="1"/>
  <c r="E2740" i="1"/>
  <c r="C2740" i="1"/>
  <c r="I2739" i="1"/>
  <c r="G2739" i="1"/>
  <c r="E2739" i="1"/>
  <c r="C2739" i="1"/>
  <c r="I2738" i="1"/>
  <c r="G2738" i="1"/>
  <c r="E2738" i="1"/>
  <c r="C2738" i="1"/>
  <c r="I2737" i="1"/>
  <c r="G2737" i="1"/>
  <c r="E2737" i="1"/>
  <c r="C2737" i="1"/>
  <c r="I2736" i="1"/>
  <c r="G2736" i="1"/>
  <c r="E2736" i="1"/>
  <c r="C2736" i="1"/>
  <c r="I2735" i="1"/>
  <c r="G2735" i="1"/>
  <c r="E2735" i="1"/>
  <c r="C2735" i="1"/>
  <c r="I2734" i="1"/>
  <c r="G2734" i="1"/>
  <c r="E2734" i="1"/>
  <c r="C2734" i="1"/>
  <c r="I2733" i="1"/>
  <c r="G2733" i="1"/>
  <c r="E2733" i="1"/>
  <c r="C2733" i="1"/>
  <c r="I2732" i="1"/>
  <c r="G2732" i="1"/>
  <c r="E2732" i="1"/>
  <c r="C2732" i="1"/>
  <c r="I2731" i="1"/>
  <c r="G2731" i="1"/>
  <c r="E2731" i="1"/>
  <c r="C2731" i="1"/>
  <c r="I2730" i="1"/>
  <c r="G2730" i="1"/>
  <c r="E2730" i="1"/>
  <c r="C2730" i="1"/>
  <c r="I2729" i="1"/>
  <c r="G2729" i="1"/>
  <c r="E2729" i="1"/>
  <c r="C2729" i="1"/>
  <c r="I2728" i="1"/>
  <c r="G2728" i="1"/>
  <c r="E2728" i="1"/>
  <c r="C2728" i="1"/>
  <c r="I2727" i="1"/>
  <c r="G2727" i="1"/>
  <c r="E2727" i="1"/>
  <c r="C2727" i="1"/>
  <c r="I2726" i="1"/>
  <c r="G2726" i="1"/>
  <c r="E2726" i="1"/>
  <c r="C2726" i="1"/>
  <c r="I2725" i="1"/>
  <c r="G2725" i="1"/>
  <c r="E2725" i="1"/>
  <c r="C2725" i="1"/>
  <c r="I2724" i="1"/>
  <c r="G2724" i="1"/>
  <c r="E2724" i="1"/>
  <c r="C2724" i="1"/>
  <c r="I2723" i="1"/>
  <c r="G2723" i="1"/>
  <c r="E2723" i="1"/>
  <c r="C2723" i="1"/>
  <c r="I2722" i="1"/>
  <c r="G2722" i="1"/>
  <c r="E2722" i="1"/>
  <c r="C2722" i="1"/>
  <c r="I2721" i="1"/>
  <c r="G2721" i="1"/>
  <c r="E2721" i="1"/>
  <c r="C2721" i="1"/>
  <c r="I2720" i="1"/>
  <c r="G2720" i="1"/>
  <c r="E2720" i="1"/>
  <c r="C2720" i="1"/>
  <c r="I2719" i="1"/>
  <c r="G2719" i="1"/>
  <c r="E2719" i="1"/>
  <c r="C2719" i="1"/>
  <c r="I2718" i="1"/>
  <c r="G2718" i="1"/>
  <c r="E2718" i="1"/>
  <c r="C2718" i="1"/>
  <c r="I2717" i="1"/>
  <c r="G2717" i="1"/>
  <c r="E2717" i="1"/>
  <c r="C2717" i="1"/>
  <c r="I2716" i="1"/>
  <c r="G2716" i="1"/>
  <c r="E2716" i="1"/>
  <c r="C2716" i="1"/>
  <c r="I2715" i="1"/>
  <c r="G2715" i="1"/>
  <c r="E2715" i="1"/>
  <c r="C2715" i="1"/>
  <c r="I2714" i="1"/>
  <c r="G2714" i="1"/>
  <c r="E2714" i="1"/>
  <c r="C2714" i="1"/>
  <c r="I2713" i="1"/>
  <c r="G2713" i="1"/>
  <c r="E2713" i="1"/>
  <c r="C2713" i="1"/>
  <c r="I2712" i="1"/>
  <c r="G2712" i="1"/>
  <c r="E2712" i="1"/>
  <c r="C2712" i="1"/>
  <c r="I2711" i="1"/>
  <c r="G2711" i="1"/>
  <c r="E2711" i="1"/>
  <c r="C2711" i="1"/>
  <c r="I2710" i="1"/>
  <c r="G2710" i="1"/>
  <c r="E2710" i="1"/>
  <c r="C2710" i="1"/>
  <c r="I2709" i="1"/>
  <c r="G2709" i="1"/>
  <c r="E2709" i="1"/>
  <c r="C2709" i="1"/>
  <c r="I2708" i="1"/>
  <c r="G2708" i="1"/>
  <c r="E2708" i="1"/>
  <c r="C2708" i="1"/>
  <c r="I2707" i="1"/>
  <c r="G2707" i="1"/>
  <c r="E2707" i="1"/>
  <c r="C2707" i="1"/>
  <c r="I2706" i="1"/>
  <c r="G2706" i="1"/>
  <c r="E2706" i="1"/>
  <c r="C2706" i="1"/>
  <c r="I2705" i="1"/>
  <c r="G2705" i="1"/>
  <c r="E2705" i="1"/>
  <c r="C2705" i="1"/>
  <c r="I2704" i="1"/>
  <c r="G2704" i="1"/>
  <c r="E2704" i="1"/>
  <c r="C2704" i="1"/>
  <c r="I2703" i="1"/>
  <c r="G2703" i="1"/>
  <c r="E2703" i="1"/>
  <c r="C2703" i="1"/>
  <c r="I2702" i="1"/>
  <c r="G2702" i="1"/>
  <c r="E2702" i="1"/>
  <c r="C2702" i="1"/>
  <c r="I2701" i="1"/>
  <c r="G2701" i="1"/>
  <c r="E2701" i="1"/>
  <c r="C2701" i="1"/>
  <c r="I2700" i="1"/>
  <c r="G2700" i="1"/>
  <c r="E2700" i="1"/>
  <c r="C2700" i="1"/>
  <c r="I2699" i="1"/>
  <c r="G2699" i="1"/>
  <c r="E2699" i="1"/>
  <c r="C2699" i="1"/>
  <c r="I2698" i="1"/>
  <c r="G2698" i="1"/>
  <c r="E2698" i="1"/>
  <c r="C2698" i="1"/>
  <c r="I2697" i="1"/>
  <c r="G2697" i="1"/>
  <c r="E2697" i="1"/>
  <c r="C2697" i="1"/>
  <c r="I2696" i="1"/>
  <c r="G2696" i="1"/>
  <c r="E2696" i="1"/>
  <c r="C2696" i="1"/>
  <c r="I2695" i="1"/>
  <c r="G2695" i="1"/>
  <c r="E2695" i="1"/>
  <c r="C2695" i="1"/>
  <c r="I2694" i="1"/>
  <c r="G2694" i="1"/>
  <c r="E2694" i="1"/>
  <c r="C2694" i="1"/>
  <c r="I2693" i="1"/>
  <c r="G2693" i="1"/>
  <c r="E2693" i="1"/>
  <c r="C2693" i="1"/>
  <c r="I2692" i="1"/>
  <c r="G2692" i="1"/>
  <c r="E2692" i="1"/>
  <c r="C2692" i="1"/>
  <c r="I2691" i="1"/>
  <c r="G2691" i="1"/>
  <c r="E2691" i="1"/>
  <c r="C2691" i="1"/>
  <c r="I2690" i="1"/>
  <c r="G2690" i="1"/>
  <c r="E2690" i="1"/>
  <c r="C2690" i="1"/>
  <c r="I2689" i="1"/>
  <c r="G2689" i="1"/>
  <c r="E2689" i="1"/>
  <c r="C2689" i="1"/>
  <c r="I2688" i="1"/>
  <c r="G2688" i="1"/>
  <c r="E2688" i="1"/>
  <c r="C2688" i="1"/>
  <c r="I2687" i="1"/>
  <c r="G2687" i="1"/>
  <c r="E2687" i="1"/>
  <c r="C2687" i="1"/>
  <c r="I2686" i="1"/>
  <c r="G2686" i="1"/>
  <c r="E2686" i="1"/>
  <c r="C2686" i="1"/>
  <c r="I2685" i="1"/>
  <c r="G2685" i="1"/>
  <c r="E2685" i="1"/>
  <c r="C2685" i="1"/>
  <c r="I2684" i="1"/>
  <c r="G2684" i="1"/>
  <c r="E2684" i="1"/>
  <c r="C2684" i="1"/>
  <c r="I2683" i="1"/>
  <c r="G2683" i="1"/>
  <c r="E2683" i="1"/>
  <c r="C2683" i="1"/>
  <c r="I2682" i="1"/>
  <c r="G2682" i="1"/>
  <c r="E2682" i="1"/>
  <c r="C2682" i="1"/>
  <c r="I2681" i="1"/>
  <c r="G2681" i="1"/>
  <c r="E2681" i="1"/>
  <c r="C2681" i="1"/>
  <c r="I2680" i="1"/>
  <c r="G2680" i="1"/>
  <c r="E2680" i="1"/>
  <c r="C2680" i="1"/>
  <c r="I2679" i="1"/>
  <c r="G2679" i="1"/>
  <c r="E2679" i="1"/>
  <c r="C2679" i="1"/>
  <c r="I2678" i="1"/>
  <c r="G2678" i="1"/>
  <c r="E2678" i="1"/>
  <c r="C2678" i="1"/>
  <c r="I2677" i="1"/>
  <c r="G2677" i="1"/>
  <c r="E2677" i="1"/>
  <c r="C2677" i="1"/>
  <c r="I2676" i="1"/>
  <c r="G2676" i="1"/>
  <c r="E2676" i="1"/>
  <c r="C2676" i="1"/>
  <c r="I2675" i="1"/>
  <c r="G2675" i="1"/>
  <c r="E2675" i="1"/>
  <c r="C2675" i="1"/>
  <c r="I2674" i="1"/>
  <c r="G2674" i="1"/>
  <c r="E2674" i="1"/>
  <c r="C2674" i="1"/>
  <c r="I2673" i="1"/>
  <c r="G2673" i="1"/>
  <c r="E2673" i="1"/>
  <c r="C2673" i="1"/>
  <c r="I2672" i="1"/>
  <c r="G2672" i="1"/>
  <c r="E2672" i="1"/>
  <c r="C2672" i="1"/>
  <c r="I2671" i="1"/>
  <c r="G2671" i="1"/>
  <c r="E2671" i="1"/>
  <c r="C2671" i="1"/>
  <c r="I2670" i="1"/>
  <c r="G2670" i="1"/>
  <c r="E2670" i="1"/>
  <c r="C2670" i="1"/>
  <c r="I2669" i="1"/>
  <c r="G2669" i="1"/>
  <c r="E2669" i="1"/>
  <c r="C2669" i="1"/>
  <c r="I2668" i="1"/>
  <c r="G2668" i="1"/>
  <c r="E2668" i="1"/>
  <c r="C2668" i="1"/>
  <c r="I2667" i="1"/>
  <c r="G2667" i="1"/>
  <c r="E2667" i="1"/>
  <c r="C2667" i="1"/>
  <c r="I2666" i="1"/>
  <c r="G2666" i="1"/>
  <c r="E2666" i="1"/>
  <c r="C2666" i="1"/>
  <c r="I2665" i="1"/>
  <c r="G2665" i="1"/>
  <c r="E2665" i="1"/>
  <c r="C2665" i="1"/>
  <c r="I2664" i="1"/>
  <c r="G2664" i="1"/>
  <c r="E2664" i="1"/>
  <c r="C2664" i="1"/>
  <c r="I2663" i="1"/>
  <c r="G2663" i="1"/>
  <c r="E2663" i="1"/>
  <c r="C2663" i="1"/>
  <c r="I2662" i="1"/>
  <c r="G2662" i="1"/>
  <c r="E2662" i="1"/>
  <c r="C2662" i="1"/>
  <c r="I2661" i="1"/>
  <c r="G2661" i="1"/>
  <c r="E2661" i="1"/>
  <c r="C2661" i="1"/>
  <c r="I2660" i="1"/>
  <c r="G2660" i="1"/>
  <c r="E2660" i="1"/>
  <c r="C2660" i="1"/>
  <c r="I2659" i="1"/>
  <c r="G2659" i="1"/>
  <c r="E2659" i="1"/>
  <c r="C2659" i="1"/>
  <c r="I2658" i="1"/>
  <c r="G2658" i="1"/>
  <c r="E2658" i="1"/>
  <c r="C2658" i="1"/>
  <c r="I2657" i="1"/>
  <c r="G2657" i="1"/>
  <c r="E2657" i="1"/>
  <c r="C2657" i="1"/>
  <c r="I2656" i="1"/>
  <c r="G2656" i="1"/>
  <c r="E2656" i="1"/>
  <c r="C2656" i="1"/>
  <c r="I2655" i="1"/>
  <c r="G2655" i="1"/>
  <c r="E2655" i="1"/>
  <c r="C2655" i="1"/>
  <c r="I2654" i="1"/>
  <c r="G2654" i="1"/>
  <c r="E2654" i="1"/>
  <c r="C2654" i="1"/>
  <c r="I2653" i="1"/>
  <c r="G2653" i="1"/>
  <c r="E2653" i="1"/>
  <c r="C2653" i="1"/>
  <c r="I2652" i="1"/>
  <c r="G2652" i="1"/>
  <c r="E2652" i="1"/>
  <c r="C2652" i="1"/>
  <c r="I2651" i="1"/>
  <c r="G2651" i="1"/>
  <c r="E2651" i="1"/>
  <c r="C2651" i="1"/>
  <c r="I2650" i="1"/>
  <c r="G2650" i="1"/>
  <c r="E2650" i="1"/>
  <c r="C2650" i="1"/>
  <c r="I2649" i="1"/>
  <c r="G2649" i="1"/>
  <c r="E2649" i="1"/>
  <c r="C2649" i="1"/>
  <c r="I2648" i="1"/>
  <c r="G2648" i="1"/>
  <c r="E2648" i="1"/>
  <c r="C2648" i="1"/>
  <c r="I2647" i="1"/>
  <c r="G2647" i="1"/>
  <c r="E2647" i="1"/>
  <c r="C2647" i="1"/>
  <c r="I2646" i="1"/>
  <c r="G2646" i="1"/>
  <c r="E2646" i="1"/>
  <c r="C2646" i="1"/>
  <c r="I2645" i="1"/>
  <c r="G2645" i="1"/>
  <c r="E2645" i="1"/>
  <c r="C2645" i="1"/>
  <c r="I2644" i="1"/>
  <c r="G2644" i="1"/>
  <c r="E2644" i="1"/>
  <c r="C2644" i="1"/>
  <c r="I2643" i="1"/>
  <c r="G2643" i="1"/>
  <c r="E2643" i="1"/>
  <c r="C2643" i="1"/>
  <c r="I2642" i="1"/>
  <c r="G2642" i="1"/>
  <c r="E2642" i="1"/>
  <c r="C2642" i="1"/>
  <c r="I2641" i="1"/>
  <c r="G2641" i="1"/>
  <c r="E2641" i="1"/>
  <c r="C2641" i="1"/>
  <c r="I2640" i="1"/>
  <c r="G2640" i="1"/>
  <c r="E2640" i="1"/>
  <c r="C2640" i="1"/>
  <c r="I2639" i="1"/>
  <c r="G2639" i="1"/>
  <c r="E2639" i="1"/>
  <c r="C2639" i="1"/>
  <c r="I2638" i="1"/>
  <c r="G2638" i="1"/>
  <c r="E2638" i="1"/>
  <c r="C2638" i="1"/>
  <c r="I2637" i="1"/>
  <c r="G2637" i="1"/>
  <c r="E2637" i="1"/>
  <c r="C2637" i="1"/>
  <c r="I2636" i="1"/>
  <c r="G2636" i="1"/>
  <c r="E2636" i="1"/>
  <c r="C2636" i="1"/>
  <c r="I2635" i="1"/>
  <c r="G2635" i="1"/>
  <c r="E2635" i="1"/>
  <c r="C2635" i="1"/>
  <c r="I2634" i="1"/>
  <c r="G2634" i="1"/>
  <c r="E2634" i="1"/>
  <c r="C2634" i="1"/>
  <c r="I2633" i="1"/>
  <c r="G2633" i="1"/>
  <c r="E2633" i="1"/>
  <c r="C2633" i="1"/>
  <c r="I2632" i="1"/>
  <c r="G2632" i="1"/>
  <c r="E2632" i="1"/>
  <c r="C2632" i="1"/>
  <c r="I2631" i="1"/>
  <c r="G2631" i="1"/>
  <c r="E2631" i="1"/>
  <c r="C2631" i="1"/>
  <c r="I2630" i="1"/>
  <c r="G2630" i="1"/>
  <c r="E2630" i="1"/>
  <c r="C2630" i="1"/>
  <c r="I2629" i="1"/>
  <c r="G2629" i="1"/>
  <c r="E2629" i="1"/>
  <c r="C2629" i="1"/>
  <c r="I2628" i="1"/>
  <c r="G2628" i="1"/>
  <c r="E2628" i="1"/>
  <c r="C2628" i="1"/>
  <c r="I2627" i="1"/>
  <c r="G2627" i="1"/>
  <c r="E2627" i="1"/>
  <c r="C2627" i="1"/>
  <c r="I2626" i="1"/>
  <c r="G2626" i="1"/>
  <c r="E2626" i="1"/>
  <c r="C2626" i="1"/>
  <c r="I2625" i="1"/>
  <c r="G2625" i="1"/>
  <c r="E2625" i="1"/>
  <c r="C2625" i="1"/>
  <c r="I2624" i="1"/>
  <c r="G2624" i="1"/>
  <c r="E2624" i="1"/>
  <c r="C2624" i="1"/>
  <c r="I2623" i="1"/>
  <c r="G2623" i="1"/>
  <c r="E2623" i="1"/>
  <c r="C2623" i="1"/>
  <c r="I2622" i="1"/>
  <c r="G2622" i="1"/>
  <c r="E2622" i="1"/>
  <c r="C2622" i="1"/>
  <c r="I2621" i="1"/>
  <c r="G2621" i="1"/>
  <c r="E2621" i="1"/>
  <c r="C2621" i="1"/>
  <c r="I2620" i="1"/>
  <c r="G2620" i="1"/>
  <c r="E2620" i="1"/>
  <c r="C2620" i="1"/>
  <c r="I2619" i="1"/>
  <c r="G2619" i="1"/>
  <c r="E2619" i="1"/>
  <c r="C2619" i="1"/>
  <c r="I2618" i="1"/>
  <c r="G2618" i="1"/>
  <c r="E2618" i="1"/>
  <c r="C2618" i="1"/>
  <c r="I2617" i="1"/>
  <c r="G2617" i="1"/>
  <c r="E2617" i="1"/>
  <c r="C2617" i="1"/>
  <c r="I2616" i="1"/>
  <c r="G2616" i="1"/>
  <c r="E2616" i="1"/>
  <c r="C2616" i="1"/>
  <c r="I2615" i="1"/>
  <c r="G2615" i="1"/>
  <c r="E2615" i="1"/>
  <c r="C2615" i="1"/>
  <c r="I2614" i="1"/>
  <c r="G2614" i="1"/>
  <c r="E2614" i="1"/>
  <c r="C2614" i="1"/>
  <c r="I2613" i="1"/>
  <c r="G2613" i="1"/>
  <c r="E2613" i="1"/>
  <c r="C2613" i="1"/>
  <c r="I2612" i="1"/>
  <c r="G2612" i="1"/>
  <c r="E2612" i="1"/>
  <c r="C2612" i="1"/>
  <c r="I2611" i="1"/>
  <c r="G2611" i="1"/>
  <c r="E2611" i="1"/>
  <c r="C2611" i="1"/>
  <c r="I2610" i="1"/>
  <c r="G2610" i="1"/>
  <c r="E2610" i="1"/>
  <c r="C2610" i="1"/>
  <c r="I2609" i="1"/>
  <c r="G2609" i="1"/>
  <c r="E2609" i="1"/>
  <c r="C2609" i="1"/>
  <c r="I2608" i="1"/>
  <c r="G2608" i="1"/>
  <c r="E2608" i="1"/>
  <c r="C2608" i="1"/>
  <c r="I2607" i="1"/>
  <c r="G2607" i="1"/>
  <c r="E2607" i="1"/>
  <c r="C2607" i="1"/>
  <c r="I2606" i="1"/>
  <c r="G2606" i="1"/>
  <c r="E2606" i="1"/>
  <c r="C2606" i="1"/>
  <c r="I2605" i="1"/>
  <c r="G2605" i="1"/>
  <c r="E2605" i="1"/>
  <c r="C2605" i="1"/>
  <c r="I2604" i="1"/>
  <c r="G2604" i="1"/>
  <c r="E2604" i="1"/>
  <c r="C2604" i="1"/>
  <c r="I2603" i="1"/>
  <c r="G2603" i="1"/>
  <c r="E2603" i="1"/>
  <c r="C2603" i="1"/>
  <c r="I2602" i="1"/>
  <c r="G2602" i="1"/>
  <c r="E2602" i="1"/>
  <c r="C2602" i="1"/>
  <c r="I2601" i="1"/>
  <c r="G2601" i="1"/>
  <c r="E2601" i="1"/>
  <c r="C2601" i="1"/>
  <c r="I2600" i="1"/>
  <c r="G2600" i="1"/>
  <c r="E2600" i="1"/>
  <c r="C2600" i="1"/>
  <c r="I2599" i="1"/>
  <c r="G2599" i="1"/>
  <c r="E2599" i="1"/>
  <c r="C2599" i="1"/>
  <c r="I2598" i="1"/>
  <c r="G2598" i="1"/>
  <c r="E2598" i="1"/>
  <c r="C2598" i="1"/>
  <c r="I2597" i="1"/>
  <c r="G2597" i="1"/>
  <c r="E2597" i="1"/>
  <c r="C2597" i="1"/>
  <c r="I2596" i="1"/>
  <c r="G2596" i="1"/>
  <c r="E2596" i="1"/>
  <c r="C2596" i="1"/>
  <c r="I2595" i="1"/>
  <c r="G2595" i="1"/>
  <c r="E2595" i="1"/>
  <c r="C2595" i="1"/>
  <c r="I2594" i="1"/>
  <c r="G2594" i="1"/>
  <c r="E2594" i="1"/>
  <c r="C2594" i="1"/>
  <c r="I2593" i="1"/>
  <c r="G2593" i="1"/>
  <c r="E2593" i="1"/>
  <c r="C2593" i="1"/>
  <c r="I2592" i="1"/>
  <c r="G2592" i="1"/>
  <c r="E2592" i="1"/>
  <c r="C2592" i="1"/>
  <c r="I2591" i="1"/>
  <c r="G2591" i="1"/>
  <c r="E2591" i="1"/>
  <c r="C2591" i="1"/>
  <c r="I2590" i="1"/>
  <c r="G2590" i="1"/>
  <c r="E2590" i="1"/>
  <c r="C2590" i="1"/>
  <c r="I2589" i="1"/>
  <c r="G2589" i="1"/>
  <c r="E2589" i="1"/>
  <c r="C2589" i="1"/>
  <c r="I2588" i="1"/>
  <c r="G2588" i="1"/>
  <c r="E2588" i="1"/>
  <c r="C2588" i="1"/>
  <c r="I2587" i="1"/>
  <c r="G2587" i="1"/>
  <c r="E2587" i="1"/>
  <c r="C2587" i="1"/>
  <c r="I2586" i="1"/>
  <c r="G2586" i="1"/>
  <c r="E2586" i="1"/>
  <c r="C2586" i="1"/>
  <c r="I2585" i="1"/>
  <c r="G2585" i="1"/>
  <c r="E2585" i="1"/>
  <c r="C2585" i="1"/>
  <c r="I2584" i="1"/>
  <c r="G2584" i="1"/>
  <c r="E2584" i="1"/>
  <c r="C2584" i="1"/>
  <c r="I2583" i="1"/>
  <c r="G2583" i="1"/>
  <c r="E2583" i="1"/>
  <c r="C2583" i="1"/>
  <c r="I2582" i="1"/>
  <c r="G2582" i="1"/>
  <c r="E2582" i="1"/>
  <c r="C2582" i="1"/>
  <c r="I2581" i="1"/>
  <c r="G2581" i="1"/>
  <c r="E2581" i="1"/>
  <c r="C2581" i="1"/>
  <c r="I2580" i="1"/>
  <c r="G2580" i="1"/>
  <c r="E2580" i="1"/>
  <c r="C2580" i="1"/>
  <c r="I2579" i="1"/>
  <c r="G2579" i="1"/>
  <c r="E2579" i="1"/>
  <c r="C2579" i="1"/>
  <c r="I2578" i="1"/>
  <c r="G2578" i="1"/>
  <c r="E2578" i="1"/>
  <c r="C2578" i="1"/>
  <c r="I2577" i="1"/>
  <c r="G2577" i="1"/>
  <c r="E2577" i="1"/>
  <c r="C2577" i="1"/>
  <c r="I2576" i="1"/>
  <c r="G2576" i="1"/>
  <c r="E2576" i="1"/>
  <c r="C2576" i="1"/>
  <c r="I2575" i="1"/>
  <c r="G2575" i="1"/>
  <c r="E2575" i="1"/>
  <c r="C2575" i="1"/>
  <c r="I2574" i="1"/>
  <c r="G2574" i="1"/>
  <c r="E2574" i="1"/>
  <c r="C2574" i="1"/>
  <c r="I2573" i="1"/>
  <c r="G2573" i="1"/>
  <c r="E2573" i="1"/>
  <c r="C2573" i="1"/>
  <c r="I2572" i="1"/>
  <c r="G2572" i="1"/>
  <c r="E2572" i="1"/>
  <c r="C2572" i="1"/>
  <c r="I2571" i="1"/>
  <c r="G2571" i="1"/>
  <c r="E2571" i="1"/>
  <c r="C2571" i="1"/>
  <c r="I2570" i="1"/>
  <c r="G2570" i="1"/>
  <c r="E2570" i="1"/>
  <c r="C2570" i="1"/>
  <c r="I2569" i="1"/>
  <c r="G2569" i="1"/>
  <c r="E2569" i="1"/>
  <c r="C2569" i="1"/>
  <c r="I2568" i="1"/>
  <c r="G2568" i="1"/>
  <c r="E2568" i="1"/>
  <c r="C2568" i="1"/>
  <c r="I2567" i="1"/>
  <c r="G2567" i="1"/>
  <c r="E2567" i="1"/>
  <c r="C2567" i="1"/>
  <c r="I2566" i="1"/>
  <c r="G2566" i="1"/>
  <c r="E2566" i="1"/>
  <c r="C2566" i="1"/>
  <c r="I2565" i="1"/>
  <c r="G2565" i="1"/>
  <c r="E2565" i="1"/>
  <c r="C2565" i="1"/>
  <c r="I2564" i="1"/>
  <c r="G2564" i="1"/>
  <c r="E2564" i="1"/>
  <c r="C2564" i="1"/>
  <c r="I2563" i="1"/>
  <c r="G2563" i="1"/>
  <c r="E2563" i="1"/>
  <c r="C2563" i="1"/>
  <c r="I2562" i="1"/>
  <c r="G2562" i="1"/>
  <c r="E2562" i="1"/>
  <c r="C2562" i="1"/>
  <c r="I2561" i="1"/>
  <c r="G2561" i="1"/>
  <c r="E2561" i="1"/>
  <c r="C2561" i="1"/>
  <c r="I2560" i="1"/>
  <c r="G2560" i="1"/>
  <c r="E2560" i="1"/>
  <c r="C2560" i="1"/>
  <c r="I2559" i="1"/>
  <c r="G2559" i="1"/>
  <c r="E2559" i="1"/>
  <c r="C2559" i="1"/>
  <c r="I2558" i="1"/>
  <c r="G2558" i="1"/>
  <c r="E2558" i="1"/>
  <c r="C2558" i="1"/>
  <c r="I2557" i="1"/>
  <c r="G2557" i="1"/>
  <c r="E2557" i="1"/>
  <c r="C2557" i="1"/>
  <c r="I2556" i="1"/>
  <c r="G2556" i="1"/>
  <c r="E2556" i="1"/>
  <c r="C2556" i="1"/>
  <c r="I2555" i="1"/>
  <c r="G2555" i="1"/>
  <c r="E2555" i="1"/>
  <c r="C2555" i="1"/>
  <c r="I2554" i="1"/>
  <c r="G2554" i="1"/>
  <c r="E2554" i="1"/>
  <c r="C2554" i="1"/>
  <c r="I2553" i="1"/>
  <c r="G2553" i="1"/>
  <c r="E2553" i="1"/>
  <c r="C2553" i="1"/>
  <c r="I2552" i="1"/>
  <c r="G2552" i="1"/>
  <c r="E2552" i="1"/>
  <c r="C2552" i="1"/>
  <c r="I2551" i="1"/>
  <c r="G2551" i="1"/>
  <c r="E2551" i="1"/>
  <c r="C2551" i="1"/>
  <c r="I2550" i="1"/>
  <c r="G2550" i="1"/>
  <c r="E2550" i="1"/>
  <c r="C2550" i="1"/>
  <c r="I2549" i="1"/>
  <c r="G2549" i="1"/>
  <c r="E2549" i="1"/>
  <c r="C2549" i="1"/>
  <c r="I2548" i="1"/>
  <c r="G2548" i="1"/>
  <c r="E2548" i="1"/>
  <c r="C2548" i="1"/>
  <c r="I2547" i="1"/>
  <c r="G2547" i="1"/>
  <c r="E2547" i="1"/>
  <c r="C2547" i="1"/>
  <c r="I2546" i="1"/>
  <c r="G2546" i="1"/>
  <c r="E2546" i="1"/>
  <c r="C2546" i="1"/>
  <c r="I2545" i="1"/>
  <c r="G2545" i="1"/>
  <c r="E2545" i="1"/>
  <c r="C2545" i="1"/>
  <c r="I2544" i="1"/>
  <c r="G2544" i="1"/>
  <c r="E2544" i="1"/>
  <c r="C2544" i="1"/>
  <c r="I2543" i="1"/>
  <c r="G2543" i="1"/>
  <c r="E2543" i="1"/>
  <c r="C2543" i="1"/>
  <c r="I2542" i="1"/>
  <c r="G2542" i="1"/>
  <c r="E2542" i="1"/>
  <c r="C2542" i="1"/>
  <c r="I2541" i="1"/>
  <c r="G2541" i="1"/>
  <c r="E2541" i="1"/>
  <c r="C2541" i="1"/>
  <c r="I2540" i="1"/>
  <c r="G2540" i="1"/>
  <c r="E2540" i="1"/>
  <c r="C2540" i="1"/>
  <c r="I2539" i="1"/>
  <c r="G2539" i="1"/>
  <c r="E2539" i="1"/>
  <c r="C2539" i="1"/>
  <c r="I2538" i="1"/>
  <c r="G2538" i="1"/>
  <c r="E2538" i="1"/>
  <c r="C2538" i="1"/>
  <c r="I2537" i="1"/>
  <c r="G2537" i="1"/>
  <c r="E2537" i="1"/>
  <c r="C2537" i="1"/>
  <c r="I2536" i="1"/>
  <c r="G2536" i="1"/>
  <c r="E2536" i="1"/>
  <c r="C2536" i="1"/>
  <c r="I2535" i="1"/>
  <c r="G2535" i="1"/>
  <c r="E2535" i="1"/>
  <c r="C2535" i="1"/>
  <c r="I2534" i="1"/>
  <c r="G2534" i="1"/>
  <c r="E2534" i="1"/>
  <c r="C2534" i="1"/>
  <c r="I2533" i="1"/>
  <c r="G2533" i="1"/>
  <c r="E2533" i="1"/>
  <c r="C2533" i="1"/>
  <c r="I2532" i="1"/>
  <c r="G2532" i="1"/>
  <c r="E2532" i="1"/>
  <c r="C2532" i="1"/>
  <c r="I2531" i="1"/>
  <c r="G2531" i="1"/>
  <c r="E2531" i="1"/>
  <c r="C2531" i="1"/>
  <c r="I2530" i="1"/>
  <c r="G2530" i="1"/>
  <c r="E2530" i="1"/>
  <c r="C2530" i="1"/>
  <c r="I2529" i="1"/>
  <c r="G2529" i="1"/>
  <c r="E2529" i="1"/>
  <c r="C2529" i="1"/>
  <c r="I2528" i="1"/>
  <c r="G2528" i="1"/>
  <c r="E2528" i="1"/>
  <c r="C2528" i="1"/>
  <c r="I2527" i="1"/>
  <c r="G2527" i="1"/>
  <c r="E2527" i="1"/>
  <c r="C2527" i="1"/>
  <c r="I2526" i="1"/>
  <c r="G2526" i="1"/>
  <c r="E2526" i="1"/>
  <c r="C2526" i="1"/>
  <c r="I2525" i="1"/>
  <c r="G2525" i="1"/>
  <c r="E2525" i="1"/>
  <c r="C2525" i="1"/>
  <c r="I2524" i="1"/>
  <c r="G2524" i="1"/>
  <c r="E2524" i="1"/>
  <c r="C2524" i="1"/>
  <c r="I2523" i="1"/>
  <c r="G2523" i="1"/>
  <c r="E2523" i="1"/>
  <c r="C2523" i="1"/>
  <c r="I2522" i="1"/>
  <c r="G2522" i="1"/>
  <c r="E2522" i="1"/>
  <c r="C2522" i="1"/>
  <c r="I2521" i="1"/>
  <c r="G2521" i="1"/>
  <c r="E2521" i="1"/>
  <c r="C2521" i="1"/>
  <c r="I2520" i="1"/>
  <c r="G2520" i="1"/>
  <c r="E2520" i="1"/>
  <c r="C2520" i="1"/>
  <c r="I2519" i="1"/>
  <c r="G2519" i="1"/>
  <c r="E2519" i="1"/>
  <c r="C2519" i="1"/>
  <c r="I2518" i="1"/>
  <c r="G2518" i="1"/>
  <c r="E2518" i="1"/>
  <c r="C2518" i="1"/>
  <c r="I2517" i="1"/>
  <c r="G2517" i="1"/>
  <c r="E2517" i="1"/>
  <c r="C2517" i="1"/>
  <c r="I2516" i="1"/>
  <c r="G2516" i="1"/>
  <c r="E2516" i="1"/>
  <c r="C2516" i="1"/>
  <c r="I2515" i="1"/>
  <c r="G2515" i="1"/>
  <c r="E2515" i="1"/>
  <c r="C2515" i="1"/>
  <c r="I2514" i="1"/>
  <c r="G2514" i="1"/>
  <c r="E2514" i="1"/>
  <c r="C2514" i="1"/>
  <c r="I2513" i="1"/>
  <c r="G2513" i="1"/>
  <c r="E2513" i="1"/>
  <c r="C2513" i="1"/>
  <c r="I2512" i="1"/>
  <c r="G2512" i="1"/>
  <c r="E2512" i="1"/>
  <c r="C2512" i="1"/>
  <c r="I2511" i="1"/>
  <c r="G2511" i="1"/>
  <c r="E2511" i="1"/>
  <c r="C2511" i="1"/>
  <c r="I2510" i="1"/>
  <c r="G2510" i="1"/>
  <c r="E2510" i="1"/>
  <c r="C2510" i="1"/>
  <c r="I2509" i="1"/>
  <c r="G2509" i="1"/>
  <c r="E2509" i="1"/>
  <c r="C2509" i="1"/>
  <c r="I2508" i="1"/>
  <c r="G2508" i="1"/>
  <c r="E2508" i="1"/>
  <c r="C2508" i="1"/>
  <c r="I2507" i="1"/>
  <c r="G2507" i="1"/>
  <c r="E2507" i="1"/>
  <c r="C2507" i="1"/>
  <c r="I2506" i="1"/>
  <c r="G2506" i="1"/>
  <c r="E2506" i="1"/>
  <c r="C2506" i="1"/>
  <c r="I2505" i="1"/>
  <c r="G2505" i="1"/>
  <c r="E2505" i="1"/>
  <c r="C2505" i="1"/>
  <c r="I2504" i="1"/>
  <c r="G2504" i="1"/>
  <c r="E2504" i="1"/>
  <c r="C2504" i="1"/>
  <c r="I2503" i="1"/>
  <c r="G2503" i="1"/>
  <c r="E2503" i="1"/>
  <c r="C2503" i="1"/>
  <c r="I2502" i="1"/>
  <c r="G2502" i="1"/>
  <c r="E2502" i="1"/>
  <c r="C2502" i="1"/>
  <c r="I2501" i="1"/>
  <c r="G2501" i="1"/>
  <c r="E2501" i="1"/>
  <c r="C2501" i="1"/>
  <c r="I2500" i="1"/>
  <c r="G2500" i="1"/>
  <c r="E2500" i="1"/>
  <c r="C2500" i="1"/>
  <c r="I2499" i="1"/>
  <c r="G2499" i="1"/>
  <c r="E2499" i="1"/>
  <c r="C2499" i="1"/>
  <c r="I2498" i="1"/>
  <c r="G2498" i="1"/>
  <c r="E2498" i="1"/>
  <c r="C2498" i="1"/>
  <c r="I2497" i="1"/>
  <c r="G2497" i="1"/>
  <c r="E2497" i="1"/>
  <c r="C2497" i="1"/>
  <c r="I2496" i="1"/>
  <c r="G2496" i="1"/>
  <c r="E2496" i="1"/>
  <c r="C2496" i="1"/>
  <c r="I2495" i="1"/>
  <c r="G2495" i="1"/>
  <c r="E2495" i="1"/>
  <c r="C2495" i="1"/>
  <c r="I2494" i="1"/>
  <c r="G2494" i="1"/>
  <c r="E2494" i="1"/>
  <c r="C2494" i="1"/>
  <c r="I2493" i="1"/>
  <c r="G2493" i="1"/>
  <c r="E2493" i="1"/>
  <c r="C2493" i="1"/>
  <c r="I2492" i="1"/>
  <c r="G2492" i="1"/>
  <c r="E2492" i="1"/>
  <c r="C2492" i="1"/>
  <c r="I2491" i="1"/>
  <c r="G2491" i="1"/>
  <c r="E2491" i="1"/>
  <c r="C2491" i="1"/>
  <c r="I2490" i="1"/>
  <c r="G2490" i="1"/>
  <c r="E2490" i="1"/>
  <c r="C2490" i="1"/>
  <c r="I2489" i="1"/>
  <c r="G2489" i="1"/>
  <c r="E2489" i="1"/>
  <c r="C2489" i="1"/>
  <c r="I2488" i="1"/>
  <c r="G2488" i="1"/>
  <c r="E2488" i="1"/>
  <c r="C2488" i="1"/>
  <c r="I2487" i="1"/>
  <c r="G2487" i="1"/>
  <c r="E2487" i="1"/>
  <c r="C2487" i="1"/>
  <c r="I2486" i="1"/>
  <c r="G2486" i="1"/>
  <c r="E2486" i="1"/>
  <c r="C2486" i="1"/>
  <c r="I2485" i="1"/>
  <c r="G2485" i="1"/>
  <c r="E2485" i="1"/>
  <c r="C2485" i="1"/>
  <c r="I2484" i="1"/>
  <c r="G2484" i="1"/>
  <c r="E2484" i="1"/>
  <c r="C2484" i="1"/>
  <c r="I2483" i="1"/>
  <c r="G2483" i="1"/>
  <c r="E2483" i="1"/>
  <c r="C2483" i="1"/>
  <c r="I2482" i="1"/>
  <c r="G2482" i="1"/>
  <c r="E2482" i="1"/>
  <c r="C2482" i="1"/>
  <c r="I2481" i="1"/>
  <c r="G2481" i="1"/>
  <c r="E2481" i="1"/>
  <c r="C2481" i="1"/>
  <c r="I2480" i="1"/>
  <c r="G2480" i="1"/>
  <c r="E2480" i="1"/>
  <c r="C2480" i="1"/>
  <c r="I2479" i="1"/>
  <c r="G2479" i="1"/>
  <c r="E2479" i="1"/>
  <c r="C2479" i="1"/>
  <c r="I2478" i="1"/>
  <c r="G2478" i="1"/>
  <c r="E2478" i="1"/>
  <c r="C2478" i="1"/>
  <c r="I2477" i="1"/>
  <c r="G2477" i="1"/>
  <c r="E2477" i="1"/>
  <c r="C2477" i="1"/>
  <c r="I2476" i="1"/>
  <c r="G2476" i="1"/>
  <c r="E2476" i="1"/>
  <c r="C2476" i="1"/>
  <c r="I2475" i="1"/>
  <c r="G2475" i="1"/>
  <c r="E2475" i="1"/>
  <c r="C2475" i="1"/>
  <c r="I2474" i="1"/>
  <c r="G2474" i="1"/>
  <c r="E2474" i="1"/>
  <c r="C2474" i="1"/>
  <c r="I2473" i="1"/>
  <c r="G2473" i="1"/>
  <c r="E2473" i="1"/>
  <c r="C2473" i="1"/>
  <c r="I2472" i="1"/>
  <c r="G2472" i="1"/>
  <c r="E2472" i="1"/>
  <c r="C2472" i="1"/>
  <c r="I2471" i="1"/>
  <c r="G2471" i="1"/>
  <c r="E2471" i="1"/>
  <c r="C2471" i="1"/>
  <c r="I2470" i="1"/>
  <c r="G2470" i="1"/>
  <c r="E2470" i="1"/>
  <c r="C2470" i="1"/>
  <c r="I2469" i="1"/>
  <c r="G2469" i="1"/>
  <c r="E2469" i="1"/>
  <c r="C2469" i="1"/>
  <c r="I2468" i="1"/>
  <c r="G2468" i="1"/>
  <c r="E2468" i="1"/>
  <c r="C2468" i="1"/>
  <c r="I2467" i="1"/>
  <c r="G2467" i="1"/>
  <c r="E2467" i="1"/>
  <c r="C2467" i="1"/>
  <c r="I2466" i="1"/>
  <c r="G2466" i="1"/>
  <c r="E2466" i="1"/>
  <c r="C2466" i="1"/>
  <c r="I2465" i="1"/>
  <c r="G2465" i="1"/>
  <c r="E2465" i="1"/>
  <c r="C2465" i="1"/>
  <c r="I2464" i="1"/>
  <c r="G2464" i="1"/>
  <c r="E2464" i="1"/>
  <c r="C2464" i="1"/>
  <c r="I2463" i="1"/>
  <c r="G2463" i="1"/>
  <c r="E2463" i="1"/>
  <c r="C2463" i="1"/>
  <c r="I2462" i="1"/>
  <c r="G2462" i="1"/>
  <c r="E2462" i="1"/>
  <c r="C2462" i="1"/>
  <c r="I2461" i="1"/>
  <c r="G2461" i="1"/>
  <c r="E2461" i="1"/>
  <c r="C2461" i="1"/>
  <c r="I2460" i="1"/>
  <c r="G2460" i="1"/>
  <c r="E2460" i="1"/>
  <c r="C2460" i="1"/>
  <c r="I2459" i="1"/>
  <c r="G2459" i="1"/>
  <c r="E2459" i="1"/>
  <c r="C2459" i="1"/>
  <c r="I2458" i="1"/>
  <c r="G2458" i="1"/>
  <c r="E2458" i="1"/>
  <c r="C2458" i="1"/>
  <c r="I2457" i="1"/>
  <c r="G2457" i="1"/>
  <c r="E2457" i="1"/>
  <c r="C2457" i="1"/>
  <c r="I2456" i="1"/>
  <c r="G2456" i="1"/>
  <c r="E2456" i="1"/>
  <c r="C2456" i="1"/>
  <c r="I2455" i="1"/>
  <c r="G2455" i="1"/>
  <c r="E2455" i="1"/>
  <c r="C2455" i="1"/>
  <c r="I2454" i="1"/>
  <c r="G2454" i="1"/>
  <c r="E2454" i="1"/>
  <c r="C2454" i="1"/>
  <c r="I2453" i="1"/>
  <c r="G2453" i="1"/>
  <c r="E2453" i="1"/>
  <c r="C2453" i="1"/>
  <c r="I2452" i="1"/>
  <c r="G2452" i="1"/>
  <c r="E2452" i="1"/>
  <c r="C2452" i="1"/>
  <c r="I2451" i="1"/>
  <c r="G2451" i="1"/>
  <c r="E2451" i="1"/>
  <c r="C2451" i="1"/>
  <c r="I2450" i="1"/>
  <c r="G2450" i="1"/>
  <c r="E2450" i="1"/>
  <c r="C2450" i="1"/>
  <c r="I2449" i="1"/>
  <c r="G2449" i="1"/>
  <c r="E2449" i="1"/>
  <c r="C2449" i="1"/>
  <c r="I2448" i="1"/>
  <c r="G2448" i="1"/>
  <c r="E2448" i="1"/>
  <c r="C2448" i="1"/>
  <c r="I2447" i="1"/>
  <c r="G2447" i="1"/>
  <c r="E2447" i="1"/>
  <c r="C2447" i="1"/>
  <c r="I2446" i="1"/>
  <c r="G2446" i="1"/>
  <c r="E2446" i="1"/>
  <c r="C2446" i="1"/>
  <c r="I2445" i="1"/>
  <c r="G2445" i="1"/>
  <c r="E2445" i="1"/>
  <c r="C2445" i="1"/>
  <c r="I2444" i="1"/>
  <c r="G2444" i="1"/>
  <c r="E2444" i="1"/>
  <c r="C2444" i="1"/>
  <c r="I2443" i="1"/>
  <c r="G2443" i="1"/>
  <c r="E2443" i="1"/>
  <c r="C2443" i="1"/>
  <c r="I2442" i="1"/>
  <c r="G2442" i="1"/>
  <c r="E2442" i="1"/>
  <c r="C2442" i="1"/>
  <c r="I2441" i="1"/>
  <c r="G2441" i="1"/>
  <c r="E2441" i="1"/>
  <c r="C2441" i="1"/>
  <c r="I2440" i="1"/>
  <c r="G2440" i="1"/>
  <c r="E2440" i="1"/>
  <c r="C2440" i="1"/>
  <c r="I2439" i="1"/>
  <c r="G2439" i="1"/>
  <c r="E2439" i="1"/>
  <c r="C2439" i="1"/>
  <c r="I2438" i="1"/>
  <c r="G2438" i="1"/>
  <c r="E2438" i="1"/>
  <c r="C2438" i="1"/>
  <c r="I2437" i="1"/>
  <c r="G2437" i="1"/>
  <c r="E2437" i="1"/>
  <c r="C2437" i="1"/>
  <c r="I2436" i="1"/>
  <c r="G2436" i="1"/>
  <c r="E2436" i="1"/>
  <c r="C2436" i="1"/>
  <c r="I2435" i="1"/>
  <c r="G2435" i="1"/>
  <c r="E2435" i="1"/>
  <c r="C2435" i="1"/>
  <c r="I2434" i="1"/>
  <c r="G2434" i="1"/>
  <c r="E2434" i="1"/>
  <c r="C2434" i="1"/>
  <c r="I2433" i="1"/>
  <c r="G2433" i="1"/>
  <c r="E2433" i="1"/>
  <c r="C2433" i="1"/>
  <c r="I2432" i="1"/>
  <c r="G2432" i="1"/>
  <c r="E2432" i="1"/>
  <c r="C2432" i="1"/>
  <c r="I2431" i="1"/>
  <c r="G2431" i="1"/>
  <c r="E2431" i="1"/>
  <c r="C2431" i="1"/>
  <c r="I2430" i="1"/>
  <c r="G2430" i="1"/>
  <c r="E2430" i="1"/>
  <c r="C2430" i="1"/>
  <c r="I2429" i="1"/>
  <c r="G2429" i="1"/>
  <c r="E2429" i="1"/>
  <c r="C2429" i="1"/>
  <c r="I2428" i="1"/>
  <c r="G2428" i="1"/>
  <c r="E2428" i="1"/>
  <c r="C2428" i="1"/>
  <c r="I2427" i="1"/>
  <c r="G2427" i="1"/>
  <c r="E2427" i="1"/>
  <c r="C2427" i="1"/>
  <c r="I2426" i="1"/>
  <c r="G2426" i="1"/>
  <c r="E2426" i="1"/>
  <c r="C2426" i="1"/>
  <c r="I2425" i="1"/>
  <c r="G2425" i="1"/>
  <c r="E2425" i="1"/>
  <c r="C2425" i="1"/>
  <c r="I2424" i="1"/>
  <c r="G2424" i="1"/>
  <c r="E2424" i="1"/>
  <c r="C2424" i="1"/>
  <c r="I2423" i="1"/>
  <c r="G2423" i="1"/>
  <c r="E2423" i="1"/>
  <c r="C2423" i="1"/>
  <c r="I2422" i="1"/>
  <c r="G2422" i="1"/>
  <c r="E2422" i="1"/>
  <c r="C2422" i="1"/>
  <c r="I2421" i="1"/>
  <c r="G2421" i="1"/>
  <c r="E2421" i="1"/>
  <c r="C2421" i="1"/>
  <c r="I2420" i="1"/>
  <c r="G2420" i="1"/>
  <c r="E2420" i="1"/>
  <c r="C2420" i="1"/>
  <c r="I2419" i="1"/>
  <c r="G2419" i="1"/>
  <c r="E2419" i="1"/>
  <c r="C2419" i="1"/>
  <c r="I2418" i="1"/>
  <c r="G2418" i="1"/>
  <c r="E2418" i="1"/>
  <c r="C2418" i="1"/>
  <c r="I2417" i="1"/>
  <c r="G2417" i="1"/>
  <c r="E2417" i="1"/>
  <c r="C2417" i="1"/>
  <c r="I2416" i="1"/>
  <c r="G2416" i="1"/>
  <c r="E2416" i="1"/>
  <c r="C2416" i="1"/>
  <c r="I2415" i="1"/>
  <c r="G2415" i="1"/>
  <c r="E2415" i="1"/>
  <c r="C2415" i="1"/>
  <c r="I2414" i="1"/>
  <c r="G2414" i="1"/>
  <c r="E2414" i="1"/>
  <c r="C2414" i="1"/>
  <c r="I2413" i="1"/>
  <c r="G2413" i="1"/>
  <c r="E2413" i="1"/>
  <c r="C2413" i="1"/>
  <c r="I2412" i="1"/>
  <c r="G2412" i="1"/>
  <c r="E2412" i="1"/>
  <c r="C2412" i="1"/>
  <c r="I2411" i="1"/>
  <c r="G2411" i="1"/>
  <c r="E2411" i="1"/>
  <c r="C2411" i="1"/>
  <c r="I2410" i="1"/>
  <c r="G2410" i="1"/>
  <c r="E2410" i="1"/>
  <c r="C2410" i="1"/>
  <c r="I2409" i="1"/>
  <c r="G2409" i="1"/>
  <c r="E2409" i="1"/>
  <c r="C2409" i="1"/>
  <c r="I2408" i="1"/>
  <c r="G2408" i="1"/>
  <c r="E2408" i="1"/>
  <c r="C2408" i="1"/>
  <c r="I2407" i="1"/>
  <c r="G2407" i="1"/>
  <c r="E2407" i="1"/>
  <c r="C2407" i="1"/>
  <c r="I2406" i="1"/>
  <c r="G2406" i="1"/>
  <c r="E2406" i="1"/>
  <c r="C2406" i="1"/>
  <c r="I2405" i="1"/>
  <c r="G2405" i="1"/>
  <c r="E2405" i="1"/>
  <c r="C2405" i="1"/>
  <c r="I2404" i="1"/>
  <c r="G2404" i="1"/>
  <c r="E2404" i="1"/>
  <c r="C2404" i="1"/>
  <c r="I2403" i="1"/>
  <c r="G2403" i="1"/>
  <c r="E2403" i="1"/>
  <c r="C2403" i="1"/>
  <c r="I2402" i="1"/>
  <c r="G2402" i="1"/>
  <c r="E2402" i="1"/>
  <c r="C2402" i="1"/>
  <c r="I2401" i="1"/>
  <c r="G2401" i="1"/>
  <c r="E2401" i="1"/>
  <c r="C2401" i="1"/>
  <c r="I2400" i="1"/>
  <c r="G2400" i="1"/>
  <c r="E2400" i="1"/>
  <c r="C2400" i="1"/>
  <c r="I2399" i="1"/>
  <c r="G2399" i="1"/>
  <c r="E2399" i="1"/>
  <c r="C2399" i="1"/>
  <c r="I2398" i="1"/>
  <c r="G2398" i="1"/>
  <c r="E2398" i="1"/>
  <c r="C2398" i="1"/>
  <c r="I2397" i="1"/>
  <c r="G2397" i="1"/>
  <c r="E2397" i="1"/>
  <c r="C2397" i="1"/>
  <c r="I2396" i="1"/>
  <c r="G2396" i="1"/>
  <c r="E2396" i="1"/>
  <c r="C2396" i="1"/>
  <c r="I2395" i="1"/>
  <c r="G2395" i="1"/>
  <c r="E2395" i="1"/>
  <c r="C2395" i="1"/>
  <c r="I2394" i="1"/>
  <c r="G2394" i="1"/>
  <c r="E2394" i="1"/>
  <c r="C2394" i="1"/>
  <c r="I2393" i="1"/>
  <c r="G2393" i="1"/>
  <c r="E2393" i="1"/>
  <c r="C2393" i="1"/>
  <c r="I2392" i="1"/>
  <c r="G2392" i="1"/>
  <c r="E2392" i="1"/>
  <c r="C2392" i="1"/>
  <c r="I2391" i="1"/>
  <c r="G2391" i="1"/>
  <c r="E2391" i="1"/>
  <c r="C2391" i="1"/>
  <c r="I2390" i="1"/>
  <c r="G2390" i="1"/>
  <c r="E2390" i="1"/>
  <c r="C2390" i="1"/>
  <c r="I2389" i="1"/>
  <c r="G2389" i="1"/>
  <c r="E2389" i="1"/>
  <c r="C2389" i="1"/>
  <c r="I2388" i="1"/>
  <c r="G2388" i="1"/>
  <c r="E2388" i="1"/>
  <c r="C2388" i="1"/>
  <c r="I2387" i="1"/>
  <c r="G2387" i="1"/>
  <c r="E2387" i="1"/>
  <c r="C2387" i="1"/>
  <c r="I2386" i="1"/>
  <c r="G2386" i="1"/>
  <c r="E2386" i="1"/>
  <c r="C2386" i="1"/>
  <c r="I2385" i="1"/>
  <c r="G2385" i="1"/>
  <c r="E2385" i="1"/>
  <c r="C2385" i="1"/>
  <c r="I2384" i="1"/>
  <c r="G2384" i="1"/>
  <c r="E2384" i="1"/>
  <c r="C2384" i="1"/>
  <c r="I2383" i="1"/>
  <c r="G2383" i="1"/>
  <c r="E2383" i="1"/>
  <c r="C2383" i="1"/>
  <c r="I2382" i="1"/>
  <c r="G2382" i="1"/>
  <c r="E2382" i="1"/>
  <c r="C2382" i="1"/>
  <c r="I2381" i="1"/>
  <c r="G2381" i="1"/>
  <c r="E2381" i="1"/>
  <c r="C2381" i="1"/>
  <c r="I2380" i="1"/>
  <c r="G2380" i="1"/>
  <c r="E2380" i="1"/>
  <c r="C2380" i="1"/>
  <c r="I2379" i="1"/>
  <c r="G2379" i="1"/>
  <c r="E2379" i="1"/>
  <c r="C2379" i="1"/>
  <c r="I2378" i="1"/>
  <c r="G2378" i="1"/>
  <c r="E2378" i="1"/>
  <c r="C2378" i="1"/>
  <c r="I2377" i="1"/>
  <c r="G2377" i="1"/>
  <c r="E2377" i="1"/>
  <c r="C2377" i="1"/>
  <c r="I2376" i="1"/>
  <c r="G2376" i="1"/>
  <c r="E2376" i="1"/>
  <c r="C2376" i="1"/>
  <c r="I2375" i="1"/>
  <c r="G2375" i="1"/>
  <c r="E2375" i="1"/>
  <c r="C2375" i="1"/>
  <c r="I2374" i="1"/>
  <c r="G2374" i="1"/>
  <c r="E2374" i="1"/>
  <c r="C2374" i="1"/>
  <c r="I2373" i="1"/>
  <c r="G2373" i="1"/>
  <c r="E2373" i="1"/>
  <c r="C2373" i="1"/>
  <c r="I2372" i="1"/>
  <c r="G2372" i="1"/>
  <c r="E2372" i="1"/>
  <c r="C2372" i="1"/>
  <c r="I2371" i="1"/>
  <c r="G2371" i="1"/>
  <c r="E2371" i="1"/>
  <c r="C2371" i="1"/>
  <c r="I2370" i="1"/>
  <c r="G2370" i="1"/>
  <c r="E2370" i="1"/>
  <c r="C2370" i="1"/>
  <c r="I2369" i="1"/>
  <c r="G2369" i="1"/>
  <c r="E2369" i="1"/>
  <c r="C2369" i="1"/>
  <c r="I2368" i="1"/>
  <c r="G2368" i="1"/>
  <c r="E2368" i="1"/>
  <c r="C2368" i="1"/>
  <c r="I2367" i="1"/>
  <c r="G2367" i="1"/>
  <c r="E2367" i="1"/>
  <c r="C2367" i="1"/>
  <c r="I2366" i="1"/>
  <c r="G2366" i="1"/>
  <c r="E2366" i="1"/>
  <c r="C2366" i="1"/>
  <c r="I2365" i="1"/>
  <c r="G2365" i="1"/>
  <c r="E2365" i="1"/>
  <c r="C2365" i="1"/>
  <c r="I2364" i="1"/>
  <c r="G2364" i="1"/>
  <c r="E2364" i="1"/>
  <c r="C2364" i="1"/>
  <c r="I2363" i="1"/>
  <c r="G2363" i="1"/>
  <c r="E2363" i="1"/>
  <c r="C2363" i="1"/>
  <c r="I2362" i="1"/>
  <c r="G2362" i="1"/>
  <c r="E2362" i="1"/>
  <c r="C2362" i="1"/>
  <c r="I2361" i="1"/>
  <c r="G2361" i="1"/>
  <c r="E2361" i="1"/>
  <c r="C2361" i="1"/>
  <c r="I2360" i="1"/>
  <c r="G2360" i="1"/>
  <c r="E2360" i="1"/>
  <c r="C2360" i="1"/>
  <c r="I2359" i="1"/>
  <c r="G2359" i="1"/>
  <c r="E2359" i="1"/>
  <c r="C2359" i="1"/>
  <c r="I2358" i="1"/>
  <c r="G2358" i="1"/>
  <c r="E2358" i="1"/>
  <c r="C2358" i="1"/>
  <c r="I2357" i="1"/>
  <c r="G2357" i="1"/>
  <c r="E2357" i="1"/>
  <c r="C2357" i="1"/>
  <c r="I2356" i="1"/>
  <c r="G2356" i="1"/>
  <c r="E2356" i="1"/>
  <c r="C2356" i="1"/>
  <c r="I2355" i="1"/>
  <c r="G2355" i="1"/>
  <c r="E2355" i="1"/>
  <c r="C2355" i="1"/>
  <c r="I2354" i="1"/>
  <c r="G2354" i="1"/>
  <c r="E2354" i="1"/>
  <c r="C2354" i="1"/>
  <c r="I2353" i="1"/>
  <c r="G2353" i="1"/>
  <c r="E2353" i="1"/>
  <c r="C2353" i="1"/>
  <c r="I2352" i="1"/>
  <c r="G2352" i="1"/>
  <c r="E2352" i="1"/>
  <c r="C2352" i="1"/>
  <c r="I2351" i="1"/>
  <c r="G2351" i="1"/>
  <c r="E2351" i="1"/>
  <c r="C2351" i="1"/>
  <c r="I2350" i="1"/>
  <c r="G2350" i="1"/>
  <c r="E2350" i="1"/>
  <c r="C2350" i="1"/>
  <c r="I2349" i="1"/>
  <c r="G2349" i="1"/>
  <c r="E2349" i="1"/>
  <c r="C2349" i="1"/>
  <c r="I2348" i="1"/>
  <c r="G2348" i="1"/>
  <c r="E2348" i="1"/>
  <c r="C2348" i="1"/>
  <c r="I2347" i="1"/>
  <c r="G2347" i="1"/>
  <c r="E2347" i="1"/>
  <c r="C2347" i="1"/>
  <c r="I2346" i="1"/>
  <c r="G2346" i="1"/>
  <c r="E2346" i="1"/>
  <c r="C2346" i="1"/>
  <c r="I2345" i="1"/>
  <c r="G2345" i="1"/>
  <c r="E2345" i="1"/>
  <c r="C2345" i="1"/>
  <c r="I2344" i="1"/>
  <c r="G2344" i="1"/>
  <c r="E2344" i="1"/>
  <c r="C2344" i="1"/>
  <c r="I2343" i="1"/>
  <c r="G2343" i="1"/>
  <c r="E2343" i="1"/>
  <c r="C2343" i="1"/>
  <c r="I2342" i="1"/>
  <c r="G2342" i="1"/>
  <c r="E2342" i="1"/>
  <c r="C2342" i="1"/>
  <c r="I2341" i="1"/>
  <c r="G2341" i="1"/>
  <c r="E2341" i="1"/>
  <c r="C2341" i="1"/>
  <c r="I2340" i="1"/>
  <c r="G2340" i="1"/>
  <c r="E2340" i="1"/>
  <c r="C2340" i="1"/>
  <c r="I2339" i="1"/>
  <c r="G2339" i="1"/>
  <c r="E2339" i="1"/>
  <c r="C2339" i="1"/>
  <c r="I2338" i="1"/>
  <c r="G2338" i="1"/>
  <c r="E2338" i="1"/>
  <c r="C2338" i="1"/>
  <c r="I2337" i="1"/>
  <c r="G2337" i="1"/>
  <c r="E2337" i="1"/>
  <c r="C2337" i="1"/>
  <c r="I2336" i="1"/>
  <c r="G2336" i="1"/>
  <c r="E2336" i="1"/>
  <c r="C2336" i="1"/>
  <c r="I2335" i="1"/>
  <c r="G2335" i="1"/>
  <c r="E2335" i="1"/>
  <c r="C2335" i="1"/>
  <c r="I2334" i="1"/>
  <c r="G2334" i="1"/>
  <c r="E2334" i="1"/>
  <c r="C2334" i="1"/>
  <c r="I2333" i="1"/>
  <c r="G2333" i="1"/>
  <c r="E2333" i="1"/>
  <c r="C2333" i="1"/>
  <c r="I2332" i="1"/>
  <c r="G2332" i="1"/>
  <c r="E2332" i="1"/>
  <c r="C2332" i="1"/>
  <c r="I2331" i="1"/>
  <c r="G2331" i="1"/>
  <c r="E2331" i="1"/>
  <c r="C2331" i="1"/>
  <c r="I2330" i="1"/>
  <c r="G2330" i="1"/>
  <c r="E2330" i="1"/>
  <c r="C2330" i="1"/>
  <c r="I2329" i="1"/>
  <c r="G2329" i="1"/>
  <c r="E2329" i="1"/>
  <c r="C2329" i="1"/>
  <c r="I2328" i="1"/>
  <c r="G2328" i="1"/>
  <c r="E2328" i="1"/>
  <c r="C2328" i="1"/>
  <c r="I2327" i="1"/>
  <c r="G2327" i="1"/>
  <c r="E2327" i="1"/>
  <c r="C2327" i="1"/>
  <c r="I2326" i="1"/>
  <c r="G2326" i="1"/>
  <c r="E2326" i="1"/>
  <c r="C2326" i="1"/>
  <c r="I2325" i="1"/>
  <c r="G2325" i="1"/>
  <c r="E2325" i="1"/>
  <c r="C2325" i="1"/>
  <c r="I2324" i="1"/>
  <c r="G2324" i="1"/>
  <c r="E2324" i="1"/>
  <c r="C2324" i="1"/>
  <c r="I2323" i="1"/>
  <c r="G2323" i="1"/>
  <c r="E2323" i="1"/>
  <c r="C2323" i="1"/>
  <c r="I2322" i="1"/>
  <c r="G2322" i="1"/>
  <c r="E2322" i="1"/>
  <c r="C2322" i="1"/>
  <c r="I2321" i="1"/>
  <c r="G2321" i="1"/>
  <c r="E2321" i="1"/>
  <c r="C2321" i="1"/>
  <c r="I2320" i="1"/>
  <c r="G2320" i="1"/>
  <c r="E2320" i="1"/>
  <c r="C2320" i="1"/>
  <c r="I2319" i="1"/>
  <c r="G2319" i="1"/>
  <c r="E2319" i="1"/>
  <c r="C2319" i="1"/>
  <c r="I2318" i="1"/>
  <c r="G2318" i="1"/>
  <c r="E2318" i="1"/>
  <c r="C2318" i="1"/>
  <c r="I2317" i="1"/>
  <c r="G2317" i="1"/>
  <c r="E2317" i="1"/>
  <c r="C2317" i="1"/>
  <c r="I2316" i="1"/>
  <c r="G2316" i="1"/>
  <c r="E2316" i="1"/>
  <c r="C2316" i="1"/>
  <c r="I2315" i="1"/>
  <c r="G2315" i="1"/>
  <c r="E2315" i="1"/>
  <c r="C2315" i="1"/>
  <c r="I2314" i="1"/>
  <c r="G2314" i="1"/>
  <c r="E2314" i="1"/>
  <c r="C2314" i="1"/>
  <c r="I2313" i="1"/>
  <c r="G2313" i="1"/>
  <c r="E2313" i="1"/>
  <c r="C2313" i="1"/>
  <c r="I2312" i="1"/>
  <c r="G2312" i="1"/>
  <c r="E2312" i="1"/>
  <c r="C2312" i="1"/>
  <c r="I2311" i="1"/>
  <c r="G2311" i="1"/>
  <c r="E2311" i="1"/>
  <c r="C2311" i="1"/>
  <c r="I2310" i="1"/>
  <c r="G2310" i="1"/>
  <c r="E2310" i="1"/>
  <c r="C2310" i="1"/>
  <c r="I2309" i="1"/>
  <c r="G2309" i="1"/>
  <c r="E2309" i="1"/>
  <c r="C2309" i="1"/>
  <c r="I2308" i="1"/>
  <c r="G2308" i="1"/>
  <c r="E2308" i="1"/>
  <c r="C2308" i="1"/>
  <c r="I2307" i="1"/>
  <c r="G2307" i="1"/>
  <c r="E2307" i="1"/>
  <c r="C2307" i="1"/>
  <c r="I2306" i="1"/>
  <c r="G2306" i="1"/>
  <c r="E2306" i="1"/>
  <c r="C2306" i="1"/>
  <c r="I2305" i="1"/>
  <c r="G2305" i="1"/>
  <c r="E2305" i="1"/>
  <c r="C2305" i="1"/>
  <c r="I2304" i="1"/>
  <c r="G2304" i="1"/>
  <c r="E2304" i="1"/>
  <c r="C2304" i="1"/>
  <c r="I2303" i="1"/>
  <c r="G2303" i="1"/>
  <c r="E2303" i="1"/>
  <c r="C2303" i="1"/>
  <c r="I2302" i="1"/>
  <c r="G2302" i="1"/>
  <c r="E2302" i="1"/>
  <c r="C2302" i="1"/>
  <c r="I2301" i="1"/>
  <c r="G2301" i="1"/>
  <c r="E2301" i="1"/>
  <c r="C2301" i="1"/>
  <c r="I2300" i="1"/>
  <c r="G2300" i="1"/>
  <c r="E2300" i="1"/>
  <c r="C2300" i="1"/>
  <c r="I2299" i="1"/>
  <c r="G2299" i="1"/>
  <c r="E2299" i="1"/>
  <c r="C2299" i="1"/>
  <c r="I2298" i="1"/>
  <c r="G2298" i="1"/>
  <c r="E2298" i="1"/>
  <c r="C2298" i="1"/>
  <c r="I2297" i="1"/>
  <c r="G2297" i="1"/>
  <c r="E2297" i="1"/>
  <c r="C2297" i="1"/>
  <c r="I2296" i="1"/>
  <c r="G2296" i="1"/>
  <c r="E2296" i="1"/>
  <c r="C2296" i="1"/>
  <c r="I2295" i="1"/>
  <c r="G2295" i="1"/>
  <c r="E2295" i="1"/>
  <c r="C2295" i="1"/>
  <c r="I2294" i="1"/>
  <c r="G2294" i="1"/>
  <c r="E2294" i="1"/>
  <c r="C2294" i="1"/>
  <c r="I2293" i="1"/>
  <c r="G2293" i="1"/>
  <c r="E2293" i="1"/>
  <c r="C2293" i="1"/>
  <c r="I2292" i="1"/>
  <c r="G2292" i="1"/>
  <c r="E2292" i="1"/>
  <c r="C2292" i="1"/>
  <c r="I2291" i="1"/>
  <c r="G2291" i="1"/>
  <c r="E2291" i="1"/>
  <c r="C2291" i="1"/>
  <c r="I2290" i="1"/>
  <c r="G2290" i="1"/>
  <c r="E2290" i="1"/>
  <c r="C2290" i="1"/>
  <c r="I2289" i="1"/>
  <c r="G2289" i="1"/>
  <c r="E2289" i="1"/>
  <c r="C2289" i="1"/>
  <c r="I2288" i="1"/>
  <c r="G2288" i="1"/>
  <c r="E2288" i="1"/>
  <c r="C2288" i="1"/>
  <c r="I2287" i="1"/>
  <c r="G2287" i="1"/>
  <c r="E2287" i="1"/>
  <c r="C2287" i="1"/>
  <c r="I2286" i="1"/>
  <c r="G2286" i="1"/>
  <c r="E2286" i="1"/>
  <c r="C2286" i="1"/>
  <c r="I2285" i="1"/>
  <c r="G2285" i="1"/>
  <c r="E2285" i="1"/>
  <c r="C2285" i="1"/>
  <c r="I2284" i="1"/>
  <c r="G2284" i="1"/>
  <c r="E2284" i="1"/>
  <c r="C2284" i="1"/>
  <c r="I2283" i="1"/>
  <c r="G2283" i="1"/>
  <c r="E2283" i="1"/>
  <c r="C2283" i="1"/>
  <c r="I2282" i="1"/>
  <c r="G2282" i="1"/>
  <c r="E2282" i="1"/>
  <c r="C2282" i="1"/>
  <c r="I2281" i="1"/>
  <c r="G2281" i="1"/>
  <c r="E2281" i="1"/>
  <c r="C2281" i="1"/>
  <c r="I2280" i="1"/>
  <c r="G2280" i="1"/>
  <c r="E2280" i="1"/>
  <c r="C2280" i="1"/>
  <c r="I2279" i="1"/>
  <c r="G2279" i="1"/>
  <c r="E2279" i="1"/>
  <c r="C2279" i="1"/>
  <c r="I2278" i="1"/>
  <c r="G2278" i="1"/>
  <c r="E2278" i="1"/>
  <c r="C2278" i="1"/>
  <c r="I2277" i="1"/>
  <c r="G2277" i="1"/>
  <c r="E2277" i="1"/>
  <c r="C2277" i="1"/>
  <c r="I2276" i="1"/>
  <c r="G2276" i="1"/>
  <c r="E2276" i="1"/>
  <c r="C2276" i="1"/>
  <c r="I2275" i="1"/>
  <c r="G2275" i="1"/>
  <c r="E2275" i="1"/>
  <c r="C2275" i="1"/>
  <c r="I2274" i="1"/>
  <c r="G2274" i="1"/>
  <c r="E2274" i="1"/>
  <c r="C2274" i="1"/>
  <c r="I2273" i="1"/>
  <c r="G2273" i="1"/>
  <c r="E2273" i="1"/>
  <c r="C2273" i="1"/>
  <c r="I2272" i="1"/>
  <c r="G2272" i="1"/>
  <c r="E2272" i="1"/>
  <c r="C2272" i="1"/>
  <c r="I2271" i="1"/>
  <c r="G2271" i="1"/>
  <c r="E2271" i="1"/>
  <c r="C2271" i="1"/>
  <c r="I2270" i="1"/>
  <c r="G2270" i="1"/>
  <c r="E2270" i="1"/>
  <c r="C2270" i="1"/>
  <c r="I2269" i="1"/>
  <c r="G2269" i="1"/>
  <c r="E2269" i="1"/>
  <c r="C2269" i="1"/>
  <c r="I2268" i="1"/>
  <c r="G2268" i="1"/>
  <c r="E2268" i="1"/>
  <c r="C2268" i="1"/>
  <c r="I2267" i="1"/>
  <c r="G2267" i="1"/>
  <c r="E2267" i="1"/>
  <c r="C2267" i="1"/>
  <c r="I2266" i="1"/>
  <c r="G2266" i="1"/>
  <c r="E2266" i="1"/>
  <c r="C2266" i="1"/>
  <c r="I2265" i="1"/>
  <c r="G2265" i="1"/>
  <c r="E2265" i="1"/>
  <c r="C2265" i="1"/>
  <c r="I2264" i="1"/>
  <c r="G2264" i="1"/>
  <c r="E2264" i="1"/>
  <c r="C2264" i="1"/>
  <c r="I2263" i="1"/>
  <c r="G2263" i="1"/>
  <c r="E2263" i="1"/>
  <c r="C2263" i="1"/>
  <c r="I2262" i="1"/>
  <c r="G2262" i="1"/>
  <c r="E2262" i="1"/>
  <c r="C2262" i="1"/>
  <c r="I2261" i="1"/>
  <c r="G2261" i="1"/>
  <c r="E2261" i="1"/>
  <c r="C2261" i="1"/>
  <c r="I2260" i="1"/>
  <c r="G2260" i="1"/>
  <c r="E2260" i="1"/>
  <c r="C2260" i="1"/>
  <c r="I2259" i="1"/>
  <c r="G2259" i="1"/>
  <c r="E2259" i="1"/>
  <c r="C2259" i="1"/>
  <c r="I2258" i="1"/>
  <c r="G2258" i="1"/>
  <c r="E2258" i="1"/>
  <c r="C2258" i="1"/>
  <c r="I2257" i="1"/>
  <c r="G2257" i="1"/>
  <c r="E2257" i="1"/>
  <c r="C2257" i="1"/>
  <c r="I2256" i="1"/>
  <c r="G2256" i="1"/>
  <c r="E2256" i="1"/>
  <c r="C2256" i="1"/>
  <c r="I2255" i="1"/>
  <c r="G2255" i="1"/>
  <c r="E2255" i="1"/>
  <c r="C2255" i="1"/>
  <c r="I2254" i="1"/>
  <c r="G2254" i="1"/>
  <c r="E2254" i="1"/>
  <c r="C2254" i="1"/>
  <c r="I2253" i="1"/>
  <c r="G2253" i="1"/>
  <c r="E2253" i="1"/>
  <c r="C2253" i="1"/>
  <c r="I2252" i="1"/>
  <c r="G2252" i="1"/>
  <c r="E2252" i="1"/>
  <c r="C2252" i="1"/>
  <c r="I2251" i="1"/>
  <c r="G2251" i="1"/>
  <c r="E2251" i="1"/>
  <c r="C2251" i="1"/>
  <c r="I2250" i="1"/>
  <c r="G2250" i="1"/>
  <c r="E2250" i="1"/>
  <c r="C2250" i="1"/>
  <c r="I2249" i="1"/>
  <c r="G2249" i="1"/>
  <c r="E2249" i="1"/>
  <c r="C2249" i="1"/>
  <c r="I2248" i="1"/>
  <c r="G2248" i="1"/>
  <c r="E2248" i="1"/>
  <c r="C2248" i="1"/>
  <c r="I2247" i="1"/>
  <c r="G2247" i="1"/>
  <c r="E2247" i="1"/>
  <c r="C2247" i="1"/>
  <c r="I2246" i="1"/>
  <c r="G2246" i="1"/>
  <c r="E2246" i="1"/>
  <c r="C2246" i="1"/>
  <c r="I2245" i="1"/>
  <c r="G2245" i="1"/>
  <c r="E2245" i="1"/>
  <c r="C2245" i="1"/>
  <c r="I2244" i="1"/>
  <c r="G2244" i="1"/>
  <c r="E2244" i="1"/>
  <c r="C2244" i="1"/>
  <c r="I2243" i="1"/>
  <c r="G2243" i="1"/>
  <c r="E2243" i="1"/>
  <c r="C2243" i="1"/>
  <c r="I2242" i="1"/>
  <c r="G2242" i="1"/>
  <c r="E2242" i="1"/>
  <c r="C2242" i="1"/>
  <c r="I2241" i="1"/>
  <c r="G2241" i="1"/>
  <c r="E2241" i="1"/>
  <c r="C2241" i="1"/>
  <c r="I2240" i="1"/>
  <c r="G2240" i="1"/>
  <c r="E2240" i="1"/>
  <c r="C2240" i="1"/>
  <c r="I2239" i="1"/>
  <c r="G2239" i="1"/>
  <c r="E2239" i="1"/>
  <c r="C2239" i="1"/>
  <c r="I2238" i="1"/>
  <c r="G2238" i="1"/>
  <c r="E2238" i="1"/>
  <c r="C2238" i="1"/>
  <c r="I2237" i="1"/>
  <c r="G2237" i="1"/>
  <c r="E2237" i="1"/>
  <c r="C2237" i="1"/>
  <c r="I2236" i="1"/>
  <c r="G2236" i="1"/>
  <c r="E2236" i="1"/>
  <c r="C2236" i="1"/>
  <c r="I2235" i="1"/>
  <c r="G2235" i="1"/>
  <c r="E2235" i="1"/>
  <c r="C2235" i="1"/>
  <c r="I2234" i="1"/>
  <c r="G2234" i="1"/>
  <c r="E2234" i="1"/>
  <c r="C2234" i="1"/>
  <c r="I2233" i="1"/>
  <c r="G2233" i="1"/>
  <c r="E2233" i="1"/>
  <c r="C2233" i="1"/>
  <c r="I2232" i="1"/>
  <c r="G2232" i="1"/>
  <c r="E2232" i="1"/>
  <c r="C2232" i="1"/>
  <c r="I2231" i="1"/>
  <c r="G2231" i="1"/>
  <c r="E2231" i="1"/>
  <c r="C2231" i="1"/>
  <c r="I2230" i="1"/>
  <c r="G2230" i="1"/>
  <c r="E2230" i="1"/>
  <c r="C2230" i="1"/>
  <c r="I2229" i="1"/>
  <c r="G2229" i="1"/>
  <c r="E2229" i="1"/>
  <c r="C2229" i="1"/>
  <c r="I2228" i="1"/>
  <c r="G2228" i="1"/>
  <c r="E2228" i="1"/>
  <c r="C2228" i="1"/>
  <c r="I2227" i="1"/>
  <c r="G2227" i="1"/>
  <c r="E2227" i="1"/>
  <c r="C2227" i="1"/>
  <c r="I2226" i="1"/>
  <c r="G2226" i="1"/>
  <c r="E2226" i="1"/>
  <c r="C2226" i="1"/>
  <c r="I2225" i="1"/>
  <c r="G2225" i="1"/>
  <c r="E2225" i="1"/>
  <c r="C2225" i="1"/>
  <c r="I2224" i="1"/>
  <c r="G2224" i="1"/>
  <c r="E2224" i="1"/>
  <c r="C2224" i="1"/>
  <c r="I2223" i="1"/>
  <c r="G2223" i="1"/>
  <c r="E2223" i="1"/>
  <c r="C2223" i="1"/>
  <c r="I2222" i="1"/>
  <c r="G2222" i="1"/>
  <c r="E2222" i="1"/>
  <c r="C2222" i="1"/>
  <c r="I2221" i="1"/>
  <c r="G2221" i="1"/>
  <c r="E2221" i="1"/>
  <c r="C2221" i="1"/>
  <c r="I2220" i="1"/>
  <c r="G2220" i="1"/>
  <c r="E2220" i="1"/>
  <c r="C2220" i="1"/>
  <c r="I2219" i="1"/>
  <c r="G2219" i="1"/>
  <c r="E2219" i="1"/>
  <c r="C2219" i="1"/>
  <c r="I2218" i="1"/>
  <c r="G2218" i="1"/>
  <c r="E2218" i="1"/>
  <c r="C2218" i="1"/>
  <c r="I2217" i="1"/>
  <c r="G2217" i="1"/>
  <c r="E2217" i="1"/>
  <c r="C2217" i="1"/>
  <c r="I2216" i="1"/>
  <c r="G2216" i="1"/>
  <c r="E2216" i="1"/>
  <c r="C2216" i="1"/>
  <c r="I2215" i="1"/>
  <c r="G2215" i="1"/>
  <c r="E2215" i="1"/>
  <c r="C2215" i="1"/>
  <c r="I2214" i="1"/>
  <c r="G2214" i="1"/>
  <c r="E2214" i="1"/>
  <c r="C2214" i="1"/>
  <c r="I2213" i="1"/>
  <c r="G2213" i="1"/>
  <c r="E2213" i="1"/>
  <c r="C2213" i="1"/>
  <c r="I2212" i="1"/>
  <c r="G2212" i="1"/>
  <c r="E2212" i="1"/>
  <c r="C2212" i="1"/>
  <c r="I2211" i="1"/>
  <c r="G2211" i="1"/>
  <c r="E2211" i="1"/>
  <c r="C2211" i="1"/>
  <c r="I2210" i="1"/>
  <c r="G2210" i="1"/>
  <c r="E2210" i="1"/>
  <c r="C2210" i="1"/>
  <c r="I2209" i="1"/>
  <c r="G2209" i="1"/>
  <c r="E2209" i="1"/>
  <c r="C2209" i="1"/>
  <c r="I2208" i="1"/>
  <c r="G2208" i="1"/>
  <c r="E2208" i="1"/>
  <c r="C2208" i="1"/>
  <c r="I2207" i="1"/>
  <c r="G2207" i="1"/>
  <c r="E2207" i="1"/>
  <c r="C2207" i="1"/>
  <c r="I2206" i="1"/>
  <c r="G2206" i="1"/>
  <c r="E2206" i="1"/>
  <c r="C2206" i="1"/>
  <c r="I2205" i="1"/>
  <c r="G2205" i="1"/>
  <c r="E2205" i="1"/>
  <c r="C2205" i="1"/>
  <c r="I2204" i="1"/>
  <c r="G2204" i="1"/>
  <c r="E2204" i="1"/>
  <c r="C2204" i="1"/>
  <c r="I2203" i="1"/>
  <c r="G2203" i="1"/>
  <c r="E2203" i="1"/>
  <c r="C2203" i="1"/>
  <c r="I2202" i="1"/>
  <c r="G2202" i="1"/>
  <c r="E2202" i="1"/>
  <c r="C2202" i="1"/>
  <c r="I2201" i="1"/>
  <c r="G2201" i="1"/>
  <c r="E2201" i="1"/>
  <c r="C2201" i="1"/>
  <c r="I2200" i="1"/>
  <c r="G2200" i="1"/>
  <c r="E2200" i="1"/>
  <c r="C2200" i="1"/>
  <c r="I2199" i="1"/>
  <c r="G2199" i="1"/>
  <c r="E2199" i="1"/>
  <c r="C2199" i="1"/>
  <c r="I2198" i="1"/>
  <c r="G2198" i="1"/>
  <c r="E2198" i="1"/>
  <c r="C2198" i="1"/>
  <c r="I2197" i="1"/>
  <c r="G2197" i="1"/>
  <c r="E2197" i="1"/>
  <c r="C2197" i="1"/>
  <c r="I2196" i="1"/>
  <c r="G2196" i="1"/>
  <c r="E2196" i="1"/>
  <c r="C2196" i="1"/>
  <c r="I2195" i="1"/>
  <c r="G2195" i="1"/>
  <c r="E2195" i="1"/>
  <c r="C2195" i="1"/>
  <c r="I2194" i="1"/>
  <c r="G2194" i="1"/>
  <c r="E2194" i="1"/>
  <c r="C2194" i="1"/>
  <c r="I2193" i="1"/>
  <c r="G2193" i="1"/>
  <c r="E2193" i="1"/>
  <c r="C2193" i="1"/>
  <c r="I2192" i="1"/>
  <c r="G2192" i="1"/>
  <c r="E2192" i="1"/>
  <c r="C2192" i="1"/>
  <c r="I2191" i="1"/>
  <c r="G2191" i="1"/>
  <c r="E2191" i="1"/>
  <c r="C2191" i="1"/>
  <c r="I2190" i="1"/>
  <c r="G2190" i="1"/>
  <c r="E2190" i="1"/>
  <c r="C2190" i="1"/>
  <c r="I2189" i="1"/>
  <c r="G2189" i="1"/>
  <c r="E2189" i="1"/>
  <c r="C2189" i="1"/>
  <c r="I2188" i="1"/>
  <c r="G2188" i="1"/>
  <c r="E2188" i="1"/>
  <c r="C2188" i="1"/>
  <c r="I2187" i="1"/>
  <c r="G2187" i="1"/>
  <c r="E2187" i="1"/>
  <c r="C2187" i="1"/>
  <c r="I2186" i="1"/>
  <c r="G2186" i="1"/>
  <c r="E2186" i="1"/>
  <c r="C2186" i="1"/>
  <c r="I2185" i="1"/>
  <c r="G2185" i="1"/>
  <c r="E2185" i="1"/>
  <c r="C2185" i="1"/>
  <c r="I2184" i="1"/>
  <c r="G2184" i="1"/>
  <c r="E2184" i="1"/>
  <c r="C2184" i="1"/>
  <c r="I2183" i="1"/>
  <c r="G2183" i="1"/>
  <c r="E2183" i="1"/>
  <c r="C2183" i="1"/>
  <c r="I2182" i="1"/>
  <c r="G2182" i="1"/>
  <c r="E2182" i="1"/>
  <c r="C2182" i="1"/>
  <c r="I2181" i="1"/>
  <c r="G2181" i="1"/>
  <c r="E2181" i="1"/>
  <c r="C2181" i="1"/>
  <c r="I2180" i="1"/>
  <c r="G2180" i="1"/>
  <c r="E2180" i="1"/>
  <c r="C2180" i="1"/>
  <c r="I2179" i="1"/>
  <c r="G2179" i="1"/>
  <c r="E2179" i="1"/>
  <c r="C2179" i="1"/>
  <c r="I2178" i="1"/>
  <c r="G2178" i="1"/>
  <c r="E2178" i="1"/>
  <c r="C2178" i="1"/>
  <c r="I2177" i="1"/>
  <c r="G2177" i="1"/>
  <c r="E2177" i="1"/>
  <c r="C2177" i="1"/>
  <c r="I2176" i="1"/>
  <c r="G2176" i="1"/>
  <c r="E2176" i="1"/>
  <c r="C2176" i="1"/>
  <c r="I2175" i="1"/>
  <c r="G2175" i="1"/>
  <c r="E2175" i="1"/>
  <c r="C2175" i="1"/>
  <c r="I2174" i="1"/>
  <c r="G2174" i="1"/>
  <c r="E2174" i="1"/>
  <c r="C2174" i="1"/>
  <c r="I2173" i="1"/>
  <c r="G2173" i="1"/>
  <c r="E2173" i="1"/>
  <c r="C2173" i="1"/>
  <c r="I2172" i="1"/>
  <c r="G2172" i="1"/>
  <c r="E2172" i="1"/>
  <c r="C2172" i="1"/>
  <c r="I2171" i="1"/>
  <c r="G2171" i="1"/>
  <c r="E2171" i="1"/>
  <c r="C2171" i="1"/>
  <c r="I2170" i="1"/>
  <c r="G2170" i="1"/>
  <c r="E2170" i="1"/>
  <c r="C2170" i="1"/>
  <c r="I2169" i="1"/>
  <c r="G2169" i="1"/>
  <c r="E2169" i="1"/>
  <c r="C2169" i="1"/>
  <c r="I2168" i="1"/>
  <c r="G2168" i="1"/>
  <c r="E2168" i="1"/>
  <c r="C2168" i="1"/>
  <c r="I2167" i="1"/>
  <c r="G2167" i="1"/>
  <c r="E2167" i="1"/>
  <c r="C2167" i="1"/>
  <c r="I2166" i="1"/>
  <c r="G2166" i="1"/>
  <c r="E2166" i="1"/>
  <c r="C2166" i="1"/>
  <c r="I2165" i="1"/>
  <c r="G2165" i="1"/>
  <c r="E2165" i="1"/>
  <c r="C2165" i="1"/>
  <c r="I2164" i="1"/>
  <c r="G2164" i="1"/>
  <c r="E2164" i="1"/>
  <c r="C2164" i="1"/>
  <c r="I2163" i="1"/>
  <c r="G2163" i="1"/>
  <c r="E2163" i="1"/>
  <c r="C2163" i="1"/>
  <c r="I2162" i="1"/>
  <c r="G2162" i="1"/>
  <c r="E2162" i="1"/>
  <c r="C2162" i="1"/>
  <c r="I2161" i="1"/>
  <c r="G2161" i="1"/>
  <c r="E2161" i="1"/>
  <c r="C2161" i="1"/>
  <c r="I2160" i="1"/>
  <c r="G2160" i="1"/>
  <c r="E2160" i="1"/>
  <c r="C2160" i="1"/>
  <c r="I2159" i="1"/>
  <c r="G2159" i="1"/>
  <c r="E2159" i="1"/>
  <c r="C2159" i="1"/>
  <c r="I2158" i="1"/>
  <c r="G2158" i="1"/>
  <c r="E2158" i="1"/>
  <c r="C2158" i="1"/>
  <c r="I2157" i="1"/>
  <c r="G2157" i="1"/>
  <c r="E2157" i="1"/>
  <c r="C2157" i="1"/>
  <c r="I2156" i="1"/>
  <c r="G2156" i="1"/>
  <c r="E2156" i="1"/>
  <c r="C2156" i="1"/>
  <c r="I2155" i="1"/>
  <c r="G2155" i="1"/>
  <c r="E2155" i="1"/>
  <c r="C2155" i="1"/>
  <c r="I2154" i="1"/>
  <c r="G2154" i="1"/>
  <c r="E2154" i="1"/>
  <c r="C2154" i="1"/>
  <c r="I2153" i="1"/>
  <c r="G2153" i="1"/>
  <c r="E2153" i="1"/>
  <c r="C2153" i="1"/>
  <c r="I2152" i="1"/>
  <c r="G2152" i="1"/>
  <c r="E2152" i="1"/>
  <c r="C2152" i="1"/>
  <c r="I2151" i="1"/>
  <c r="G2151" i="1"/>
  <c r="E2151" i="1"/>
  <c r="C2151" i="1"/>
  <c r="I2150" i="1"/>
  <c r="G2150" i="1"/>
  <c r="E2150" i="1"/>
  <c r="C2150" i="1"/>
  <c r="I2149" i="1"/>
  <c r="G2149" i="1"/>
  <c r="E2149" i="1"/>
  <c r="C2149" i="1"/>
  <c r="I2148" i="1"/>
  <c r="G2148" i="1"/>
  <c r="E2148" i="1"/>
  <c r="C2148" i="1"/>
  <c r="I2147" i="1"/>
  <c r="G2147" i="1"/>
  <c r="E2147" i="1"/>
  <c r="C2147" i="1"/>
  <c r="I2146" i="1"/>
  <c r="G2146" i="1"/>
  <c r="E2146" i="1"/>
  <c r="C2146" i="1"/>
  <c r="I2145" i="1"/>
  <c r="G2145" i="1"/>
  <c r="E2145" i="1"/>
  <c r="C2145" i="1"/>
  <c r="I2144" i="1"/>
  <c r="G2144" i="1"/>
  <c r="E2144" i="1"/>
  <c r="C2144" i="1"/>
  <c r="I2143" i="1"/>
  <c r="G2143" i="1"/>
  <c r="E2143" i="1"/>
  <c r="C2143" i="1"/>
  <c r="I2142" i="1"/>
  <c r="G2142" i="1"/>
  <c r="E2142" i="1"/>
  <c r="C2142" i="1"/>
  <c r="I2141" i="1"/>
  <c r="G2141" i="1"/>
  <c r="E2141" i="1"/>
  <c r="C2141" i="1"/>
  <c r="I2140" i="1"/>
  <c r="G2140" i="1"/>
  <c r="E2140" i="1"/>
  <c r="C2140" i="1"/>
  <c r="I2139" i="1"/>
  <c r="G2139" i="1"/>
  <c r="E2139" i="1"/>
  <c r="C2139" i="1"/>
  <c r="I2138" i="1"/>
  <c r="G2138" i="1"/>
  <c r="E2138" i="1"/>
  <c r="C2138" i="1"/>
  <c r="I2137" i="1"/>
  <c r="G2137" i="1"/>
  <c r="E2137" i="1"/>
  <c r="C2137" i="1"/>
  <c r="I2136" i="1"/>
  <c r="G2136" i="1"/>
  <c r="E2136" i="1"/>
  <c r="C2136" i="1"/>
  <c r="I2135" i="1"/>
  <c r="G2135" i="1"/>
  <c r="E2135" i="1"/>
  <c r="C2135" i="1"/>
  <c r="I2134" i="1"/>
  <c r="G2134" i="1"/>
  <c r="E2134" i="1"/>
  <c r="C2134" i="1"/>
  <c r="I2133" i="1"/>
  <c r="G2133" i="1"/>
  <c r="E2133" i="1"/>
  <c r="C2133" i="1"/>
  <c r="I2132" i="1"/>
  <c r="G2132" i="1"/>
  <c r="E2132" i="1"/>
  <c r="C2132" i="1"/>
  <c r="I2131" i="1"/>
  <c r="G2131" i="1"/>
  <c r="E2131" i="1"/>
  <c r="C2131" i="1"/>
  <c r="I2130" i="1"/>
  <c r="G2130" i="1"/>
  <c r="E2130" i="1"/>
  <c r="C2130" i="1"/>
  <c r="I2129" i="1"/>
  <c r="G2129" i="1"/>
  <c r="E2129" i="1"/>
  <c r="C2129" i="1"/>
  <c r="I2128" i="1"/>
  <c r="G2128" i="1"/>
  <c r="E2128" i="1"/>
  <c r="C2128" i="1"/>
  <c r="I2127" i="1"/>
  <c r="G2127" i="1"/>
  <c r="E2127" i="1"/>
  <c r="C2127" i="1"/>
  <c r="I2126" i="1"/>
  <c r="G2126" i="1"/>
  <c r="E2126" i="1"/>
  <c r="C2126" i="1"/>
  <c r="I2125" i="1"/>
  <c r="G2125" i="1"/>
  <c r="E2125" i="1"/>
  <c r="C2125" i="1"/>
  <c r="I2124" i="1"/>
  <c r="G2124" i="1"/>
  <c r="E2124" i="1"/>
  <c r="C2124" i="1"/>
  <c r="I2123" i="1"/>
  <c r="G2123" i="1"/>
  <c r="E2123" i="1"/>
  <c r="C2123" i="1"/>
  <c r="I2122" i="1"/>
  <c r="G2122" i="1"/>
  <c r="E2122" i="1"/>
  <c r="C2122" i="1"/>
  <c r="I2121" i="1"/>
  <c r="G2121" i="1"/>
  <c r="E2121" i="1"/>
  <c r="C2121" i="1"/>
  <c r="I2120" i="1"/>
  <c r="G2120" i="1"/>
  <c r="E2120" i="1"/>
  <c r="C2120" i="1"/>
  <c r="I2119" i="1"/>
  <c r="G2119" i="1"/>
  <c r="E2119" i="1"/>
  <c r="C2119" i="1"/>
  <c r="I2118" i="1"/>
  <c r="G2118" i="1"/>
  <c r="E2118" i="1"/>
  <c r="C2118" i="1"/>
  <c r="I2117" i="1"/>
  <c r="G2117" i="1"/>
  <c r="E2117" i="1"/>
  <c r="C2117" i="1"/>
  <c r="I2116" i="1"/>
  <c r="G2116" i="1"/>
  <c r="E2116" i="1"/>
  <c r="C2116" i="1"/>
  <c r="I2115" i="1"/>
  <c r="G2115" i="1"/>
  <c r="E2115" i="1"/>
  <c r="C2115" i="1"/>
  <c r="I2114" i="1"/>
  <c r="G2114" i="1"/>
  <c r="E2114" i="1"/>
  <c r="C2114" i="1"/>
  <c r="I2113" i="1"/>
  <c r="G2113" i="1"/>
  <c r="E2113" i="1"/>
  <c r="C2113" i="1"/>
  <c r="I2112" i="1"/>
  <c r="G2112" i="1"/>
  <c r="E2112" i="1"/>
  <c r="C2112" i="1"/>
  <c r="I2111" i="1"/>
  <c r="G2111" i="1"/>
  <c r="E2111" i="1"/>
  <c r="C2111" i="1"/>
  <c r="I2110" i="1"/>
  <c r="G2110" i="1"/>
  <c r="E2110" i="1"/>
  <c r="C2110" i="1"/>
  <c r="I2109" i="1"/>
  <c r="G2109" i="1"/>
  <c r="E2109" i="1"/>
  <c r="C2109" i="1"/>
  <c r="I2108" i="1"/>
  <c r="G2108" i="1"/>
  <c r="E2108" i="1"/>
  <c r="C2108" i="1"/>
  <c r="I2107" i="1"/>
  <c r="G2107" i="1"/>
  <c r="E2107" i="1"/>
  <c r="C2107" i="1"/>
  <c r="I2106" i="1"/>
  <c r="G2106" i="1"/>
  <c r="E2106" i="1"/>
  <c r="C2106" i="1"/>
  <c r="I2105" i="1"/>
  <c r="G2105" i="1"/>
  <c r="E2105" i="1"/>
  <c r="C2105" i="1"/>
  <c r="I2104" i="1"/>
  <c r="G2104" i="1"/>
  <c r="E2104" i="1"/>
  <c r="C2104" i="1"/>
  <c r="I2103" i="1"/>
  <c r="G2103" i="1"/>
  <c r="E2103" i="1"/>
  <c r="C2103" i="1"/>
  <c r="I2102" i="1"/>
  <c r="G2102" i="1"/>
  <c r="E2102" i="1"/>
  <c r="C2102" i="1"/>
  <c r="I2101" i="1"/>
  <c r="G2101" i="1"/>
  <c r="E2101" i="1"/>
  <c r="C2101" i="1"/>
  <c r="I2100" i="1"/>
  <c r="G2100" i="1"/>
  <c r="E2100" i="1"/>
  <c r="C2100" i="1"/>
  <c r="I2099" i="1"/>
  <c r="G2099" i="1"/>
  <c r="E2099" i="1"/>
  <c r="C2099" i="1"/>
  <c r="I2098" i="1"/>
  <c r="G2098" i="1"/>
  <c r="E2098" i="1"/>
  <c r="C2098" i="1"/>
  <c r="I2097" i="1"/>
  <c r="G2097" i="1"/>
  <c r="E2097" i="1"/>
  <c r="C2097" i="1"/>
  <c r="I2096" i="1"/>
  <c r="G2096" i="1"/>
  <c r="E2096" i="1"/>
  <c r="C2096" i="1"/>
  <c r="I2095" i="1"/>
  <c r="G2095" i="1"/>
  <c r="E2095" i="1"/>
  <c r="C2095" i="1"/>
  <c r="I2094" i="1"/>
  <c r="G2094" i="1"/>
  <c r="E2094" i="1"/>
  <c r="C2094" i="1"/>
  <c r="I2093" i="1"/>
  <c r="G2093" i="1"/>
  <c r="E2093" i="1"/>
  <c r="C2093" i="1"/>
  <c r="I2092" i="1"/>
  <c r="G2092" i="1"/>
  <c r="E2092" i="1"/>
  <c r="C2092" i="1"/>
  <c r="I2091" i="1"/>
  <c r="G2091" i="1"/>
  <c r="E2091" i="1"/>
  <c r="C2091" i="1"/>
  <c r="I2090" i="1"/>
  <c r="G2090" i="1"/>
  <c r="E2090" i="1"/>
  <c r="C2090" i="1"/>
  <c r="I2089" i="1"/>
  <c r="G2089" i="1"/>
  <c r="E2089" i="1"/>
  <c r="C2089" i="1"/>
  <c r="I2088" i="1"/>
  <c r="G2088" i="1"/>
  <c r="E2088" i="1"/>
  <c r="C2088" i="1"/>
  <c r="I2087" i="1"/>
  <c r="G2087" i="1"/>
  <c r="E2087" i="1"/>
  <c r="C2087" i="1"/>
  <c r="I2086" i="1"/>
  <c r="G2086" i="1"/>
  <c r="E2086" i="1"/>
  <c r="C2086" i="1"/>
  <c r="I2085" i="1"/>
  <c r="G2085" i="1"/>
  <c r="E2085" i="1"/>
  <c r="C2085" i="1"/>
  <c r="I2084" i="1"/>
  <c r="G2084" i="1"/>
  <c r="E2084" i="1"/>
  <c r="C2084" i="1"/>
  <c r="I2083" i="1"/>
  <c r="G2083" i="1"/>
  <c r="E2083" i="1"/>
  <c r="C2083" i="1"/>
  <c r="I2082" i="1"/>
  <c r="G2082" i="1"/>
  <c r="E2082" i="1"/>
  <c r="C2082" i="1"/>
  <c r="I2081" i="1"/>
  <c r="G2081" i="1"/>
  <c r="E2081" i="1"/>
  <c r="C2081" i="1"/>
  <c r="I2080" i="1"/>
  <c r="G2080" i="1"/>
  <c r="E2080" i="1"/>
  <c r="C2080" i="1"/>
  <c r="I2079" i="1"/>
  <c r="G2079" i="1"/>
  <c r="E2079" i="1"/>
  <c r="C2079" i="1"/>
  <c r="I2078" i="1"/>
  <c r="G2078" i="1"/>
  <c r="E2078" i="1"/>
  <c r="C2078" i="1"/>
  <c r="I2077" i="1"/>
  <c r="G2077" i="1"/>
  <c r="E2077" i="1"/>
  <c r="C2077" i="1"/>
  <c r="I2076" i="1"/>
  <c r="G2076" i="1"/>
  <c r="E2076" i="1"/>
  <c r="C2076" i="1"/>
  <c r="I2075" i="1"/>
  <c r="G2075" i="1"/>
  <c r="E2075" i="1"/>
  <c r="C2075" i="1"/>
  <c r="I2074" i="1"/>
  <c r="G2074" i="1"/>
  <c r="E2074" i="1"/>
  <c r="C2074" i="1"/>
  <c r="I2073" i="1"/>
  <c r="G2073" i="1"/>
  <c r="E2073" i="1"/>
  <c r="C2073" i="1"/>
  <c r="I2072" i="1"/>
  <c r="G2072" i="1"/>
  <c r="E2072" i="1"/>
  <c r="C2072" i="1"/>
  <c r="I2071" i="1"/>
  <c r="G2071" i="1"/>
  <c r="E2071" i="1"/>
  <c r="C2071" i="1"/>
  <c r="I2070" i="1"/>
  <c r="G2070" i="1"/>
  <c r="E2070" i="1"/>
  <c r="C2070" i="1"/>
  <c r="I2069" i="1"/>
  <c r="G2069" i="1"/>
  <c r="E2069" i="1"/>
  <c r="C2069" i="1"/>
  <c r="I2068" i="1"/>
  <c r="G2068" i="1"/>
  <c r="E2068" i="1"/>
  <c r="C2068" i="1"/>
  <c r="I2067" i="1"/>
  <c r="G2067" i="1"/>
  <c r="E2067" i="1"/>
  <c r="C2067" i="1"/>
  <c r="I2066" i="1"/>
  <c r="G2066" i="1"/>
  <c r="E2066" i="1"/>
  <c r="C2066" i="1"/>
  <c r="I2065" i="1"/>
  <c r="G2065" i="1"/>
  <c r="E2065" i="1"/>
  <c r="C2065" i="1"/>
  <c r="I2064" i="1"/>
  <c r="G2064" i="1"/>
  <c r="E2064" i="1"/>
  <c r="C2064" i="1"/>
  <c r="I2063" i="1"/>
  <c r="G2063" i="1"/>
  <c r="E2063" i="1"/>
  <c r="C2063" i="1"/>
  <c r="I2062" i="1"/>
  <c r="G2062" i="1"/>
  <c r="E2062" i="1"/>
  <c r="C2062" i="1"/>
  <c r="I2061" i="1"/>
  <c r="G2061" i="1"/>
  <c r="E2061" i="1"/>
  <c r="C2061" i="1"/>
  <c r="I2060" i="1"/>
  <c r="G2060" i="1"/>
  <c r="E2060" i="1"/>
  <c r="C2060" i="1"/>
  <c r="I2059" i="1"/>
  <c r="G2059" i="1"/>
  <c r="E2059" i="1"/>
  <c r="C2059" i="1"/>
  <c r="I2058" i="1"/>
  <c r="G2058" i="1"/>
  <c r="E2058" i="1"/>
  <c r="C2058" i="1"/>
  <c r="I2057" i="1"/>
  <c r="G2057" i="1"/>
  <c r="E2057" i="1"/>
  <c r="C2057" i="1"/>
  <c r="I2056" i="1"/>
  <c r="G2056" i="1"/>
  <c r="E2056" i="1"/>
  <c r="C2056" i="1"/>
  <c r="I2055" i="1"/>
  <c r="G2055" i="1"/>
  <c r="E2055" i="1"/>
  <c r="C2055" i="1"/>
  <c r="I2054" i="1"/>
  <c r="G2054" i="1"/>
  <c r="E2054" i="1"/>
  <c r="C2054" i="1"/>
  <c r="I2053" i="1"/>
  <c r="G2053" i="1"/>
  <c r="E2053" i="1"/>
  <c r="C2053" i="1"/>
  <c r="I2052" i="1"/>
  <c r="G2052" i="1"/>
  <c r="E2052" i="1"/>
  <c r="C2052" i="1"/>
  <c r="I2051" i="1"/>
  <c r="G2051" i="1"/>
  <c r="E2051" i="1"/>
  <c r="C2051" i="1"/>
  <c r="I2050" i="1"/>
  <c r="G2050" i="1"/>
  <c r="E2050" i="1"/>
  <c r="C2050" i="1"/>
  <c r="I2049" i="1"/>
  <c r="G2049" i="1"/>
  <c r="E2049" i="1"/>
  <c r="C2049" i="1"/>
  <c r="I2048" i="1"/>
  <c r="G2048" i="1"/>
  <c r="E2048" i="1"/>
  <c r="C2048" i="1"/>
  <c r="I2047" i="1"/>
  <c r="G2047" i="1"/>
  <c r="E2047" i="1"/>
  <c r="C2047" i="1"/>
  <c r="I2046" i="1"/>
  <c r="G2046" i="1"/>
  <c r="E2046" i="1"/>
  <c r="C2046" i="1"/>
  <c r="I2045" i="1"/>
  <c r="G2045" i="1"/>
  <c r="E2045" i="1"/>
  <c r="C2045" i="1"/>
  <c r="I2044" i="1"/>
  <c r="G2044" i="1"/>
  <c r="E2044" i="1"/>
  <c r="C2044" i="1"/>
  <c r="I2043" i="1"/>
  <c r="G2043" i="1"/>
  <c r="E2043" i="1"/>
  <c r="C2043" i="1"/>
  <c r="I2042" i="1"/>
  <c r="G2042" i="1"/>
  <c r="E2042" i="1"/>
  <c r="C2042" i="1"/>
  <c r="I2041" i="1"/>
  <c r="G2041" i="1"/>
  <c r="E2041" i="1"/>
  <c r="C2041" i="1"/>
  <c r="I2040" i="1"/>
  <c r="G2040" i="1"/>
  <c r="E2040" i="1"/>
  <c r="C2040" i="1"/>
  <c r="I2039" i="1"/>
  <c r="G2039" i="1"/>
  <c r="E2039" i="1"/>
  <c r="C2039" i="1"/>
  <c r="I2038" i="1"/>
  <c r="G2038" i="1"/>
  <c r="E2038" i="1"/>
  <c r="C2038" i="1"/>
  <c r="I2037" i="1"/>
  <c r="G2037" i="1"/>
  <c r="E2037" i="1"/>
  <c r="C2037" i="1"/>
  <c r="I2036" i="1"/>
  <c r="G2036" i="1"/>
  <c r="E2036" i="1"/>
  <c r="C2036" i="1"/>
  <c r="I2035" i="1"/>
  <c r="G2035" i="1"/>
  <c r="E2035" i="1"/>
  <c r="C2035" i="1"/>
  <c r="I2034" i="1"/>
  <c r="G2034" i="1"/>
  <c r="E2034" i="1"/>
  <c r="C2034" i="1"/>
  <c r="I2033" i="1"/>
  <c r="G2033" i="1"/>
  <c r="E2033" i="1"/>
  <c r="C2033" i="1"/>
  <c r="I2032" i="1"/>
  <c r="G2032" i="1"/>
  <c r="E2032" i="1"/>
  <c r="C2032" i="1"/>
  <c r="I2031" i="1"/>
  <c r="G2031" i="1"/>
  <c r="E2031" i="1"/>
  <c r="C2031" i="1"/>
  <c r="I2030" i="1"/>
  <c r="G2030" i="1"/>
  <c r="E2030" i="1"/>
  <c r="C2030" i="1"/>
  <c r="I2029" i="1"/>
  <c r="G2029" i="1"/>
  <c r="E2029" i="1"/>
  <c r="C2029" i="1"/>
  <c r="I2028" i="1"/>
  <c r="G2028" i="1"/>
  <c r="E2028" i="1"/>
  <c r="C2028" i="1"/>
  <c r="I2027" i="1"/>
  <c r="G2027" i="1"/>
  <c r="E2027" i="1"/>
  <c r="C2027" i="1"/>
  <c r="I2026" i="1"/>
  <c r="G2026" i="1"/>
  <c r="E2026" i="1"/>
  <c r="C2026" i="1"/>
  <c r="I2025" i="1"/>
  <c r="G2025" i="1"/>
  <c r="E2025" i="1"/>
  <c r="C2025" i="1"/>
  <c r="I2024" i="1"/>
  <c r="G2024" i="1"/>
  <c r="E2024" i="1"/>
  <c r="C2024" i="1"/>
  <c r="I2023" i="1"/>
  <c r="G2023" i="1"/>
  <c r="E2023" i="1"/>
  <c r="C2023" i="1"/>
  <c r="I2022" i="1"/>
  <c r="G2022" i="1"/>
  <c r="E2022" i="1"/>
  <c r="C2022" i="1"/>
  <c r="I2021" i="1"/>
  <c r="G2021" i="1"/>
  <c r="E2021" i="1"/>
  <c r="C2021" i="1"/>
  <c r="I2020" i="1"/>
  <c r="G2020" i="1"/>
  <c r="E2020" i="1"/>
  <c r="C2020" i="1"/>
  <c r="I2019" i="1"/>
  <c r="G2019" i="1"/>
  <c r="E2019" i="1"/>
  <c r="C2019" i="1"/>
  <c r="I2018" i="1"/>
  <c r="G2018" i="1"/>
  <c r="E2018" i="1"/>
  <c r="C2018" i="1"/>
  <c r="I2017" i="1"/>
  <c r="G2017" i="1"/>
  <c r="E2017" i="1"/>
  <c r="C2017" i="1"/>
  <c r="I2016" i="1"/>
  <c r="G2016" i="1"/>
  <c r="E2016" i="1"/>
  <c r="C2016" i="1"/>
  <c r="I2015" i="1"/>
  <c r="G2015" i="1"/>
  <c r="E2015" i="1"/>
  <c r="C2015" i="1"/>
  <c r="I2014" i="1"/>
  <c r="G2014" i="1"/>
  <c r="E2014" i="1"/>
  <c r="C2014" i="1"/>
  <c r="I2013" i="1"/>
  <c r="G2013" i="1"/>
  <c r="E2013" i="1"/>
  <c r="C2013" i="1"/>
  <c r="I2012" i="1"/>
  <c r="G2012" i="1"/>
  <c r="E2012" i="1"/>
  <c r="C2012" i="1"/>
  <c r="I2011" i="1"/>
  <c r="G2011" i="1"/>
  <c r="E2011" i="1"/>
  <c r="C2011" i="1"/>
  <c r="I2010" i="1"/>
  <c r="G2010" i="1"/>
  <c r="E2010" i="1"/>
  <c r="C2010" i="1"/>
  <c r="I2009" i="1"/>
  <c r="G2009" i="1"/>
  <c r="E2009" i="1"/>
  <c r="C2009" i="1"/>
  <c r="I2008" i="1"/>
  <c r="G2008" i="1"/>
  <c r="E2008" i="1"/>
  <c r="C2008" i="1"/>
  <c r="I2007" i="1"/>
  <c r="G2007" i="1"/>
  <c r="E2007" i="1"/>
  <c r="C2007" i="1"/>
  <c r="I2006" i="1"/>
  <c r="G2006" i="1"/>
  <c r="E2006" i="1"/>
  <c r="C2006" i="1"/>
  <c r="I2005" i="1"/>
  <c r="G2005" i="1"/>
  <c r="E2005" i="1"/>
  <c r="C2005" i="1"/>
  <c r="I2004" i="1"/>
  <c r="G2004" i="1"/>
  <c r="E2004" i="1"/>
  <c r="C2004" i="1"/>
  <c r="I2003" i="1"/>
  <c r="G2003" i="1"/>
  <c r="E2003" i="1"/>
  <c r="C2003" i="1"/>
  <c r="I2002" i="1"/>
  <c r="G2002" i="1"/>
  <c r="E2002" i="1"/>
  <c r="C2002" i="1"/>
  <c r="I2001" i="1"/>
  <c r="G2001" i="1"/>
  <c r="E2001" i="1"/>
  <c r="C2001" i="1"/>
  <c r="I2000" i="1"/>
  <c r="G2000" i="1"/>
  <c r="E2000" i="1"/>
  <c r="C2000" i="1"/>
  <c r="I1999" i="1"/>
  <c r="G1999" i="1"/>
  <c r="E1999" i="1"/>
  <c r="C1999" i="1"/>
  <c r="I1998" i="1"/>
  <c r="G1998" i="1"/>
  <c r="E1998" i="1"/>
  <c r="C1998" i="1"/>
  <c r="I1997" i="1"/>
  <c r="G1997" i="1"/>
  <c r="E1997" i="1"/>
  <c r="C1997" i="1"/>
  <c r="I1996" i="1"/>
  <c r="G1996" i="1"/>
  <c r="E1996" i="1"/>
  <c r="C1996" i="1"/>
  <c r="I1995" i="1"/>
  <c r="G1995" i="1"/>
  <c r="E1995" i="1"/>
  <c r="C1995" i="1"/>
  <c r="I1994" i="1"/>
  <c r="G1994" i="1"/>
  <c r="E1994" i="1"/>
  <c r="C1994" i="1"/>
  <c r="I1993" i="1"/>
  <c r="G1993" i="1"/>
  <c r="E1993" i="1"/>
  <c r="C1993" i="1"/>
  <c r="I1992" i="1"/>
  <c r="G1992" i="1"/>
  <c r="E1992" i="1"/>
  <c r="C1992" i="1"/>
  <c r="I1991" i="1"/>
  <c r="G1991" i="1"/>
  <c r="E1991" i="1"/>
  <c r="C1991" i="1"/>
  <c r="I1990" i="1"/>
  <c r="G1990" i="1"/>
  <c r="E1990" i="1"/>
  <c r="C1990" i="1"/>
  <c r="I1989" i="1"/>
  <c r="G1989" i="1"/>
  <c r="E1989" i="1"/>
  <c r="C1989" i="1"/>
  <c r="I1988" i="1"/>
  <c r="G1988" i="1"/>
  <c r="E1988" i="1"/>
  <c r="C1988" i="1"/>
  <c r="I1987" i="1"/>
  <c r="G1987" i="1"/>
  <c r="E1987" i="1"/>
  <c r="C1987" i="1"/>
  <c r="I1986" i="1"/>
  <c r="G1986" i="1"/>
  <c r="E1986" i="1"/>
  <c r="C1986" i="1"/>
  <c r="I1985" i="1"/>
  <c r="G1985" i="1"/>
  <c r="E1985" i="1"/>
  <c r="C1985" i="1"/>
  <c r="I1984" i="1"/>
  <c r="G1984" i="1"/>
  <c r="E1984" i="1"/>
  <c r="C1984" i="1"/>
  <c r="I1983" i="1"/>
  <c r="G1983" i="1"/>
  <c r="E1983" i="1"/>
  <c r="C1983" i="1"/>
  <c r="I1982" i="1"/>
  <c r="G1982" i="1"/>
  <c r="E1982" i="1"/>
  <c r="C1982" i="1"/>
  <c r="I1981" i="1"/>
  <c r="G1981" i="1"/>
  <c r="E1981" i="1"/>
  <c r="C1981" i="1"/>
  <c r="I1980" i="1"/>
  <c r="G1980" i="1"/>
  <c r="E1980" i="1"/>
  <c r="C1980" i="1"/>
  <c r="I1979" i="1"/>
  <c r="G1979" i="1"/>
  <c r="E1979" i="1"/>
  <c r="C1979" i="1"/>
  <c r="I1978" i="1"/>
  <c r="G1978" i="1"/>
  <c r="E1978" i="1"/>
  <c r="C1978" i="1"/>
  <c r="I1977" i="1"/>
  <c r="G1977" i="1"/>
  <c r="E1977" i="1"/>
  <c r="C1977" i="1"/>
  <c r="I1976" i="1"/>
  <c r="G1976" i="1"/>
  <c r="E1976" i="1"/>
  <c r="C1976" i="1"/>
  <c r="I1975" i="1"/>
  <c r="G1975" i="1"/>
  <c r="E1975" i="1"/>
  <c r="C1975" i="1"/>
  <c r="I1974" i="1"/>
  <c r="G1974" i="1"/>
  <c r="E1974" i="1"/>
  <c r="C1974" i="1"/>
  <c r="I1973" i="1"/>
  <c r="G1973" i="1"/>
  <c r="E1973" i="1"/>
  <c r="C1973" i="1"/>
  <c r="I1972" i="1"/>
  <c r="G1972" i="1"/>
  <c r="E1972" i="1"/>
  <c r="C1972" i="1"/>
  <c r="I1971" i="1"/>
  <c r="G1971" i="1"/>
  <c r="E1971" i="1"/>
  <c r="C1971" i="1"/>
  <c r="I1970" i="1"/>
  <c r="G1970" i="1"/>
  <c r="E1970" i="1"/>
  <c r="C1970" i="1"/>
  <c r="I1969" i="1"/>
  <c r="G1969" i="1"/>
  <c r="E1969" i="1"/>
  <c r="C1969" i="1"/>
  <c r="I1968" i="1"/>
  <c r="G1968" i="1"/>
  <c r="E1968" i="1"/>
  <c r="C1968" i="1"/>
  <c r="I1967" i="1"/>
  <c r="G1967" i="1"/>
  <c r="E1967" i="1"/>
  <c r="C1967" i="1"/>
  <c r="I1966" i="1"/>
  <c r="G1966" i="1"/>
  <c r="E1966" i="1"/>
  <c r="C1966" i="1"/>
  <c r="I1965" i="1"/>
  <c r="G1965" i="1"/>
  <c r="E1965" i="1"/>
  <c r="C1965" i="1"/>
  <c r="I1964" i="1"/>
  <c r="G1964" i="1"/>
  <c r="E1964" i="1"/>
  <c r="C1964" i="1"/>
  <c r="I1963" i="1"/>
  <c r="G1963" i="1"/>
  <c r="E1963" i="1"/>
  <c r="C1963" i="1"/>
  <c r="I1962" i="1"/>
  <c r="G1962" i="1"/>
  <c r="E1962" i="1"/>
  <c r="C1962" i="1"/>
  <c r="I1961" i="1"/>
  <c r="G1961" i="1"/>
  <c r="E1961" i="1"/>
  <c r="C1961" i="1"/>
  <c r="I1960" i="1"/>
  <c r="G1960" i="1"/>
  <c r="E1960" i="1"/>
  <c r="C1960" i="1"/>
  <c r="I1959" i="1"/>
  <c r="G1959" i="1"/>
  <c r="E1959" i="1"/>
  <c r="C1959" i="1"/>
  <c r="I1958" i="1"/>
  <c r="G1958" i="1"/>
  <c r="E1958" i="1"/>
  <c r="C1958" i="1"/>
  <c r="I1957" i="1"/>
  <c r="G1957" i="1"/>
  <c r="E1957" i="1"/>
  <c r="C1957" i="1"/>
  <c r="I1956" i="1"/>
  <c r="G1956" i="1"/>
  <c r="E1956" i="1"/>
  <c r="C1956" i="1"/>
  <c r="I1955" i="1"/>
  <c r="G1955" i="1"/>
  <c r="E1955" i="1"/>
  <c r="C1955" i="1"/>
  <c r="I1954" i="1"/>
  <c r="G1954" i="1"/>
  <c r="E1954" i="1"/>
  <c r="C1954" i="1"/>
  <c r="I1953" i="1"/>
  <c r="G1953" i="1"/>
  <c r="E1953" i="1"/>
  <c r="C1953" i="1"/>
  <c r="I1952" i="1"/>
  <c r="G1952" i="1"/>
  <c r="E1952" i="1"/>
  <c r="C1952" i="1"/>
  <c r="I1951" i="1"/>
  <c r="G1951" i="1"/>
  <c r="E1951" i="1"/>
  <c r="C1951" i="1"/>
  <c r="I1950" i="1"/>
  <c r="G1950" i="1"/>
  <c r="E1950" i="1"/>
  <c r="C1950" i="1"/>
  <c r="I1949" i="1"/>
  <c r="G1949" i="1"/>
  <c r="E1949" i="1"/>
  <c r="C1949" i="1"/>
  <c r="I1948" i="1"/>
  <c r="G1948" i="1"/>
  <c r="E1948" i="1"/>
  <c r="C1948" i="1"/>
  <c r="I1947" i="1"/>
  <c r="G1947" i="1"/>
  <c r="E1947" i="1"/>
  <c r="C1947" i="1"/>
  <c r="I1946" i="1"/>
  <c r="G1946" i="1"/>
  <c r="E1946" i="1"/>
  <c r="C1946" i="1"/>
  <c r="I1945" i="1"/>
  <c r="G1945" i="1"/>
  <c r="E1945" i="1"/>
  <c r="C1945" i="1"/>
  <c r="I1944" i="1"/>
  <c r="G1944" i="1"/>
  <c r="E1944" i="1"/>
  <c r="C1944" i="1"/>
  <c r="I1943" i="1"/>
  <c r="G1943" i="1"/>
  <c r="E1943" i="1"/>
  <c r="C1943" i="1"/>
  <c r="I1942" i="1"/>
  <c r="G1942" i="1"/>
  <c r="E1942" i="1"/>
  <c r="C1942" i="1"/>
  <c r="I1941" i="1"/>
  <c r="G1941" i="1"/>
  <c r="E1941" i="1"/>
  <c r="C1941" i="1"/>
  <c r="I1940" i="1"/>
  <c r="G1940" i="1"/>
  <c r="E1940" i="1"/>
  <c r="C1940" i="1"/>
  <c r="I1939" i="1"/>
  <c r="G1939" i="1"/>
  <c r="E1939" i="1"/>
  <c r="C1939" i="1"/>
  <c r="I1938" i="1"/>
  <c r="G1938" i="1"/>
  <c r="E1938" i="1"/>
  <c r="C1938" i="1"/>
  <c r="I1937" i="1"/>
  <c r="G1937" i="1"/>
  <c r="E1937" i="1"/>
  <c r="C1937" i="1"/>
  <c r="I1936" i="1"/>
  <c r="G1936" i="1"/>
  <c r="E1936" i="1"/>
  <c r="C1936" i="1"/>
  <c r="I1935" i="1"/>
  <c r="G1935" i="1"/>
  <c r="E1935" i="1"/>
  <c r="C1935" i="1"/>
  <c r="I1934" i="1"/>
  <c r="G1934" i="1"/>
  <c r="E1934" i="1"/>
  <c r="C1934" i="1"/>
  <c r="I1933" i="1"/>
  <c r="G1933" i="1"/>
  <c r="E1933" i="1"/>
  <c r="C1933" i="1"/>
  <c r="I1932" i="1"/>
  <c r="G1932" i="1"/>
  <c r="E1932" i="1"/>
  <c r="C1932" i="1"/>
  <c r="I1931" i="1"/>
  <c r="G1931" i="1"/>
  <c r="E1931" i="1"/>
  <c r="C1931" i="1"/>
  <c r="I1930" i="1"/>
  <c r="G1930" i="1"/>
  <c r="E1930" i="1"/>
  <c r="C1930" i="1"/>
  <c r="I1929" i="1"/>
  <c r="G1929" i="1"/>
  <c r="E1929" i="1"/>
  <c r="C1929" i="1"/>
  <c r="I1928" i="1"/>
  <c r="G1928" i="1"/>
  <c r="E1928" i="1"/>
  <c r="C1928" i="1"/>
  <c r="I1927" i="1"/>
  <c r="G1927" i="1"/>
  <c r="E1927" i="1"/>
  <c r="C1927" i="1"/>
  <c r="I1926" i="1"/>
  <c r="G1926" i="1"/>
  <c r="E1926" i="1"/>
  <c r="C1926" i="1"/>
  <c r="I1925" i="1"/>
  <c r="G1925" i="1"/>
  <c r="E1925" i="1"/>
  <c r="C1925" i="1"/>
  <c r="I1924" i="1"/>
  <c r="G1924" i="1"/>
  <c r="E1924" i="1"/>
  <c r="C1924" i="1"/>
  <c r="I1923" i="1"/>
  <c r="G1923" i="1"/>
  <c r="E1923" i="1"/>
  <c r="C1923" i="1"/>
  <c r="I1922" i="1"/>
  <c r="G1922" i="1"/>
  <c r="E1922" i="1"/>
  <c r="C1922" i="1"/>
  <c r="I1921" i="1"/>
  <c r="G1921" i="1"/>
  <c r="E1921" i="1"/>
  <c r="C1921" i="1"/>
  <c r="I1920" i="1"/>
  <c r="G1920" i="1"/>
  <c r="E1920" i="1"/>
  <c r="C1920" i="1"/>
  <c r="I1919" i="1"/>
  <c r="G1919" i="1"/>
  <c r="E1919" i="1"/>
  <c r="C1919" i="1"/>
  <c r="I1918" i="1"/>
  <c r="G1918" i="1"/>
  <c r="E1918" i="1"/>
  <c r="C1918" i="1"/>
  <c r="I1917" i="1"/>
  <c r="G1917" i="1"/>
  <c r="E1917" i="1"/>
  <c r="C1917" i="1"/>
  <c r="I1916" i="1"/>
  <c r="G1916" i="1"/>
  <c r="E1916" i="1"/>
  <c r="C1916" i="1"/>
  <c r="I1915" i="1"/>
  <c r="G1915" i="1"/>
  <c r="E1915" i="1"/>
  <c r="C1915" i="1"/>
  <c r="I1914" i="1"/>
  <c r="G1914" i="1"/>
  <c r="E1914" i="1"/>
  <c r="C1914" i="1"/>
  <c r="I1913" i="1"/>
  <c r="G1913" i="1"/>
  <c r="E1913" i="1"/>
  <c r="C1913" i="1"/>
  <c r="I1912" i="1"/>
  <c r="G1912" i="1"/>
  <c r="E1912" i="1"/>
  <c r="C1912" i="1"/>
  <c r="I1911" i="1"/>
  <c r="G1911" i="1"/>
  <c r="E1911" i="1"/>
  <c r="C1911" i="1"/>
  <c r="I1910" i="1"/>
  <c r="G1910" i="1"/>
  <c r="E1910" i="1"/>
  <c r="C1910" i="1"/>
  <c r="I1909" i="1"/>
  <c r="G1909" i="1"/>
  <c r="E1909" i="1"/>
  <c r="C1909" i="1"/>
  <c r="I1908" i="1"/>
  <c r="G1908" i="1"/>
  <c r="E1908" i="1"/>
  <c r="C1908" i="1"/>
  <c r="I1907" i="1"/>
  <c r="G1907" i="1"/>
  <c r="E1907" i="1"/>
  <c r="C1907" i="1"/>
  <c r="I1906" i="1"/>
  <c r="G1906" i="1"/>
  <c r="E1906" i="1"/>
  <c r="C1906" i="1"/>
  <c r="I1905" i="1"/>
  <c r="G1905" i="1"/>
  <c r="E1905" i="1"/>
  <c r="C1905" i="1"/>
  <c r="I1904" i="1"/>
  <c r="G1904" i="1"/>
  <c r="E1904" i="1"/>
  <c r="C1904" i="1"/>
  <c r="I1903" i="1"/>
  <c r="G1903" i="1"/>
  <c r="E1903" i="1"/>
  <c r="C1903" i="1"/>
  <c r="I1902" i="1"/>
  <c r="G1902" i="1"/>
  <c r="E1902" i="1"/>
  <c r="C1902" i="1"/>
  <c r="I1901" i="1"/>
  <c r="G1901" i="1"/>
  <c r="E1901" i="1"/>
  <c r="C1901" i="1"/>
  <c r="I1900" i="1"/>
  <c r="G1900" i="1"/>
  <c r="E1900" i="1"/>
  <c r="C1900" i="1"/>
  <c r="I1899" i="1"/>
  <c r="G1899" i="1"/>
  <c r="E1899" i="1"/>
  <c r="C1899" i="1"/>
  <c r="I1898" i="1"/>
  <c r="G1898" i="1"/>
  <c r="E1898" i="1"/>
  <c r="C1898" i="1"/>
  <c r="I1897" i="1"/>
  <c r="G1897" i="1"/>
  <c r="E1897" i="1"/>
  <c r="C1897" i="1"/>
  <c r="I1896" i="1"/>
  <c r="G1896" i="1"/>
  <c r="E1896" i="1"/>
  <c r="C1896" i="1"/>
  <c r="I1895" i="1"/>
  <c r="G1895" i="1"/>
  <c r="E1895" i="1"/>
  <c r="C1895" i="1"/>
  <c r="I1894" i="1"/>
  <c r="G1894" i="1"/>
  <c r="E1894" i="1"/>
  <c r="C1894" i="1"/>
  <c r="I1893" i="1"/>
  <c r="G1893" i="1"/>
  <c r="E1893" i="1"/>
  <c r="C1893" i="1"/>
  <c r="I1892" i="1"/>
  <c r="G1892" i="1"/>
  <c r="E1892" i="1"/>
  <c r="C1892" i="1"/>
  <c r="I1891" i="1"/>
  <c r="G1891" i="1"/>
  <c r="E1891" i="1"/>
  <c r="C1891" i="1"/>
  <c r="I1890" i="1"/>
  <c r="G1890" i="1"/>
  <c r="E1890" i="1"/>
  <c r="C1890" i="1"/>
  <c r="I1889" i="1"/>
  <c r="G1889" i="1"/>
  <c r="E1889" i="1"/>
  <c r="C1889" i="1"/>
  <c r="I1888" i="1"/>
  <c r="G1888" i="1"/>
  <c r="E1888" i="1"/>
  <c r="C1888" i="1"/>
  <c r="I1887" i="1"/>
  <c r="G1887" i="1"/>
  <c r="E1887" i="1"/>
  <c r="C1887" i="1"/>
  <c r="I1886" i="1"/>
  <c r="G1886" i="1"/>
  <c r="E1886" i="1"/>
  <c r="C1886" i="1"/>
  <c r="I1885" i="1"/>
  <c r="G1885" i="1"/>
  <c r="E1885" i="1"/>
  <c r="C1885" i="1"/>
  <c r="I1884" i="1"/>
  <c r="G1884" i="1"/>
  <c r="E1884" i="1"/>
  <c r="C1884" i="1"/>
  <c r="I1883" i="1"/>
  <c r="G1883" i="1"/>
  <c r="E1883" i="1"/>
  <c r="C1883" i="1"/>
  <c r="I1882" i="1"/>
  <c r="G1882" i="1"/>
  <c r="E1882" i="1"/>
  <c r="C1882" i="1"/>
  <c r="I1881" i="1"/>
  <c r="G1881" i="1"/>
  <c r="E1881" i="1"/>
  <c r="C1881" i="1"/>
  <c r="I1880" i="1"/>
  <c r="G1880" i="1"/>
  <c r="E1880" i="1"/>
  <c r="C1880" i="1"/>
  <c r="I1879" i="1"/>
  <c r="G1879" i="1"/>
  <c r="E1879" i="1"/>
  <c r="C1879" i="1"/>
  <c r="I1878" i="1"/>
  <c r="G1878" i="1"/>
  <c r="E1878" i="1"/>
  <c r="C1878" i="1"/>
  <c r="I1877" i="1"/>
  <c r="G1877" i="1"/>
  <c r="E1877" i="1"/>
  <c r="C1877" i="1"/>
  <c r="I1876" i="1"/>
  <c r="G1876" i="1"/>
  <c r="E1876" i="1"/>
  <c r="C1876" i="1"/>
  <c r="I1875" i="1"/>
  <c r="G1875" i="1"/>
  <c r="E1875" i="1"/>
  <c r="C1875" i="1"/>
  <c r="I1874" i="1"/>
  <c r="G1874" i="1"/>
  <c r="E1874" i="1"/>
  <c r="C1874" i="1"/>
  <c r="I1873" i="1"/>
  <c r="G1873" i="1"/>
  <c r="E1873" i="1"/>
  <c r="C1873" i="1"/>
  <c r="I1872" i="1"/>
  <c r="G1872" i="1"/>
  <c r="E1872" i="1"/>
  <c r="C1872" i="1"/>
  <c r="I1871" i="1"/>
  <c r="G1871" i="1"/>
  <c r="E1871" i="1"/>
  <c r="C1871" i="1"/>
  <c r="I1870" i="1"/>
  <c r="G1870" i="1"/>
  <c r="E1870" i="1"/>
  <c r="C1870" i="1"/>
  <c r="I1869" i="1"/>
  <c r="G1869" i="1"/>
  <c r="E1869" i="1"/>
  <c r="C1869" i="1"/>
  <c r="I1868" i="1"/>
  <c r="G1868" i="1"/>
  <c r="E1868" i="1"/>
  <c r="C1868" i="1"/>
  <c r="I1867" i="1"/>
  <c r="G1867" i="1"/>
  <c r="E1867" i="1"/>
  <c r="C1867" i="1"/>
  <c r="I1866" i="1"/>
  <c r="G1866" i="1"/>
  <c r="E1866" i="1"/>
  <c r="C1866" i="1"/>
  <c r="I1865" i="1"/>
  <c r="G1865" i="1"/>
  <c r="E1865" i="1"/>
  <c r="C1865" i="1"/>
  <c r="I1864" i="1"/>
  <c r="G1864" i="1"/>
  <c r="E1864" i="1"/>
  <c r="C1864" i="1"/>
  <c r="I1863" i="1"/>
  <c r="G1863" i="1"/>
  <c r="E1863" i="1"/>
  <c r="C1863" i="1"/>
  <c r="I1862" i="1"/>
  <c r="G1862" i="1"/>
  <c r="E1862" i="1"/>
  <c r="C1862" i="1"/>
  <c r="I1861" i="1"/>
  <c r="G1861" i="1"/>
  <c r="E1861" i="1"/>
  <c r="C1861" i="1"/>
  <c r="I1860" i="1"/>
  <c r="G1860" i="1"/>
  <c r="E1860" i="1"/>
  <c r="C1860" i="1"/>
  <c r="I1859" i="1"/>
  <c r="G1859" i="1"/>
  <c r="E1859" i="1"/>
  <c r="C1859" i="1"/>
  <c r="I1858" i="1"/>
  <c r="G1858" i="1"/>
  <c r="E1858" i="1"/>
  <c r="C1858" i="1"/>
  <c r="I1857" i="1"/>
  <c r="G1857" i="1"/>
  <c r="E1857" i="1"/>
  <c r="C1857" i="1"/>
  <c r="I1856" i="1"/>
  <c r="G1856" i="1"/>
  <c r="E1856" i="1"/>
  <c r="C1856" i="1"/>
  <c r="I1855" i="1"/>
  <c r="G1855" i="1"/>
  <c r="E1855" i="1"/>
  <c r="C1855" i="1"/>
  <c r="I1854" i="1"/>
  <c r="G1854" i="1"/>
  <c r="E1854" i="1"/>
  <c r="C1854" i="1"/>
  <c r="I1853" i="1"/>
  <c r="G1853" i="1"/>
  <c r="E1853" i="1"/>
  <c r="C1853" i="1"/>
  <c r="I1852" i="1"/>
  <c r="G1852" i="1"/>
  <c r="E1852" i="1"/>
  <c r="C1852" i="1"/>
  <c r="I1851" i="1"/>
  <c r="G1851" i="1"/>
  <c r="E1851" i="1"/>
  <c r="C1851" i="1"/>
  <c r="I1850" i="1"/>
  <c r="G1850" i="1"/>
  <c r="E1850" i="1"/>
  <c r="C1850" i="1"/>
  <c r="I1849" i="1"/>
  <c r="G1849" i="1"/>
  <c r="E1849" i="1"/>
  <c r="C1849" i="1"/>
  <c r="I1848" i="1"/>
  <c r="G1848" i="1"/>
  <c r="E1848" i="1"/>
  <c r="C1848" i="1"/>
  <c r="I1847" i="1"/>
  <c r="G1847" i="1"/>
  <c r="E1847" i="1"/>
  <c r="C1847" i="1"/>
  <c r="I1846" i="1"/>
  <c r="G1846" i="1"/>
  <c r="E1846" i="1"/>
  <c r="C1846" i="1"/>
  <c r="I1845" i="1"/>
  <c r="G1845" i="1"/>
  <c r="E1845" i="1"/>
  <c r="C1845" i="1"/>
  <c r="I1844" i="1"/>
  <c r="G1844" i="1"/>
  <c r="E1844" i="1"/>
  <c r="C1844" i="1"/>
  <c r="I1843" i="1"/>
  <c r="G1843" i="1"/>
  <c r="E1843" i="1"/>
  <c r="C1843" i="1"/>
  <c r="I1842" i="1"/>
  <c r="G1842" i="1"/>
  <c r="E1842" i="1"/>
  <c r="C1842" i="1"/>
  <c r="I1841" i="1"/>
  <c r="G1841" i="1"/>
  <c r="E1841" i="1"/>
  <c r="C1841" i="1"/>
  <c r="I1840" i="1"/>
  <c r="G1840" i="1"/>
  <c r="E1840" i="1"/>
  <c r="C1840" i="1"/>
  <c r="I1839" i="1"/>
  <c r="G1839" i="1"/>
  <c r="E1839" i="1"/>
  <c r="C1839" i="1"/>
  <c r="I1838" i="1"/>
  <c r="G1838" i="1"/>
  <c r="E1838" i="1"/>
  <c r="C1838" i="1"/>
  <c r="I1837" i="1"/>
  <c r="G1837" i="1"/>
  <c r="E1837" i="1"/>
  <c r="C1837" i="1"/>
  <c r="I1836" i="1"/>
  <c r="G1836" i="1"/>
  <c r="E1836" i="1"/>
  <c r="C1836" i="1"/>
  <c r="I1835" i="1"/>
  <c r="G1835" i="1"/>
  <c r="E1835" i="1"/>
  <c r="C1835" i="1"/>
  <c r="I1834" i="1"/>
  <c r="G1834" i="1"/>
  <c r="E1834" i="1"/>
  <c r="C1834" i="1"/>
  <c r="I1833" i="1"/>
  <c r="G1833" i="1"/>
  <c r="E1833" i="1"/>
  <c r="C1833" i="1"/>
  <c r="I1832" i="1"/>
  <c r="G1832" i="1"/>
  <c r="E1832" i="1"/>
  <c r="C1832" i="1"/>
  <c r="I1831" i="1"/>
  <c r="G1831" i="1"/>
  <c r="E1831" i="1"/>
  <c r="C1831" i="1"/>
  <c r="I1830" i="1"/>
  <c r="G1830" i="1"/>
  <c r="E1830" i="1"/>
  <c r="C1830" i="1"/>
  <c r="I1829" i="1"/>
  <c r="G1829" i="1"/>
  <c r="E1829" i="1"/>
  <c r="C1829" i="1"/>
  <c r="I1828" i="1"/>
  <c r="G1828" i="1"/>
  <c r="E1828" i="1"/>
  <c r="C1828" i="1"/>
  <c r="I1827" i="1"/>
  <c r="G1827" i="1"/>
  <c r="E1827" i="1"/>
  <c r="C1827" i="1"/>
  <c r="I1826" i="1"/>
  <c r="G1826" i="1"/>
  <c r="E1826" i="1"/>
  <c r="C1826" i="1"/>
  <c r="I1825" i="1"/>
  <c r="G1825" i="1"/>
  <c r="E1825" i="1"/>
  <c r="C1825" i="1"/>
  <c r="I1824" i="1"/>
  <c r="G1824" i="1"/>
  <c r="E1824" i="1"/>
  <c r="C1824" i="1"/>
  <c r="I1823" i="1"/>
  <c r="G1823" i="1"/>
  <c r="E1823" i="1"/>
  <c r="C1823" i="1"/>
  <c r="I1822" i="1"/>
  <c r="G1822" i="1"/>
  <c r="E1822" i="1"/>
  <c r="C1822" i="1"/>
  <c r="I1821" i="1"/>
  <c r="G1821" i="1"/>
  <c r="E1821" i="1"/>
  <c r="C1821" i="1"/>
  <c r="I1820" i="1"/>
  <c r="G1820" i="1"/>
  <c r="E1820" i="1"/>
  <c r="C1820" i="1"/>
  <c r="I1819" i="1"/>
  <c r="G1819" i="1"/>
  <c r="E1819" i="1"/>
  <c r="C1819" i="1"/>
  <c r="I1818" i="1"/>
  <c r="G1818" i="1"/>
  <c r="E1818" i="1"/>
  <c r="C1818" i="1"/>
  <c r="I1817" i="1"/>
  <c r="G1817" i="1"/>
  <c r="E1817" i="1"/>
  <c r="C1817" i="1"/>
  <c r="I1816" i="1"/>
  <c r="G1816" i="1"/>
  <c r="E1816" i="1"/>
  <c r="C1816" i="1"/>
  <c r="I1815" i="1"/>
  <c r="G1815" i="1"/>
  <c r="E1815" i="1"/>
  <c r="C1815" i="1"/>
  <c r="I1814" i="1"/>
  <c r="G1814" i="1"/>
  <c r="E1814" i="1"/>
  <c r="C1814" i="1"/>
  <c r="I1813" i="1"/>
  <c r="G1813" i="1"/>
  <c r="E1813" i="1"/>
  <c r="C1813" i="1"/>
  <c r="I1812" i="1"/>
  <c r="G1812" i="1"/>
  <c r="E1812" i="1"/>
  <c r="C1812" i="1"/>
  <c r="I1811" i="1"/>
  <c r="G1811" i="1"/>
  <c r="E1811" i="1"/>
  <c r="C1811" i="1"/>
  <c r="I1810" i="1"/>
  <c r="G1810" i="1"/>
  <c r="E1810" i="1"/>
  <c r="C1810" i="1"/>
  <c r="I1809" i="1"/>
  <c r="G1809" i="1"/>
  <c r="E1809" i="1"/>
  <c r="C1809" i="1"/>
  <c r="I1808" i="1"/>
  <c r="G1808" i="1"/>
  <c r="E1808" i="1"/>
  <c r="C1808" i="1"/>
  <c r="I1807" i="1"/>
  <c r="G1807" i="1"/>
  <c r="E1807" i="1"/>
  <c r="C1807" i="1"/>
  <c r="I1806" i="1"/>
  <c r="G1806" i="1"/>
  <c r="E1806" i="1"/>
  <c r="C1806" i="1"/>
  <c r="I1805" i="1"/>
  <c r="G1805" i="1"/>
  <c r="E1805" i="1"/>
  <c r="C1805" i="1"/>
  <c r="I1804" i="1"/>
  <c r="G1804" i="1"/>
  <c r="E1804" i="1"/>
  <c r="C1804" i="1"/>
  <c r="I1803" i="1"/>
  <c r="G1803" i="1"/>
  <c r="E1803" i="1"/>
  <c r="C1803" i="1"/>
  <c r="I1802" i="1"/>
  <c r="G1802" i="1"/>
  <c r="E1802" i="1"/>
  <c r="C1802" i="1"/>
  <c r="I1801" i="1"/>
  <c r="G1801" i="1"/>
  <c r="E1801" i="1"/>
  <c r="C1801" i="1"/>
  <c r="I1800" i="1"/>
  <c r="G1800" i="1"/>
  <c r="E1800" i="1"/>
  <c r="C1800" i="1"/>
  <c r="I1799" i="1"/>
  <c r="G1799" i="1"/>
  <c r="E1799" i="1"/>
  <c r="C1799" i="1"/>
  <c r="I1798" i="1"/>
  <c r="G1798" i="1"/>
  <c r="E1798" i="1"/>
  <c r="C1798" i="1"/>
  <c r="I1797" i="1"/>
  <c r="G1797" i="1"/>
  <c r="E1797" i="1"/>
  <c r="C1797" i="1"/>
  <c r="I1796" i="1"/>
  <c r="G1796" i="1"/>
  <c r="E1796" i="1"/>
  <c r="C1796" i="1"/>
  <c r="I1795" i="1"/>
  <c r="G1795" i="1"/>
  <c r="E1795" i="1"/>
  <c r="C1795" i="1"/>
  <c r="I1794" i="1"/>
  <c r="G1794" i="1"/>
  <c r="E1794" i="1"/>
  <c r="C1794" i="1"/>
  <c r="I1793" i="1"/>
  <c r="G1793" i="1"/>
  <c r="E1793" i="1"/>
  <c r="C1793" i="1"/>
  <c r="I1792" i="1"/>
  <c r="G1792" i="1"/>
  <c r="E1792" i="1"/>
  <c r="C1792" i="1"/>
  <c r="I1791" i="1"/>
  <c r="G1791" i="1"/>
  <c r="E1791" i="1"/>
  <c r="C1791" i="1"/>
  <c r="I1790" i="1"/>
  <c r="G1790" i="1"/>
  <c r="E1790" i="1"/>
  <c r="C1790" i="1"/>
  <c r="I1789" i="1"/>
  <c r="G1789" i="1"/>
  <c r="E1789" i="1"/>
  <c r="C1789" i="1"/>
  <c r="I1788" i="1"/>
  <c r="G1788" i="1"/>
  <c r="E1788" i="1"/>
  <c r="C1788" i="1"/>
  <c r="I1787" i="1"/>
  <c r="G1787" i="1"/>
  <c r="E1787" i="1"/>
  <c r="C1787" i="1"/>
  <c r="I1786" i="1"/>
  <c r="G1786" i="1"/>
  <c r="E1786" i="1"/>
  <c r="C1786" i="1"/>
  <c r="I1785" i="1"/>
  <c r="G1785" i="1"/>
  <c r="E1785" i="1"/>
  <c r="C1785" i="1"/>
  <c r="I1784" i="1"/>
  <c r="G1784" i="1"/>
  <c r="E1784" i="1"/>
  <c r="C1784" i="1"/>
  <c r="I1783" i="1"/>
  <c r="G1783" i="1"/>
  <c r="E1783" i="1"/>
  <c r="C1783" i="1"/>
  <c r="I1782" i="1"/>
  <c r="G1782" i="1"/>
  <c r="E1782" i="1"/>
  <c r="C1782" i="1"/>
  <c r="I1781" i="1"/>
  <c r="G1781" i="1"/>
  <c r="E1781" i="1"/>
  <c r="C1781" i="1"/>
  <c r="I1780" i="1"/>
  <c r="G1780" i="1"/>
  <c r="E1780" i="1"/>
  <c r="C1780" i="1"/>
  <c r="I1779" i="1"/>
  <c r="G1779" i="1"/>
  <c r="E1779" i="1"/>
  <c r="C1779" i="1"/>
  <c r="I1778" i="1"/>
  <c r="G1778" i="1"/>
  <c r="E1778" i="1"/>
  <c r="C1778" i="1"/>
  <c r="I1777" i="1"/>
  <c r="G1777" i="1"/>
  <c r="E1777" i="1"/>
  <c r="C1777" i="1"/>
  <c r="I1776" i="1"/>
  <c r="G1776" i="1"/>
  <c r="E1776" i="1"/>
  <c r="C1776" i="1"/>
  <c r="I1775" i="1"/>
  <c r="G1775" i="1"/>
  <c r="E1775" i="1"/>
  <c r="C1775" i="1"/>
  <c r="I1774" i="1"/>
  <c r="G1774" i="1"/>
  <c r="E1774" i="1"/>
  <c r="C1774" i="1"/>
  <c r="I1773" i="1"/>
  <c r="G1773" i="1"/>
  <c r="E1773" i="1"/>
  <c r="C1773" i="1"/>
  <c r="I1772" i="1"/>
  <c r="G1772" i="1"/>
  <c r="E1772" i="1"/>
  <c r="C1772" i="1"/>
  <c r="I1771" i="1"/>
  <c r="G1771" i="1"/>
  <c r="E1771" i="1"/>
  <c r="C1771" i="1"/>
  <c r="I1770" i="1"/>
  <c r="G1770" i="1"/>
  <c r="E1770" i="1"/>
  <c r="C1770" i="1"/>
  <c r="I1769" i="1"/>
  <c r="G1769" i="1"/>
  <c r="E1769" i="1"/>
  <c r="C1769" i="1"/>
  <c r="I1768" i="1"/>
  <c r="G1768" i="1"/>
  <c r="E1768" i="1"/>
  <c r="C1768" i="1"/>
  <c r="I1767" i="1"/>
  <c r="G1767" i="1"/>
  <c r="E1767" i="1"/>
  <c r="C1767" i="1"/>
  <c r="I1766" i="1"/>
  <c r="G1766" i="1"/>
  <c r="E1766" i="1"/>
  <c r="C1766" i="1"/>
  <c r="I1765" i="1"/>
  <c r="G1765" i="1"/>
  <c r="E1765" i="1"/>
  <c r="C1765" i="1"/>
  <c r="I1764" i="1"/>
  <c r="G1764" i="1"/>
  <c r="E1764" i="1"/>
  <c r="C1764" i="1"/>
  <c r="I1763" i="1"/>
  <c r="G1763" i="1"/>
  <c r="E1763" i="1"/>
  <c r="C1763" i="1"/>
  <c r="I1762" i="1"/>
  <c r="G1762" i="1"/>
  <c r="E1762" i="1"/>
  <c r="C1762" i="1"/>
  <c r="I1761" i="1"/>
  <c r="G1761" i="1"/>
  <c r="E1761" i="1"/>
  <c r="C1761" i="1"/>
  <c r="I1760" i="1"/>
  <c r="G1760" i="1"/>
  <c r="E1760" i="1"/>
  <c r="C1760" i="1"/>
  <c r="I1759" i="1"/>
  <c r="G1759" i="1"/>
  <c r="E1759" i="1"/>
  <c r="C1759" i="1"/>
  <c r="I1758" i="1"/>
  <c r="G1758" i="1"/>
  <c r="E1758" i="1"/>
  <c r="C1758" i="1"/>
  <c r="I1757" i="1"/>
  <c r="G1757" i="1"/>
  <c r="E1757" i="1"/>
  <c r="C1757" i="1"/>
  <c r="I1756" i="1"/>
  <c r="G1756" i="1"/>
  <c r="E1756" i="1"/>
  <c r="C1756" i="1"/>
  <c r="I1755" i="1"/>
  <c r="G1755" i="1"/>
  <c r="E1755" i="1"/>
  <c r="C1755" i="1"/>
  <c r="I1754" i="1"/>
  <c r="G1754" i="1"/>
  <c r="E1754" i="1"/>
  <c r="C1754" i="1"/>
  <c r="I1753" i="1"/>
  <c r="G1753" i="1"/>
  <c r="E1753" i="1"/>
  <c r="C1753" i="1"/>
  <c r="I1752" i="1"/>
  <c r="G1752" i="1"/>
  <c r="E1752" i="1"/>
  <c r="C1752" i="1"/>
  <c r="I1751" i="1"/>
  <c r="G1751" i="1"/>
  <c r="E1751" i="1"/>
  <c r="C1751" i="1"/>
  <c r="I1750" i="1"/>
  <c r="G1750" i="1"/>
  <c r="E1750" i="1"/>
  <c r="C1750" i="1"/>
  <c r="I1749" i="1"/>
  <c r="G1749" i="1"/>
  <c r="E1749" i="1"/>
  <c r="C1749" i="1"/>
  <c r="I1748" i="1"/>
  <c r="G1748" i="1"/>
  <c r="E1748" i="1"/>
  <c r="C1748" i="1"/>
  <c r="I1747" i="1"/>
  <c r="G1747" i="1"/>
  <c r="E1747" i="1"/>
  <c r="C1747" i="1"/>
  <c r="I1746" i="1"/>
  <c r="G1746" i="1"/>
  <c r="E1746" i="1"/>
  <c r="C1746" i="1"/>
  <c r="I1745" i="1"/>
  <c r="G1745" i="1"/>
  <c r="E1745" i="1"/>
  <c r="C1745" i="1"/>
  <c r="I1744" i="1"/>
  <c r="G1744" i="1"/>
  <c r="E1744" i="1"/>
  <c r="C1744" i="1"/>
  <c r="I1743" i="1"/>
  <c r="G1743" i="1"/>
  <c r="E1743" i="1"/>
  <c r="C1743" i="1"/>
  <c r="I1742" i="1"/>
  <c r="G1742" i="1"/>
  <c r="E1742" i="1"/>
  <c r="C1742" i="1"/>
  <c r="I1741" i="1"/>
  <c r="G1741" i="1"/>
  <c r="E1741" i="1"/>
  <c r="C1741" i="1"/>
  <c r="I1740" i="1"/>
  <c r="G1740" i="1"/>
  <c r="E1740" i="1"/>
  <c r="C1740" i="1"/>
  <c r="I1739" i="1"/>
  <c r="G1739" i="1"/>
  <c r="E1739" i="1"/>
  <c r="C1739" i="1"/>
  <c r="I1738" i="1"/>
  <c r="G1738" i="1"/>
  <c r="E1738" i="1"/>
  <c r="C1738" i="1"/>
  <c r="I1737" i="1"/>
  <c r="G1737" i="1"/>
  <c r="E1737" i="1"/>
  <c r="C1737" i="1"/>
  <c r="I1736" i="1"/>
  <c r="G1736" i="1"/>
  <c r="E1736" i="1"/>
  <c r="C1736" i="1"/>
  <c r="I1735" i="1"/>
  <c r="G1735" i="1"/>
  <c r="E1735" i="1"/>
  <c r="C1735" i="1"/>
  <c r="I1734" i="1"/>
  <c r="G1734" i="1"/>
  <c r="E1734" i="1"/>
  <c r="C1734" i="1"/>
  <c r="I1733" i="1"/>
  <c r="G1733" i="1"/>
  <c r="E1733" i="1"/>
  <c r="C1733" i="1"/>
  <c r="I1732" i="1"/>
  <c r="G1732" i="1"/>
  <c r="E1732" i="1"/>
  <c r="C1732" i="1"/>
  <c r="I1731" i="1"/>
  <c r="G1731" i="1"/>
  <c r="E1731" i="1"/>
  <c r="C1731" i="1"/>
  <c r="I1730" i="1"/>
  <c r="G1730" i="1"/>
  <c r="E1730" i="1"/>
  <c r="C1730" i="1"/>
  <c r="I1729" i="1"/>
  <c r="G1729" i="1"/>
  <c r="E1729" i="1"/>
  <c r="C1729" i="1"/>
  <c r="I1728" i="1"/>
  <c r="G1728" i="1"/>
  <c r="E1728" i="1"/>
  <c r="C1728" i="1"/>
  <c r="I1727" i="1"/>
  <c r="G1727" i="1"/>
  <c r="E1727" i="1"/>
  <c r="C1727" i="1"/>
  <c r="I1726" i="1"/>
  <c r="G1726" i="1"/>
  <c r="E1726" i="1"/>
  <c r="C1726" i="1"/>
  <c r="I1725" i="1"/>
  <c r="G1725" i="1"/>
  <c r="E1725" i="1"/>
  <c r="C1725" i="1"/>
  <c r="I1724" i="1"/>
  <c r="G1724" i="1"/>
  <c r="E1724" i="1"/>
  <c r="C1724" i="1"/>
  <c r="I1723" i="1"/>
  <c r="G1723" i="1"/>
  <c r="E1723" i="1"/>
  <c r="C1723" i="1"/>
  <c r="I1722" i="1"/>
  <c r="G1722" i="1"/>
  <c r="E1722" i="1"/>
  <c r="C1722" i="1"/>
  <c r="I1721" i="1"/>
  <c r="G1721" i="1"/>
  <c r="E1721" i="1"/>
  <c r="C1721" i="1"/>
  <c r="I1720" i="1"/>
  <c r="G1720" i="1"/>
  <c r="E1720" i="1"/>
  <c r="C1720" i="1"/>
  <c r="I1719" i="1"/>
  <c r="G1719" i="1"/>
  <c r="E1719" i="1"/>
  <c r="C1719" i="1"/>
  <c r="I1718" i="1"/>
  <c r="G1718" i="1"/>
  <c r="E1718" i="1"/>
  <c r="C1718" i="1"/>
  <c r="I1717" i="1"/>
  <c r="G1717" i="1"/>
  <c r="E1717" i="1"/>
  <c r="C1717" i="1"/>
  <c r="I1716" i="1"/>
  <c r="G1716" i="1"/>
  <c r="E1716" i="1"/>
  <c r="C1716" i="1"/>
  <c r="I1715" i="1"/>
  <c r="G1715" i="1"/>
  <c r="E1715" i="1"/>
  <c r="C1715" i="1"/>
  <c r="I1714" i="1"/>
  <c r="G1714" i="1"/>
  <c r="E1714" i="1"/>
  <c r="C1714" i="1"/>
  <c r="I1713" i="1"/>
  <c r="G1713" i="1"/>
  <c r="E1713" i="1"/>
  <c r="C1713" i="1"/>
  <c r="I1712" i="1"/>
  <c r="G1712" i="1"/>
  <c r="E1712" i="1"/>
  <c r="C1712" i="1"/>
  <c r="I1711" i="1"/>
  <c r="G1711" i="1"/>
  <c r="E1711" i="1"/>
  <c r="C1711" i="1"/>
  <c r="I1710" i="1"/>
  <c r="G1710" i="1"/>
  <c r="E1710" i="1"/>
  <c r="C1710" i="1"/>
  <c r="I1709" i="1"/>
  <c r="G1709" i="1"/>
  <c r="E1709" i="1"/>
  <c r="C1709" i="1"/>
  <c r="I1708" i="1"/>
  <c r="G1708" i="1"/>
  <c r="E1708" i="1"/>
  <c r="C1708" i="1"/>
  <c r="I1707" i="1"/>
  <c r="G1707" i="1"/>
  <c r="E1707" i="1"/>
  <c r="C1707" i="1"/>
  <c r="I1706" i="1"/>
  <c r="G1706" i="1"/>
  <c r="E1706" i="1"/>
  <c r="C1706" i="1"/>
  <c r="I1705" i="1"/>
  <c r="G1705" i="1"/>
  <c r="E1705" i="1"/>
  <c r="C1705" i="1"/>
  <c r="I1704" i="1"/>
  <c r="G1704" i="1"/>
  <c r="E1704" i="1"/>
  <c r="C1704" i="1"/>
  <c r="I1703" i="1"/>
  <c r="G1703" i="1"/>
  <c r="E1703" i="1"/>
  <c r="C1703" i="1"/>
  <c r="I1702" i="1"/>
  <c r="G1702" i="1"/>
  <c r="E1702" i="1"/>
  <c r="C1702" i="1"/>
  <c r="I1701" i="1"/>
  <c r="G1701" i="1"/>
  <c r="E1701" i="1"/>
  <c r="C1701" i="1"/>
  <c r="I1700" i="1"/>
  <c r="G1700" i="1"/>
  <c r="E1700" i="1"/>
  <c r="C1700" i="1"/>
  <c r="I1699" i="1"/>
  <c r="G1699" i="1"/>
  <c r="E1699" i="1"/>
  <c r="C1699" i="1"/>
  <c r="I1698" i="1"/>
  <c r="G1698" i="1"/>
  <c r="E1698" i="1"/>
  <c r="C1698" i="1"/>
  <c r="I1697" i="1"/>
  <c r="G1697" i="1"/>
  <c r="E1697" i="1"/>
  <c r="C1697" i="1"/>
  <c r="I1696" i="1"/>
  <c r="G1696" i="1"/>
  <c r="E1696" i="1"/>
  <c r="C1696" i="1"/>
  <c r="I1695" i="1"/>
  <c r="G1695" i="1"/>
  <c r="E1695" i="1"/>
  <c r="C1695" i="1"/>
  <c r="I1694" i="1"/>
  <c r="G1694" i="1"/>
  <c r="E1694" i="1"/>
  <c r="C1694" i="1"/>
  <c r="I1693" i="1"/>
  <c r="G1693" i="1"/>
  <c r="E1693" i="1"/>
  <c r="C1693" i="1"/>
  <c r="I1692" i="1"/>
  <c r="G1692" i="1"/>
  <c r="E1692" i="1"/>
  <c r="C1692" i="1"/>
  <c r="I1691" i="1"/>
  <c r="G1691" i="1"/>
  <c r="E1691" i="1"/>
  <c r="C1691" i="1"/>
  <c r="I1690" i="1"/>
  <c r="G1690" i="1"/>
  <c r="E1690" i="1"/>
  <c r="C1690" i="1"/>
  <c r="I1689" i="1"/>
  <c r="G1689" i="1"/>
  <c r="E1689" i="1"/>
  <c r="C1689" i="1"/>
  <c r="I1688" i="1"/>
  <c r="G1688" i="1"/>
  <c r="E1688" i="1"/>
  <c r="C1688" i="1"/>
  <c r="I1687" i="1"/>
  <c r="G1687" i="1"/>
  <c r="E1687" i="1"/>
  <c r="C1687" i="1"/>
  <c r="I1686" i="1"/>
  <c r="G1686" i="1"/>
  <c r="E1686" i="1"/>
  <c r="C1686" i="1"/>
  <c r="I1685" i="1"/>
  <c r="G1685" i="1"/>
  <c r="E1685" i="1"/>
  <c r="C1685" i="1"/>
  <c r="I1684" i="1"/>
  <c r="G1684" i="1"/>
  <c r="E1684" i="1"/>
  <c r="C1684" i="1"/>
  <c r="I1683" i="1"/>
  <c r="G1683" i="1"/>
  <c r="E1683" i="1"/>
  <c r="C1683" i="1"/>
  <c r="I1682" i="1"/>
  <c r="G1682" i="1"/>
  <c r="E1682" i="1"/>
  <c r="C1682" i="1"/>
  <c r="I1681" i="1"/>
  <c r="G1681" i="1"/>
  <c r="E1681" i="1"/>
  <c r="C1681" i="1"/>
  <c r="I1680" i="1"/>
  <c r="G1680" i="1"/>
  <c r="E1680" i="1"/>
  <c r="C1680" i="1"/>
  <c r="I1679" i="1"/>
  <c r="G1679" i="1"/>
  <c r="E1679" i="1"/>
  <c r="C1679" i="1"/>
  <c r="I1678" i="1"/>
  <c r="G1678" i="1"/>
  <c r="E1678" i="1"/>
  <c r="C1678" i="1"/>
  <c r="I1677" i="1"/>
  <c r="G1677" i="1"/>
  <c r="E1677" i="1"/>
  <c r="C1677" i="1"/>
  <c r="I1676" i="1"/>
  <c r="G1676" i="1"/>
  <c r="E1676" i="1"/>
  <c r="C1676" i="1"/>
  <c r="I1675" i="1"/>
  <c r="G1675" i="1"/>
  <c r="E1675" i="1"/>
  <c r="C1675" i="1"/>
  <c r="I1674" i="1"/>
  <c r="G1674" i="1"/>
  <c r="E1674" i="1"/>
  <c r="C1674" i="1"/>
  <c r="I1673" i="1"/>
  <c r="G1673" i="1"/>
  <c r="E1673" i="1"/>
  <c r="C1673" i="1"/>
  <c r="I1672" i="1"/>
  <c r="G1672" i="1"/>
  <c r="E1672" i="1"/>
  <c r="C1672" i="1"/>
  <c r="I1671" i="1"/>
  <c r="G1671" i="1"/>
  <c r="E1671" i="1"/>
  <c r="C1671" i="1"/>
  <c r="I1670" i="1"/>
  <c r="G1670" i="1"/>
  <c r="E1670" i="1"/>
  <c r="C1670" i="1"/>
  <c r="I1669" i="1"/>
  <c r="G1669" i="1"/>
  <c r="E1669" i="1"/>
  <c r="C1669" i="1"/>
  <c r="I1668" i="1"/>
  <c r="G1668" i="1"/>
  <c r="E1668" i="1"/>
  <c r="C1668" i="1"/>
  <c r="I1667" i="1"/>
  <c r="G1667" i="1"/>
  <c r="E1667" i="1"/>
  <c r="C1667" i="1"/>
  <c r="I1666" i="1"/>
  <c r="G1666" i="1"/>
  <c r="E1666" i="1"/>
  <c r="C1666" i="1"/>
  <c r="I1665" i="1"/>
  <c r="G1665" i="1"/>
  <c r="E1665" i="1"/>
  <c r="C1665" i="1"/>
  <c r="I1664" i="1"/>
  <c r="G1664" i="1"/>
  <c r="E1664" i="1"/>
  <c r="C1664" i="1"/>
  <c r="I1663" i="1"/>
  <c r="G1663" i="1"/>
  <c r="E1663" i="1"/>
  <c r="C1663" i="1"/>
  <c r="I1662" i="1"/>
  <c r="G1662" i="1"/>
  <c r="E1662" i="1"/>
  <c r="C1662" i="1"/>
  <c r="I1661" i="1"/>
  <c r="G1661" i="1"/>
  <c r="E1661" i="1"/>
  <c r="C1661" i="1"/>
  <c r="I1660" i="1"/>
  <c r="G1660" i="1"/>
  <c r="E1660" i="1"/>
  <c r="C1660" i="1"/>
  <c r="I1659" i="1"/>
  <c r="G1659" i="1"/>
  <c r="E1659" i="1"/>
  <c r="C1659" i="1"/>
  <c r="I1658" i="1"/>
  <c r="G1658" i="1"/>
  <c r="E1658" i="1"/>
  <c r="C1658" i="1"/>
  <c r="I1657" i="1"/>
  <c r="G1657" i="1"/>
  <c r="E1657" i="1"/>
  <c r="C1657" i="1"/>
  <c r="I1656" i="1"/>
  <c r="G1656" i="1"/>
  <c r="E1656" i="1"/>
  <c r="C1656" i="1"/>
  <c r="I1655" i="1"/>
  <c r="G1655" i="1"/>
  <c r="E1655" i="1"/>
  <c r="C1655" i="1"/>
  <c r="I1654" i="1"/>
  <c r="G1654" i="1"/>
  <c r="E1654" i="1"/>
  <c r="C1654" i="1"/>
  <c r="I1653" i="1"/>
  <c r="G1653" i="1"/>
  <c r="E1653" i="1"/>
  <c r="C1653" i="1"/>
  <c r="I1652" i="1"/>
  <c r="G1652" i="1"/>
  <c r="E1652" i="1"/>
  <c r="C1652" i="1"/>
  <c r="I1651" i="1"/>
  <c r="G1651" i="1"/>
  <c r="E1651" i="1"/>
  <c r="C1651" i="1"/>
  <c r="I1650" i="1"/>
  <c r="G1650" i="1"/>
  <c r="E1650" i="1"/>
  <c r="C1650" i="1"/>
  <c r="I1649" i="1"/>
  <c r="G1649" i="1"/>
  <c r="E1649" i="1"/>
  <c r="C1649" i="1"/>
  <c r="I1648" i="1"/>
  <c r="G1648" i="1"/>
  <c r="E1648" i="1"/>
  <c r="C1648" i="1"/>
  <c r="I1647" i="1"/>
  <c r="G1647" i="1"/>
  <c r="E1647" i="1"/>
  <c r="C1647" i="1"/>
  <c r="I1646" i="1"/>
  <c r="G1646" i="1"/>
  <c r="E1646" i="1"/>
  <c r="C1646" i="1"/>
  <c r="I1645" i="1"/>
  <c r="G1645" i="1"/>
  <c r="E1645" i="1"/>
  <c r="C1645" i="1"/>
  <c r="I1644" i="1"/>
  <c r="G1644" i="1"/>
  <c r="E1644" i="1"/>
  <c r="C1644" i="1"/>
  <c r="I1643" i="1"/>
  <c r="G1643" i="1"/>
  <c r="E1643" i="1"/>
  <c r="C1643" i="1"/>
  <c r="I1642" i="1"/>
  <c r="G1642" i="1"/>
  <c r="E1642" i="1"/>
  <c r="C1642" i="1"/>
  <c r="I1641" i="1"/>
  <c r="G1641" i="1"/>
  <c r="E1641" i="1"/>
  <c r="C1641" i="1"/>
  <c r="I1640" i="1"/>
  <c r="G1640" i="1"/>
  <c r="E1640" i="1"/>
  <c r="C1640" i="1"/>
  <c r="I1639" i="1"/>
  <c r="G1639" i="1"/>
  <c r="E1639" i="1"/>
  <c r="C1639" i="1"/>
  <c r="I1638" i="1"/>
  <c r="G1638" i="1"/>
  <c r="E1638" i="1"/>
  <c r="C1638" i="1"/>
  <c r="I1637" i="1"/>
  <c r="G1637" i="1"/>
  <c r="E1637" i="1"/>
  <c r="C1637" i="1"/>
  <c r="I1636" i="1"/>
  <c r="G1636" i="1"/>
  <c r="E1636" i="1"/>
  <c r="C1636" i="1"/>
  <c r="I1635" i="1"/>
  <c r="G1635" i="1"/>
  <c r="E1635" i="1"/>
  <c r="C1635" i="1"/>
  <c r="I1634" i="1"/>
  <c r="G1634" i="1"/>
  <c r="E1634" i="1"/>
  <c r="C1634" i="1"/>
  <c r="I1633" i="1"/>
  <c r="G1633" i="1"/>
  <c r="E1633" i="1"/>
  <c r="C1633" i="1"/>
  <c r="I1632" i="1"/>
  <c r="G1632" i="1"/>
  <c r="E1632" i="1"/>
  <c r="C1632" i="1"/>
  <c r="I1631" i="1"/>
  <c r="G1631" i="1"/>
  <c r="E1631" i="1"/>
  <c r="C1631" i="1"/>
  <c r="I1630" i="1"/>
  <c r="G1630" i="1"/>
  <c r="E1630" i="1"/>
  <c r="C1630" i="1"/>
  <c r="I1629" i="1"/>
  <c r="G1629" i="1"/>
  <c r="E1629" i="1"/>
  <c r="C1629" i="1"/>
  <c r="I1628" i="1"/>
  <c r="G1628" i="1"/>
  <c r="E1628" i="1"/>
  <c r="C1628" i="1"/>
  <c r="I1627" i="1"/>
  <c r="G1627" i="1"/>
  <c r="E1627" i="1"/>
  <c r="C1627" i="1"/>
  <c r="I1626" i="1"/>
  <c r="G1626" i="1"/>
  <c r="E1626" i="1"/>
  <c r="C1626" i="1"/>
  <c r="I1625" i="1"/>
  <c r="G1625" i="1"/>
  <c r="E1625" i="1"/>
  <c r="C1625" i="1"/>
  <c r="I1624" i="1"/>
  <c r="G1624" i="1"/>
  <c r="E1624" i="1"/>
  <c r="C1624" i="1"/>
  <c r="I1623" i="1"/>
  <c r="G1623" i="1"/>
  <c r="E1623" i="1"/>
  <c r="C1623" i="1"/>
  <c r="I1622" i="1"/>
  <c r="G1622" i="1"/>
  <c r="E1622" i="1"/>
  <c r="C1622" i="1"/>
  <c r="I1621" i="1"/>
  <c r="G1621" i="1"/>
  <c r="E1621" i="1"/>
  <c r="C1621" i="1"/>
  <c r="I1620" i="1"/>
  <c r="G1620" i="1"/>
  <c r="E1620" i="1"/>
  <c r="C1620" i="1"/>
  <c r="I1619" i="1"/>
  <c r="G1619" i="1"/>
  <c r="E1619" i="1"/>
  <c r="C1619" i="1"/>
  <c r="I1618" i="1"/>
  <c r="G1618" i="1"/>
  <c r="E1618" i="1"/>
  <c r="C1618" i="1"/>
  <c r="I1617" i="1"/>
  <c r="G1617" i="1"/>
  <c r="E1617" i="1"/>
  <c r="C1617" i="1"/>
  <c r="I1616" i="1"/>
  <c r="G1616" i="1"/>
  <c r="E1616" i="1"/>
  <c r="C1616" i="1"/>
  <c r="I1615" i="1"/>
  <c r="G1615" i="1"/>
  <c r="E1615" i="1"/>
  <c r="C1615" i="1"/>
  <c r="I1614" i="1"/>
  <c r="G1614" i="1"/>
  <c r="E1614" i="1"/>
  <c r="C1614" i="1"/>
  <c r="I1613" i="1"/>
  <c r="G1613" i="1"/>
  <c r="E1613" i="1"/>
  <c r="C1613" i="1"/>
  <c r="I1612" i="1"/>
  <c r="G1612" i="1"/>
  <c r="E1612" i="1"/>
  <c r="C1612" i="1"/>
  <c r="I1611" i="1"/>
  <c r="G1611" i="1"/>
  <c r="E1611" i="1"/>
  <c r="C1611" i="1"/>
  <c r="I1610" i="1"/>
  <c r="G1610" i="1"/>
  <c r="E1610" i="1"/>
  <c r="C1610" i="1"/>
  <c r="I1609" i="1"/>
  <c r="G1609" i="1"/>
  <c r="E1609" i="1"/>
  <c r="C1609" i="1"/>
  <c r="I1608" i="1"/>
  <c r="G1608" i="1"/>
  <c r="E1608" i="1"/>
  <c r="C1608" i="1"/>
  <c r="I1607" i="1"/>
  <c r="G1607" i="1"/>
  <c r="E1607" i="1"/>
  <c r="C1607" i="1"/>
  <c r="I1606" i="1"/>
  <c r="G1606" i="1"/>
  <c r="E1606" i="1"/>
  <c r="C1606" i="1"/>
  <c r="I1605" i="1"/>
  <c r="G1605" i="1"/>
  <c r="E1605" i="1"/>
  <c r="C1605" i="1"/>
  <c r="I1604" i="1"/>
  <c r="G1604" i="1"/>
  <c r="E1604" i="1"/>
  <c r="C1604" i="1"/>
  <c r="I1603" i="1"/>
  <c r="G1603" i="1"/>
  <c r="E1603" i="1"/>
  <c r="C1603" i="1"/>
  <c r="I1602" i="1"/>
  <c r="G1602" i="1"/>
  <c r="E1602" i="1"/>
  <c r="C1602" i="1"/>
  <c r="I1601" i="1"/>
  <c r="G1601" i="1"/>
  <c r="E1601" i="1"/>
  <c r="C1601" i="1"/>
  <c r="I1600" i="1"/>
  <c r="G1600" i="1"/>
  <c r="E1600" i="1"/>
  <c r="C1600" i="1"/>
  <c r="I1599" i="1"/>
  <c r="G1599" i="1"/>
  <c r="E1599" i="1"/>
  <c r="C1599" i="1"/>
  <c r="I1598" i="1"/>
  <c r="G1598" i="1"/>
  <c r="E1598" i="1"/>
  <c r="C1598" i="1"/>
  <c r="I1597" i="1"/>
  <c r="G1597" i="1"/>
  <c r="E1597" i="1"/>
  <c r="C1597" i="1"/>
  <c r="I1596" i="1"/>
  <c r="G1596" i="1"/>
  <c r="E1596" i="1"/>
  <c r="C1596" i="1"/>
  <c r="I1595" i="1"/>
  <c r="G1595" i="1"/>
  <c r="E1595" i="1"/>
  <c r="C1595" i="1"/>
  <c r="I1594" i="1"/>
  <c r="G1594" i="1"/>
  <c r="E1594" i="1"/>
  <c r="C1594" i="1"/>
  <c r="I1593" i="1"/>
  <c r="G1593" i="1"/>
  <c r="E1593" i="1"/>
  <c r="C1593" i="1"/>
  <c r="I1592" i="1"/>
  <c r="G1592" i="1"/>
  <c r="E1592" i="1"/>
  <c r="C1592" i="1"/>
  <c r="I1591" i="1"/>
  <c r="G1591" i="1"/>
  <c r="E1591" i="1"/>
  <c r="C1591" i="1"/>
  <c r="I1590" i="1"/>
  <c r="G1590" i="1"/>
  <c r="E1590" i="1"/>
  <c r="C1590" i="1"/>
  <c r="I1589" i="1"/>
  <c r="G1589" i="1"/>
  <c r="E1589" i="1"/>
  <c r="C1589" i="1"/>
  <c r="I1588" i="1"/>
  <c r="G1588" i="1"/>
  <c r="E1588" i="1"/>
  <c r="C1588" i="1"/>
  <c r="I1587" i="1"/>
  <c r="G1587" i="1"/>
  <c r="E1587" i="1"/>
  <c r="C1587" i="1"/>
  <c r="I1586" i="1"/>
  <c r="G1586" i="1"/>
  <c r="E1586" i="1"/>
  <c r="C1586" i="1"/>
  <c r="I1585" i="1"/>
  <c r="G1585" i="1"/>
  <c r="E1585" i="1"/>
  <c r="C1585" i="1"/>
  <c r="I1584" i="1"/>
  <c r="G1584" i="1"/>
  <c r="E1584" i="1"/>
  <c r="C1584" i="1"/>
  <c r="I1583" i="1"/>
  <c r="G1583" i="1"/>
  <c r="E1583" i="1"/>
  <c r="C1583" i="1"/>
  <c r="I1582" i="1"/>
  <c r="G1582" i="1"/>
  <c r="E1582" i="1"/>
  <c r="C1582" i="1"/>
  <c r="I1581" i="1"/>
  <c r="G1581" i="1"/>
  <c r="E1581" i="1"/>
  <c r="C1581" i="1"/>
  <c r="I1580" i="1"/>
  <c r="G1580" i="1"/>
  <c r="E1580" i="1"/>
  <c r="C1580" i="1"/>
  <c r="I1579" i="1"/>
  <c r="G1579" i="1"/>
  <c r="E1579" i="1"/>
  <c r="C1579" i="1"/>
  <c r="I1578" i="1"/>
  <c r="G1578" i="1"/>
  <c r="E1578" i="1"/>
  <c r="C1578" i="1"/>
  <c r="I1577" i="1"/>
  <c r="G1577" i="1"/>
  <c r="E1577" i="1"/>
  <c r="C1577" i="1"/>
  <c r="I1576" i="1"/>
  <c r="G1576" i="1"/>
  <c r="E1576" i="1"/>
  <c r="C1576" i="1"/>
  <c r="I1575" i="1"/>
  <c r="G1575" i="1"/>
  <c r="E1575" i="1"/>
  <c r="C1575" i="1"/>
  <c r="I1574" i="1"/>
  <c r="G1574" i="1"/>
  <c r="E1574" i="1"/>
  <c r="C1574" i="1"/>
  <c r="I1573" i="1"/>
  <c r="G1573" i="1"/>
  <c r="E1573" i="1"/>
  <c r="C1573" i="1"/>
  <c r="I1572" i="1"/>
  <c r="G1572" i="1"/>
  <c r="E1572" i="1"/>
  <c r="C1572" i="1"/>
  <c r="I1571" i="1"/>
  <c r="G1571" i="1"/>
  <c r="E1571" i="1"/>
  <c r="C1571" i="1"/>
  <c r="I1570" i="1"/>
  <c r="G1570" i="1"/>
  <c r="E1570" i="1"/>
  <c r="C1570" i="1"/>
  <c r="I1569" i="1"/>
  <c r="G1569" i="1"/>
  <c r="E1569" i="1"/>
  <c r="C1569" i="1"/>
  <c r="I1568" i="1"/>
  <c r="G1568" i="1"/>
  <c r="E1568" i="1"/>
  <c r="C1568" i="1"/>
  <c r="I1567" i="1"/>
  <c r="G1567" i="1"/>
  <c r="E1567" i="1"/>
  <c r="C1567" i="1"/>
  <c r="I1566" i="1"/>
  <c r="G1566" i="1"/>
  <c r="E1566" i="1"/>
  <c r="C1566" i="1"/>
  <c r="I1565" i="1"/>
  <c r="G1565" i="1"/>
  <c r="E1565" i="1"/>
  <c r="C1565" i="1"/>
  <c r="I1564" i="1"/>
  <c r="G1564" i="1"/>
  <c r="E1564" i="1"/>
  <c r="C1564" i="1"/>
  <c r="I1563" i="1"/>
  <c r="G1563" i="1"/>
  <c r="E1563" i="1"/>
  <c r="C1563" i="1"/>
  <c r="I1562" i="1"/>
  <c r="G1562" i="1"/>
  <c r="E1562" i="1"/>
  <c r="C1562" i="1"/>
  <c r="I1561" i="1"/>
  <c r="G1561" i="1"/>
  <c r="E1561" i="1"/>
  <c r="C1561" i="1"/>
  <c r="I1560" i="1"/>
  <c r="G1560" i="1"/>
  <c r="E1560" i="1"/>
  <c r="C1560" i="1"/>
  <c r="I1559" i="1"/>
  <c r="G1559" i="1"/>
  <c r="E1559" i="1"/>
  <c r="C1559" i="1"/>
  <c r="I1558" i="1"/>
  <c r="G1558" i="1"/>
  <c r="E1558" i="1"/>
  <c r="C1558" i="1"/>
  <c r="I1557" i="1"/>
  <c r="G1557" i="1"/>
  <c r="E1557" i="1"/>
  <c r="C1557" i="1"/>
  <c r="I1556" i="1"/>
  <c r="G1556" i="1"/>
  <c r="E1556" i="1"/>
  <c r="C1556" i="1"/>
  <c r="I1555" i="1"/>
  <c r="G1555" i="1"/>
  <c r="E1555" i="1"/>
  <c r="C1555" i="1"/>
  <c r="I1554" i="1"/>
  <c r="G1554" i="1"/>
  <c r="E1554" i="1"/>
  <c r="C1554" i="1"/>
  <c r="I1553" i="1"/>
  <c r="G1553" i="1"/>
  <c r="E1553" i="1"/>
  <c r="C1553" i="1"/>
  <c r="I1552" i="1"/>
  <c r="G1552" i="1"/>
  <c r="E1552" i="1"/>
  <c r="C1552" i="1"/>
  <c r="I1551" i="1"/>
  <c r="G1551" i="1"/>
  <c r="E1551" i="1"/>
  <c r="C1551" i="1"/>
  <c r="I1550" i="1"/>
  <c r="G1550" i="1"/>
  <c r="E1550" i="1"/>
  <c r="C1550" i="1"/>
  <c r="I1549" i="1"/>
  <c r="G1549" i="1"/>
  <c r="E1549" i="1"/>
  <c r="C1549" i="1"/>
  <c r="I1548" i="1"/>
  <c r="G1548" i="1"/>
  <c r="E1548" i="1"/>
  <c r="C1548" i="1"/>
  <c r="I1547" i="1"/>
  <c r="G1547" i="1"/>
  <c r="E1547" i="1"/>
  <c r="C1547" i="1"/>
  <c r="I1546" i="1"/>
  <c r="G1546" i="1"/>
  <c r="E1546" i="1"/>
  <c r="C1546" i="1"/>
  <c r="I1545" i="1"/>
  <c r="G1545" i="1"/>
  <c r="E1545" i="1"/>
  <c r="C1545" i="1"/>
  <c r="I1544" i="1"/>
  <c r="G1544" i="1"/>
  <c r="E1544" i="1"/>
  <c r="C1544" i="1"/>
  <c r="I1543" i="1"/>
  <c r="G1543" i="1"/>
  <c r="E1543" i="1"/>
  <c r="C1543" i="1"/>
  <c r="I1542" i="1"/>
  <c r="G1542" i="1"/>
  <c r="E1542" i="1"/>
  <c r="C1542" i="1"/>
  <c r="I1541" i="1"/>
  <c r="G1541" i="1"/>
  <c r="E1541" i="1"/>
  <c r="C1541" i="1"/>
  <c r="I1540" i="1"/>
  <c r="G1540" i="1"/>
  <c r="E1540" i="1"/>
  <c r="C1540" i="1"/>
  <c r="I1539" i="1"/>
  <c r="G1539" i="1"/>
  <c r="E1539" i="1"/>
  <c r="C1539" i="1"/>
  <c r="I1538" i="1"/>
  <c r="G1538" i="1"/>
  <c r="E1538" i="1"/>
  <c r="C1538" i="1"/>
  <c r="I1537" i="1"/>
  <c r="G1537" i="1"/>
  <c r="E1537" i="1"/>
  <c r="C1537" i="1"/>
  <c r="I1536" i="1"/>
  <c r="G1536" i="1"/>
  <c r="E1536" i="1"/>
  <c r="C1536" i="1"/>
  <c r="I1535" i="1"/>
  <c r="G1535" i="1"/>
  <c r="E1535" i="1"/>
  <c r="C1535" i="1"/>
  <c r="I1534" i="1"/>
  <c r="G1534" i="1"/>
  <c r="E1534" i="1"/>
  <c r="C1534" i="1"/>
  <c r="I1533" i="1"/>
  <c r="G1533" i="1"/>
  <c r="E1533" i="1"/>
  <c r="C1533" i="1"/>
  <c r="I1532" i="1"/>
  <c r="G1532" i="1"/>
  <c r="E1532" i="1"/>
  <c r="C1532" i="1"/>
  <c r="I1531" i="1"/>
  <c r="G1531" i="1"/>
  <c r="E1531" i="1"/>
  <c r="C1531" i="1"/>
  <c r="I1530" i="1"/>
  <c r="G1530" i="1"/>
  <c r="E1530" i="1"/>
  <c r="C1530" i="1"/>
  <c r="I1529" i="1"/>
  <c r="G1529" i="1"/>
  <c r="E1529" i="1"/>
  <c r="C1529" i="1"/>
  <c r="I1528" i="1"/>
  <c r="G1528" i="1"/>
  <c r="E1528" i="1"/>
  <c r="C1528" i="1"/>
  <c r="I1527" i="1"/>
  <c r="G1527" i="1"/>
  <c r="E1527" i="1"/>
  <c r="C1527" i="1"/>
  <c r="I1526" i="1"/>
  <c r="G1526" i="1"/>
  <c r="E1526" i="1"/>
  <c r="C1526" i="1"/>
  <c r="I1525" i="1"/>
  <c r="G1525" i="1"/>
  <c r="E1525" i="1"/>
  <c r="C1525" i="1"/>
  <c r="I1524" i="1"/>
  <c r="G1524" i="1"/>
  <c r="E1524" i="1"/>
  <c r="C1524" i="1"/>
  <c r="I1523" i="1"/>
  <c r="G1523" i="1"/>
  <c r="E1523" i="1"/>
  <c r="C1523" i="1"/>
  <c r="I1522" i="1"/>
  <c r="G1522" i="1"/>
  <c r="E1522" i="1"/>
  <c r="C1522" i="1"/>
  <c r="I1521" i="1"/>
  <c r="G1521" i="1"/>
  <c r="E1521" i="1"/>
  <c r="C1521" i="1"/>
  <c r="I1520" i="1"/>
  <c r="G1520" i="1"/>
  <c r="E1520" i="1"/>
  <c r="C1520" i="1"/>
  <c r="I1519" i="1"/>
  <c r="G1519" i="1"/>
  <c r="E1519" i="1"/>
  <c r="C1519" i="1"/>
  <c r="I1518" i="1"/>
  <c r="G1518" i="1"/>
  <c r="E1518" i="1"/>
  <c r="C1518" i="1"/>
  <c r="I1517" i="1"/>
  <c r="G1517" i="1"/>
  <c r="E1517" i="1"/>
  <c r="C1517" i="1"/>
  <c r="I1516" i="1"/>
  <c r="G1516" i="1"/>
  <c r="E1516" i="1"/>
  <c r="C1516" i="1"/>
  <c r="I1515" i="1"/>
  <c r="G1515" i="1"/>
  <c r="E1515" i="1"/>
  <c r="C1515" i="1"/>
  <c r="I1514" i="1"/>
  <c r="G1514" i="1"/>
  <c r="E1514" i="1"/>
  <c r="C1514" i="1"/>
  <c r="I1513" i="1"/>
  <c r="G1513" i="1"/>
  <c r="E1513" i="1"/>
  <c r="C1513" i="1"/>
  <c r="I1512" i="1"/>
  <c r="G1512" i="1"/>
  <c r="E1512" i="1"/>
  <c r="C1512" i="1"/>
  <c r="I1511" i="1"/>
  <c r="G1511" i="1"/>
  <c r="E1511" i="1"/>
  <c r="C1511" i="1"/>
  <c r="I1510" i="1"/>
  <c r="G1510" i="1"/>
  <c r="E1510" i="1"/>
  <c r="C1510" i="1"/>
  <c r="I1509" i="1"/>
  <c r="G1509" i="1"/>
  <c r="E1509" i="1"/>
  <c r="C1509" i="1"/>
  <c r="I1508" i="1"/>
  <c r="G1508" i="1"/>
  <c r="E1508" i="1"/>
  <c r="C1508" i="1"/>
  <c r="I1507" i="1"/>
  <c r="G1507" i="1"/>
  <c r="E1507" i="1"/>
  <c r="C1507" i="1"/>
  <c r="I1506" i="1"/>
  <c r="G1506" i="1"/>
  <c r="E1506" i="1"/>
  <c r="C1506" i="1"/>
  <c r="I1505" i="1"/>
  <c r="G1505" i="1"/>
  <c r="E1505" i="1"/>
  <c r="C1505" i="1"/>
  <c r="I1504" i="1"/>
  <c r="G1504" i="1"/>
  <c r="E1504" i="1"/>
  <c r="C1504" i="1"/>
  <c r="I1503" i="1"/>
  <c r="G1503" i="1"/>
  <c r="E1503" i="1"/>
  <c r="C1503" i="1"/>
  <c r="I1502" i="1"/>
  <c r="G1502" i="1"/>
  <c r="E1502" i="1"/>
  <c r="C1502" i="1"/>
  <c r="I1501" i="1"/>
  <c r="G1501" i="1"/>
  <c r="E1501" i="1"/>
  <c r="C1501" i="1"/>
  <c r="I1500" i="1"/>
  <c r="G1500" i="1"/>
  <c r="E1500" i="1"/>
  <c r="C1500" i="1"/>
  <c r="I1499" i="1"/>
  <c r="G1499" i="1"/>
  <c r="E1499" i="1"/>
  <c r="C1499" i="1"/>
  <c r="I1498" i="1"/>
  <c r="G1498" i="1"/>
  <c r="E1498" i="1"/>
  <c r="C1498" i="1"/>
  <c r="I1497" i="1"/>
  <c r="G1497" i="1"/>
  <c r="E1497" i="1"/>
  <c r="C1497" i="1"/>
  <c r="I1496" i="1"/>
  <c r="G1496" i="1"/>
  <c r="E1496" i="1"/>
  <c r="C1496" i="1"/>
  <c r="I1495" i="1"/>
  <c r="G1495" i="1"/>
  <c r="E1495" i="1"/>
  <c r="C1495" i="1"/>
  <c r="I1494" i="1"/>
  <c r="G1494" i="1"/>
  <c r="E1494" i="1"/>
  <c r="C1494" i="1"/>
  <c r="I1493" i="1"/>
  <c r="G1493" i="1"/>
  <c r="E1493" i="1"/>
  <c r="C1493" i="1"/>
  <c r="I1492" i="1"/>
  <c r="G1492" i="1"/>
  <c r="E1492" i="1"/>
  <c r="C1492" i="1"/>
  <c r="I1491" i="1"/>
  <c r="G1491" i="1"/>
  <c r="E1491" i="1"/>
  <c r="C1491" i="1"/>
  <c r="I1490" i="1"/>
  <c r="G1490" i="1"/>
  <c r="E1490" i="1"/>
  <c r="C1490" i="1"/>
  <c r="I1489" i="1"/>
  <c r="G1489" i="1"/>
  <c r="E1489" i="1"/>
  <c r="C1489" i="1"/>
  <c r="I1488" i="1"/>
  <c r="G1488" i="1"/>
  <c r="E1488" i="1"/>
  <c r="C1488" i="1"/>
  <c r="I1487" i="1"/>
  <c r="G1487" i="1"/>
  <c r="E1487" i="1"/>
  <c r="C1487" i="1"/>
  <c r="I1486" i="1"/>
  <c r="G1486" i="1"/>
  <c r="E1486" i="1"/>
  <c r="C1486" i="1"/>
  <c r="I1485" i="1"/>
  <c r="G1485" i="1"/>
  <c r="E1485" i="1"/>
  <c r="C1485" i="1"/>
  <c r="I1484" i="1"/>
  <c r="G1484" i="1"/>
  <c r="E1484" i="1"/>
  <c r="C1484" i="1"/>
  <c r="I1483" i="1"/>
  <c r="G1483" i="1"/>
  <c r="E1483" i="1"/>
  <c r="C1483" i="1"/>
  <c r="I1482" i="1"/>
  <c r="G1482" i="1"/>
  <c r="E1482" i="1"/>
  <c r="C1482" i="1"/>
  <c r="I1481" i="1"/>
  <c r="G1481" i="1"/>
  <c r="E1481" i="1"/>
  <c r="C1481" i="1"/>
  <c r="I1480" i="1"/>
  <c r="G1480" i="1"/>
  <c r="E1480" i="1"/>
  <c r="C1480" i="1"/>
  <c r="I1479" i="1"/>
  <c r="G1479" i="1"/>
  <c r="E1479" i="1"/>
  <c r="C1479" i="1"/>
  <c r="I1478" i="1"/>
  <c r="G1478" i="1"/>
  <c r="E1478" i="1"/>
  <c r="C1478" i="1"/>
  <c r="I1477" i="1"/>
  <c r="G1477" i="1"/>
  <c r="E1477" i="1"/>
  <c r="C1477" i="1"/>
  <c r="I1476" i="1"/>
  <c r="G1476" i="1"/>
  <c r="E1476" i="1"/>
  <c r="C1476" i="1"/>
  <c r="I1475" i="1"/>
  <c r="G1475" i="1"/>
  <c r="E1475" i="1"/>
  <c r="C1475" i="1"/>
  <c r="I1474" i="1"/>
  <c r="G1474" i="1"/>
  <c r="E1474" i="1"/>
  <c r="C1474" i="1"/>
  <c r="I1473" i="1"/>
  <c r="G1473" i="1"/>
  <c r="E1473" i="1"/>
  <c r="C1473" i="1"/>
  <c r="I1472" i="1"/>
  <c r="G1472" i="1"/>
  <c r="E1472" i="1"/>
  <c r="C1472" i="1"/>
  <c r="I1471" i="1"/>
  <c r="G1471" i="1"/>
  <c r="E1471" i="1"/>
  <c r="C1471" i="1"/>
  <c r="I1470" i="1"/>
  <c r="G1470" i="1"/>
  <c r="E1470" i="1"/>
  <c r="C1470" i="1"/>
  <c r="I1469" i="1"/>
  <c r="G1469" i="1"/>
  <c r="E1469" i="1"/>
  <c r="C1469" i="1"/>
  <c r="I1468" i="1"/>
  <c r="G1468" i="1"/>
  <c r="E1468" i="1"/>
  <c r="C1468" i="1"/>
  <c r="I1467" i="1"/>
  <c r="G1467" i="1"/>
  <c r="E1467" i="1"/>
  <c r="C1467" i="1"/>
  <c r="I1466" i="1"/>
  <c r="G1466" i="1"/>
  <c r="E1466" i="1"/>
  <c r="C1466" i="1"/>
  <c r="I1465" i="1"/>
  <c r="G1465" i="1"/>
  <c r="E1465" i="1"/>
  <c r="C1465" i="1"/>
  <c r="I1464" i="1"/>
  <c r="G1464" i="1"/>
  <c r="E1464" i="1"/>
  <c r="C1464" i="1"/>
  <c r="I1463" i="1"/>
  <c r="G1463" i="1"/>
  <c r="E1463" i="1"/>
  <c r="C1463" i="1"/>
  <c r="I1462" i="1"/>
  <c r="G1462" i="1"/>
  <c r="E1462" i="1"/>
  <c r="C1462" i="1"/>
  <c r="I1461" i="1"/>
  <c r="G1461" i="1"/>
  <c r="E1461" i="1"/>
  <c r="C1461" i="1"/>
  <c r="I1460" i="1"/>
  <c r="G1460" i="1"/>
  <c r="E1460" i="1"/>
  <c r="C1460" i="1"/>
  <c r="I1459" i="1"/>
  <c r="G1459" i="1"/>
  <c r="E1459" i="1"/>
  <c r="C1459" i="1"/>
  <c r="I1458" i="1"/>
  <c r="G1458" i="1"/>
  <c r="E1458" i="1"/>
  <c r="C1458" i="1"/>
  <c r="I1457" i="1"/>
  <c r="G1457" i="1"/>
  <c r="E1457" i="1"/>
  <c r="C1457" i="1"/>
  <c r="I1456" i="1"/>
  <c r="G1456" i="1"/>
  <c r="E1456" i="1"/>
  <c r="C1456" i="1"/>
  <c r="I1455" i="1"/>
  <c r="G1455" i="1"/>
  <c r="E1455" i="1"/>
  <c r="C1455" i="1"/>
  <c r="I1454" i="1"/>
  <c r="G1454" i="1"/>
  <c r="E1454" i="1"/>
  <c r="C1454" i="1"/>
  <c r="I1453" i="1"/>
  <c r="G1453" i="1"/>
  <c r="E1453" i="1"/>
  <c r="C1453" i="1"/>
  <c r="I1452" i="1"/>
  <c r="G1452" i="1"/>
  <c r="E1452" i="1"/>
  <c r="C1452" i="1"/>
  <c r="I1451" i="1"/>
  <c r="G1451" i="1"/>
  <c r="E1451" i="1"/>
  <c r="C1451" i="1"/>
  <c r="I1450" i="1"/>
  <c r="G1450" i="1"/>
  <c r="E1450" i="1"/>
  <c r="C1450" i="1"/>
  <c r="I1449" i="1"/>
  <c r="G1449" i="1"/>
  <c r="E1449" i="1"/>
  <c r="C1449" i="1"/>
  <c r="I1448" i="1"/>
  <c r="G1448" i="1"/>
  <c r="E1448" i="1"/>
  <c r="C1448" i="1"/>
  <c r="I1447" i="1"/>
  <c r="G1447" i="1"/>
  <c r="E1447" i="1"/>
  <c r="C1447" i="1"/>
  <c r="I1446" i="1"/>
  <c r="G1446" i="1"/>
  <c r="E1446" i="1"/>
  <c r="C1446" i="1"/>
  <c r="I1445" i="1"/>
  <c r="G1445" i="1"/>
  <c r="E1445" i="1"/>
  <c r="C1445" i="1"/>
  <c r="I1444" i="1"/>
  <c r="G1444" i="1"/>
  <c r="E1444" i="1"/>
  <c r="C1444" i="1"/>
  <c r="I1443" i="1"/>
  <c r="G1443" i="1"/>
  <c r="E1443" i="1"/>
  <c r="C1443" i="1"/>
  <c r="I1442" i="1"/>
  <c r="G1442" i="1"/>
  <c r="E1442" i="1"/>
  <c r="C1442" i="1"/>
  <c r="I1441" i="1"/>
  <c r="G1441" i="1"/>
  <c r="E1441" i="1"/>
  <c r="C1441" i="1"/>
  <c r="I1440" i="1"/>
  <c r="G1440" i="1"/>
  <c r="E1440" i="1"/>
  <c r="C1440" i="1"/>
  <c r="I1439" i="1"/>
  <c r="G1439" i="1"/>
  <c r="E1439" i="1"/>
  <c r="C1439" i="1"/>
  <c r="I1438" i="1"/>
  <c r="G1438" i="1"/>
  <c r="E1438" i="1"/>
  <c r="C1438" i="1"/>
  <c r="I1437" i="1"/>
  <c r="G1437" i="1"/>
  <c r="E1437" i="1"/>
  <c r="C1437" i="1"/>
  <c r="I1436" i="1"/>
  <c r="G1436" i="1"/>
  <c r="E1436" i="1"/>
  <c r="C1436" i="1"/>
  <c r="I1435" i="1"/>
  <c r="G1435" i="1"/>
  <c r="E1435" i="1"/>
  <c r="C1435" i="1"/>
  <c r="I1434" i="1"/>
  <c r="G1434" i="1"/>
  <c r="E1434" i="1"/>
  <c r="C1434" i="1"/>
  <c r="I1433" i="1"/>
  <c r="G1433" i="1"/>
  <c r="E1433" i="1"/>
  <c r="C1433" i="1"/>
  <c r="I1432" i="1"/>
  <c r="G1432" i="1"/>
  <c r="E1432" i="1"/>
  <c r="C1432" i="1"/>
  <c r="I1431" i="1"/>
  <c r="G1431" i="1"/>
  <c r="E1431" i="1"/>
  <c r="C1431" i="1"/>
  <c r="I1430" i="1"/>
  <c r="G1430" i="1"/>
  <c r="E1430" i="1"/>
  <c r="C1430" i="1"/>
  <c r="I1429" i="1"/>
  <c r="G1429" i="1"/>
  <c r="E1429" i="1"/>
  <c r="C1429" i="1"/>
  <c r="I1428" i="1"/>
  <c r="G1428" i="1"/>
  <c r="E1428" i="1"/>
  <c r="C1428" i="1"/>
  <c r="I1427" i="1"/>
  <c r="G1427" i="1"/>
  <c r="E1427" i="1"/>
  <c r="C1427" i="1"/>
  <c r="I1426" i="1"/>
  <c r="G1426" i="1"/>
  <c r="E1426" i="1"/>
  <c r="C1426" i="1"/>
  <c r="I1425" i="1"/>
  <c r="G1425" i="1"/>
  <c r="E1425" i="1"/>
  <c r="C1425" i="1"/>
  <c r="I1424" i="1"/>
  <c r="G1424" i="1"/>
  <c r="E1424" i="1"/>
  <c r="C1424" i="1"/>
  <c r="I1423" i="1"/>
  <c r="G1423" i="1"/>
  <c r="E1423" i="1"/>
  <c r="C1423" i="1"/>
  <c r="I1422" i="1"/>
  <c r="G1422" i="1"/>
  <c r="E1422" i="1"/>
  <c r="C1422" i="1"/>
  <c r="I1421" i="1"/>
  <c r="G1421" i="1"/>
  <c r="E1421" i="1"/>
  <c r="C1421" i="1"/>
  <c r="I1420" i="1"/>
  <c r="G1420" i="1"/>
  <c r="E1420" i="1"/>
  <c r="C1420" i="1"/>
  <c r="I1419" i="1"/>
  <c r="G1419" i="1"/>
  <c r="E1419" i="1"/>
  <c r="C1419" i="1"/>
  <c r="I1418" i="1"/>
  <c r="G1418" i="1"/>
  <c r="E1418" i="1"/>
  <c r="C1418" i="1"/>
  <c r="I1417" i="1"/>
  <c r="G1417" i="1"/>
  <c r="E1417" i="1"/>
  <c r="C1417" i="1"/>
  <c r="I1416" i="1"/>
  <c r="G1416" i="1"/>
  <c r="E1416" i="1"/>
  <c r="C1416" i="1"/>
  <c r="I1415" i="1"/>
  <c r="G1415" i="1"/>
  <c r="E1415" i="1"/>
  <c r="C1415" i="1"/>
  <c r="I1414" i="1"/>
  <c r="G1414" i="1"/>
  <c r="E1414" i="1"/>
  <c r="C1414" i="1"/>
  <c r="I1413" i="1"/>
  <c r="G1413" i="1"/>
  <c r="E1413" i="1"/>
  <c r="C1413" i="1"/>
  <c r="I1412" i="1"/>
  <c r="G1412" i="1"/>
  <c r="E1412" i="1"/>
  <c r="C1412" i="1"/>
  <c r="I1411" i="1"/>
  <c r="G1411" i="1"/>
  <c r="E1411" i="1"/>
  <c r="C1411" i="1"/>
  <c r="I1410" i="1"/>
  <c r="G1410" i="1"/>
  <c r="E1410" i="1"/>
  <c r="C1410" i="1"/>
  <c r="I1409" i="1"/>
  <c r="G1409" i="1"/>
  <c r="E1409" i="1"/>
  <c r="C1409" i="1"/>
  <c r="I1408" i="1"/>
  <c r="G1408" i="1"/>
  <c r="E1408" i="1"/>
  <c r="C1408" i="1"/>
  <c r="I1407" i="1"/>
  <c r="G1407" i="1"/>
  <c r="E1407" i="1"/>
  <c r="C1407" i="1"/>
  <c r="I1406" i="1"/>
  <c r="G1406" i="1"/>
  <c r="E1406" i="1"/>
  <c r="C1406" i="1"/>
  <c r="I1405" i="1"/>
  <c r="G1405" i="1"/>
  <c r="E1405" i="1"/>
  <c r="C1405" i="1"/>
  <c r="I1404" i="1"/>
  <c r="G1404" i="1"/>
  <c r="E1404" i="1"/>
  <c r="C1404" i="1"/>
  <c r="I1403" i="1"/>
  <c r="G1403" i="1"/>
  <c r="E1403" i="1"/>
  <c r="C1403" i="1"/>
  <c r="I1402" i="1"/>
  <c r="G1402" i="1"/>
  <c r="E1402" i="1"/>
  <c r="C1402" i="1"/>
  <c r="I1401" i="1"/>
  <c r="G1401" i="1"/>
  <c r="E1401" i="1"/>
  <c r="C1401" i="1"/>
  <c r="I1400" i="1"/>
  <c r="G1400" i="1"/>
  <c r="E1400" i="1"/>
  <c r="C1400" i="1"/>
  <c r="I1399" i="1"/>
  <c r="G1399" i="1"/>
  <c r="E1399" i="1"/>
  <c r="C1399" i="1"/>
  <c r="I1398" i="1"/>
  <c r="G1398" i="1"/>
  <c r="E1398" i="1"/>
  <c r="C1398" i="1"/>
  <c r="I1397" i="1"/>
  <c r="G1397" i="1"/>
  <c r="E1397" i="1"/>
  <c r="C1397" i="1"/>
  <c r="I1396" i="1"/>
  <c r="G1396" i="1"/>
  <c r="E1396" i="1"/>
  <c r="C1396" i="1"/>
  <c r="I1395" i="1"/>
  <c r="G1395" i="1"/>
  <c r="E1395" i="1"/>
  <c r="C1395" i="1"/>
  <c r="I1394" i="1"/>
  <c r="G1394" i="1"/>
  <c r="E1394" i="1"/>
  <c r="C1394" i="1"/>
  <c r="I1393" i="1"/>
  <c r="G1393" i="1"/>
  <c r="E1393" i="1"/>
  <c r="C1393" i="1"/>
  <c r="I1392" i="1"/>
  <c r="G1392" i="1"/>
  <c r="E1392" i="1"/>
  <c r="C1392" i="1"/>
  <c r="I1391" i="1"/>
  <c r="G1391" i="1"/>
  <c r="E1391" i="1"/>
  <c r="C1391" i="1"/>
  <c r="I1390" i="1"/>
  <c r="G1390" i="1"/>
  <c r="E1390" i="1"/>
  <c r="C1390" i="1"/>
  <c r="I1389" i="1"/>
  <c r="G1389" i="1"/>
  <c r="E1389" i="1"/>
  <c r="C1389" i="1"/>
  <c r="I1388" i="1"/>
  <c r="G1388" i="1"/>
  <c r="E1388" i="1"/>
  <c r="C1388" i="1"/>
  <c r="I1387" i="1"/>
  <c r="G1387" i="1"/>
  <c r="E1387" i="1"/>
  <c r="C1387" i="1"/>
  <c r="I1386" i="1"/>
  <c r="G1386" i="1"/>
  <c r="E1386" i="1"/>
  <c r="C1386" i="1"/>
  <c r="I1385" i="1"/>
  <c r="G1385" i="1"/>
  <c r="E1385" i="1"/>
  <c r="C1385" i="1"/>
  <c r="I1384" i="1"/>
  <c r="G1384" i="1"/>
  <c r="E1384" i="1"/>
  <c r="C1384" i="1"/>
  <c r="I1383" i="1"/>
  <c r="G1383" i="1"/>
  <c r="E1383" i="1"/>
  <c r="C1383" i="1"/>
  <c r="I1382" i="1"/>
  <c r="G1382" i="1"/>
  <c r="E1382" i="1"/>
  <c r="C1382" i="1"/>
  <c r="I1381" i="1"/>
  <c r="G1381" i="1"/>
  <c r="E1381" i="1"/>
  <c r="C1381" i="1"/>
  <c r="I1380" i="1"/>
  <c r="G1380" i="1"/>
  <c r="E1380" i="1"/>
  <c r="C1380" i="1"/>
  <c r="I1379" i="1"/>
  <c r="G1379" i="1"/>
  <c r="E1379" i="1"/>
  <c r="C1379" i="1"/>
  <c r="I1378" i="1"/>
  <c r="G1378" i="1"/>
  <c r="E1378" i="1"/>
  <c r="C1378" i="1"/>
  <c r="I1377" i="1"/>
  <c r="G1377" i="1"/>
  <c r="E1377" i="1"/>
  <c r="C1377" i="1"/>
  <c r="I1376" i="1"/>
  <c r="G1376" i="1"/>
  <c r="E1376" i="1"/>
  <c r="C1376" i="1"/>
  <c r="I1375" i="1"/>
  <c r="G1375" i="1"/>
  <c r="E1375" i="1"/>
  <c r="C1375" i="1"/>
  <c r="I1374" i="1"/>
  <c r="G1374" i="1"/>
  <c r="E1374" i="1"/>
  <c r="C1374" i="1"/>
  <c r="I1373" i="1"/>
  <c r="G1373" i="1"/>
  <c r="E1373" i="1"/>
  <c r="C1373" i="1"/>
  <c r="I1372" i="1"/>
  <c r="G1372" i="1"/>
  <c r="E1372" i="1"/>
  <c r="C1372" i="1"/>
  <c r="I1371" i="1"/>
  <c r="G1371" i="1"/>
  <c r="E1371" i="1"/>
  <c r="C1371" i="1"/>
  <c r="I1370" i="1"/>
  <c r="G1370" i="1"/>
  <c r="E1370" i="1"/>
  <c r="C1370" i="1"/>
  <c r="I1369" i="1"/>
  <c r="G1369" i="1"/>
  <c r="E1369" i="1"/>
  <c r="C1369" i="1"/>
  <c r="I1368" i="1"/>
  <c r="G1368" i="1"/>
  <c r="E1368" i="1"/>
  <c r="C1368" i="1"/>
  <c r="I1367" i="1"/>
  <c r="G1367" i="1"/>
  <c r="E1367" i="1"/>
  <c r="C1367" i="1"/>
  <c r="I1366" i="1"/>
  <c r="G1366" i="1"/>
  <c r="E1366" i="1"/>
  <c r="C1366" i="1"/>
  <c r="I1365" i="1"/>
  <c r="G1365" i="1"/>
  <c r="E1365" i="1"/>
  <c r="C1365" i="1"/>
  <c r="I1364" i="1"/>
  <c r="G1364" i="1"/>
  <c r="E1364" i="1"/>
  <c r="C1364" i="1"/>
  <c r="I1363" i="1"/>
  <c r="G1363" i="1"/>
  <c r="E1363" i="1"/>
  <c r="C1363" i="1"/>
  <c r="I1362" i="1"/>
  <c r="G1362" i="1"/>
  <c r="E1362" i="1"/>
  <c r="C1362" i="1"/>
  <c r="I1361" i="1"/>
  <c r="G1361" i="1"/>
  <c r="E1361" i="1"/>
  <c r="C1361" i="1"/>
  <c r="I1360" i="1"/>
  <c r="G1360" i="1"/>
  <c r="E1360" i="1"/>
  <c r="C1360" i="1"/>
  <c r="I1359" i="1"/>
  <c r="G1359" i="1"/>
  <c r="E1359" i="1"/>
  <c r="C1359" i="1"/>
  <c r="I1358" i="1"/>
  <c r="G1358" i="1"/>
  <c r="E1358" i="1"/>
  <c r="C1358" i="1"/>
  <c r="I1357" i="1"/>
  <c r="G1357" i="1"/>
  <c r="E1357" i="1"/>
  <c r="C1357" i="1"/>
  <c r="I1356" i="1"/>
  <c r="G1356" i="1"/>
  <c r="E1356" i="1"/>
  <c r="C1356" i="1"/>
  <c r="I1355" i="1"/>
  <c r="G1355" i="1"/>
  <c r="E1355" i="1"/>
  <c r="C1355" i="1"/>
  <c r="I1354" i="1"/>
  <c r="G1354" i="1"/>
  <c r="E1354" i="1"/>
  <c r="C1354" i="1"/>
  <c r="I1353" i="1"/>
  <c r="G1353" i="1"/>
  <c r="E1353" i="1"/>
  <c r="C1353" i="1"/>
  <c r="I1352" i="1"/>
  <c r="G1352" i="1"/>
  <c r="E1352" i="1"/>
  <c r="C1352" i="1"/>
  <c r="I1351" i="1"/>
  <c r="G1351" i="1"/>
  <c r="E1351" i="1"/>
  <c r="C1351" i="1"/>
  <c r="I1350" i="1"/>
  <c r="G1350" i="1"/>
  <c r="E1350" i="1"/>
  <c r="C1350" i="1"/>
  <c r="I1349" i="1"/>
  <c r="G1349" i="1"/>
  <c r="E1349" i="1"/>
  <c r="C1349" i="1"/>
  <c r="I1348" i="1"/>
  <c r="G1348" i="1"/>
  <c r="E1348" i="1"/>
  <c r="C1348" i="1"/>
  <c r="I1347" i="1"/>
  <c r="G1347" i="1"/>
  <c r="E1347" i="1"/>
  <c r="C1347" i="1"/>
  <c r="I1346" i="1"/>
  <c r="G1346" i="1"/>
  <c r="E1346" i="1"/>
  <c r="C1346" i="1"/>
  <c r="I1345" i="1"/>
  <c r="G1345" i="1"/>
  <c r="E1345" i="1"/>
  <c r="C1345" i="1"/>
  <c r="I1344" i="1"/>
  <c r="G1344" i="1"/>
  <c r="E1344" i="1"/>
  <c r="C1344" i="1"/>
  <c r="I1343" i="1"/>
  <c r="G1343" i="1"/>
  <c r="E1343" i="1"/>
  <c r="C1343" i="1"/>
  <c r="I1342" i="1"/>
  <c r="G1342" i="1"/>
  <c r="E1342" i="1"/>
  <c r="C1342" i="1"/>
  <c r="I1341" i="1"/>
  <c r="G1341" i="1"/>
  <c r="E1341" i="1"/>
  <c r="C1341" i="1"/>
  <c r="I1340" i="1"/>
  <c r="G1340" i="1"/>
  <c r="E1340" i="1"/>
  <c r="C1340" i="1"/>
  <c r="I1339" i="1"/>
  <c r="G1339" i="1"/>
  <c r="E1339" i="1"/>
  <c r="C1339" i="1"/>
  <c r="I1338" i="1"/>
  <c r="G1338" i="1"/>
  <c r="E1338" i="1"/>
  <c r="C1338" i="1"/>
  <c r="I1337" i="1"/>
  <c r="G1337" i="1"/>
  <c r="E1337" i="1"/>
  <c r="C1337" i="1"/>
  <c r="I1336" i="1"/>
  <c r="G1336" i="1"/>
  <c r="E1336" i="1"/>
  <c r="C1336" i="1"/>
  <c r="I1335" i="1"/>
  <c r="G1335" i="1"/>
  <c r="E1335" i="1"/>
  <c r="C1335" i="1"/>
  <c r="I1334" i="1"/>
  <c r="G1334" i="1"/>
  <c r="E1334" i="1"/>
  <c r="C1334" i="1"/>
  <c r="I1333" i="1"/>
  <c r="G1333" i="1"/>
  <c r="E1333" i="1"/>
  <c r="C1333" i="1"/>
  <c r="I1332" i="1"/>
  <c r="G1332" i="1"/>
  <c r="E1332" i="1"/>
  <c r="C1332" i="1"/>
  <c r="I1331" i="1"/>
  <c r="G1331" i="1"/>
  <c r="E1331" i="1"/>
  <c r="C1331" i="1"/>
  <c r="I1330" i="1"/>
  <c r="G1330" i="1"/>
  <c r="E1330" i="1"/>
  <c r="C1330" i="1"/>
  <c r="I1329" i="1"/>
  <c r="G1329" i="1"/>
  <c r="E1329" i="1"/>
  <c r="C1329" i="1"/>
  <c r="I1328" i="1"/>
  <c r="G1328" i="1"/>
  <c r="E1328" i="1"/>
  <c r="C1328" i="1"/>
  <c r="I1327" i="1"/>
  <c r="G1327" i="1"/>
  <c r="E1327" i="1"/>
  <c r="C1327" i="1"/>
  <c r="I1326" i="1"/>
  <c r="G1326" i="1"/>
  <c r="E1326" i="1"/>
  <c r="C1326" i="1"/>
  <c r="I1325" i="1"/>
  <c r="G1325" i="1"/>
  <c r="E1325" i="1"/>
  <c r="C1325" i="1"/>
  <c r="I1324" i="1"/>
  <c r="G1324" i="1"/>
  <c r="E1324" i="1"/>
  <c r="C1324" i="1"/>
  <c r="I1323" i="1"/>
  <c r="G1323" i="1"/>
  <c r="E1323" i="1"/>
  <c r="C1323" i="1"/>
  <c r="I1322" i="1"/>
  <c r="G1322" i="1"/>
  <c r="E1322" i="1"/>
  <c r="C1322" i="1"/>
  <c r="I1321" i="1"/>
  <c r="G1321" i="1"/>
  <c r="E1321" i="1"/>
  <c r="C1321" i="1"/>
  <c r="I1320" i="1"/>
  <c r="G1320" i="1"/>
  <c r="E1320" i="1"/>
  <c r="C1320" i="1"/>
  <c r="I1319" i="1"/>
  <c r="G1319" i="1"/>
  <c r="E1319" i="1"/>
  <c r="C1319" i="1"/>
  <c r="I1318" i="1"/>
  <c r="G1318" i="1"/>
  <c r="E1318" i="1"/>
  <c r="C1318" i="1"/>
  <c r="I1317" i="1"/>
  <c r="G1317" i="1"/>
  <c r="E1317" i="1"/>
  <c r="C1317" i="1"/>
  <c r="I1316" i="1"/>
  <c r="G1316" i="1"/>
  <c r="E1316" i="1"/>
  <c r="C1316" i="1"/>
  <c r="I1315" i="1"/>
  <c r="G1315" i="1"/>
  <c r="E1315" i="1"/>
  <c r="C1315" i="1"/>
  <c r="I1314" i="1"/>
  <c r="G1314" i="1"/>
  <c r="E1314" i="1"/>
  <c r="C1314" i="1"/>
  <c r="I1313" i="1"/>
  <c r="G1313" i="1"/>
  <c r="E1313" i="1"/>
  <c r="C1313" i="1"/>
  <c r="I1312" i="1"/>
  <c r="G1312" i="1"/>
  <c r="E1312" i="1"/>
  <c r="C1312" i="1"/>
  <c r="I1311" i="1"/>
  <c r="G1311" i="1"/>
  <c r="E1311" i="1"/>
  <c r="C1311" i="1"/>
  <c r="I1310" i="1"/>
  <c r="G1310" i="1"/>
  <c r="E1310" i="1"/>
  <c r="C1310" i="1"/>
  <c r="I1309" i="1"/>
  <c r="G1309" i="1"/>
  <c r="E1309" i="1"/>
  <c r="C1309" i="1"/>
  <c r="I1308" i="1"/>
  <c r="G1308" i="1"/>
  <c r="E1308" i="1"/>
  <c r="C1308" i="1"/>
  <c r="I1307" i="1"/>
  <c r="G1307" i="1"/>
  <c r="E1307" i="1"/>
  <c r="C1307" i="1"/>
  <c r="I1306" i="1"/>
  <c r="G1306" i="1"/>
  <c r="E1306" i="1"/>
  <c r="C1306" i="1"/>
  <c r="I1305" i="1"/>
  <c r="G1305" i="1"/>
  <c r="E1305" i="1"/>
  <c r="C1305" i="1"/>
  <c r="I1304" i="1"/>
  <c r="G1304" i="1"/>
  <c r="E1304" i="1"/>
  <c r="C1304" i="1"/>
  <c r="I1303" i="1"/>
  <c r="G1303" i="1"/>
  <c r="E1303" i="1"/>
  <c r="C1303" i="1"/>
  <c r="I1302" i="1"/>
  <c r="G1302" i="1"/>
  <c r="E1302" i="1"/>
  <c r="C1302" i="1"/>
  <c r="I1301" i="1"/>
  <c r="G1301" i="1"/>
  <c r="E1301" i="1"/>
  <c r="C1301" i="1"/>
  <c r="I1300" i="1"/>
  <c r="G1300" i="1"/>
  <c r="E1300" i="1"/>
  <c r="C1300" i="1"/>
  <c r="I1299" i="1"/>
  <c r="G1299" i="1"/>
  <c r="E1299" i="1"/>
  <c r="C1299" i="1"/>
  <c r="I1298" i="1"/>
  <c r="G1298" i="1"/>
  <c r="E1298" i="1"/>
  <c r="C1298" i="1"/>
  <c r="I1297" i="1"/>
  <c r="G1297" i="1"/>
  <c r="E1297" i="1"/>
  <c r="C1297" i="1"/>
  <c r="I1296" i="1"/>
  <c r="G1296" i="1"/>
  <c r="E1296" i="1"/>
  <c r="C1296" i="1"/>
  <c r="I1295" i="1"/>
  <c r="G1295" i="1"/>
  <c r="E1295" i="1"/>
  <c r="C1295" i="1"/>
  <c r="I1294" i="1"/>
  <c r="G1294" i="1"/>
  <c r="E1294" i="1"/>
  <c r="C1294" i="1"/>
  <c r="I1293" i="1"/>
  <c r="G1293" i="1"/>
  <c r="E1293" i="1"/>
  <c r="C1293" i="1"/>
  <c r="I1292" i="1"/>
  <c r="G1292" i="1"/>
  <c r="E1292" i="1"/>
  <c r="C1292" i="1"/>
  <c r="I1291" i="1"/>
  <c r="G1291" i="1"/>
  <c r="E1291" i="1"/>
  <c r="C1291" i="1"/>
  <c r="I1290" i="1"/>
  <c r="G1290" i="1"/>
  <c r="E1290" i="1"/>
  <c r="C1290" i="1"/>
  <c r="I1289" i="1"/>
  <c r="G1289" i="1"/>
  <c r="E1289" i="1"/>
  <c r="C1289" i="1"/>
  <c r="I1288" i="1"/>
  <c r="G1288" i="1"/>
  <c r="E1288" i="1"/>
  <c r="C1288" i="1"/>
  <c r="I1287" i="1"/>
  <c r="G1287" i="1"/>
  <c r="E1287" i="1"/>
  <c r="C1287" i="1"/>
  <c r="I1286" i="1"/>
  <c r="G1286" i="1"/>
  <c r="E1286" i="1"/>
  <c r="C1286" i="1"/>
  <c r="I1285" i="1"/>
  <c r="G1285" i="1"/>
  <c r="E1285" i="1"/>
  <c r="C1285" i="1"/>
  <c r="I1284" i="1"/>
  <c r="G1284" i="1"/>
  <c r="E1284" i="1"/>
  <c r="C1284" i="1"/>
  <c r="I1283" i="1"/>
  <c r="G1283" i="1"/>
  <c r="E1283" i="1"/>
  <c r="C1283" i="1"/>
  <c r="I1282" i="1"/>
  <c r="G1282" i="1"/>
  <c r="E1282" i="1"/>
  <c r="C1282" i="1"/>
  <c r="I1281" i="1"/>
  <c r="G1281" i="1"/>
  <c r="E1281" i="1"/>
  <c r="C1281" i="1"/>
  <c r="I1280" i="1"/>
  <c r="G1280" i="1"/>
  <c r="E1280" i="1"/>
  <c r="C1280" i="1"/>
  <c r="I1279" i="1"/>
  <c r="G1279" i="1"/>
  <c r="E1279" i="1"/>
  <c r="C1279" i="1"/>
  <c r="I1278" i="1"/>
  <c r="G1278" i="1"/>
  <c r="E1278" i="1"/>
  <c r="C1278" i="1"/>
  <c r="I1277" i="1"/>
  <c r="G1277" i="1"/>
  <c r="E1277" i="1"/>
  <c r="C1277" i="1"/>
  <c r="I1276" i="1"/>
  <c r="G1276" i="1"/>
  <c r="E1276" i="1"/>
  <c r="C1276" i="1"/>
  <c r="I1275" i="1"/>
  <c r="G1275" i="1"/>
  <c r="E1275" i="1"/>
  <c r="C1275" i="1"/>
  <c r="I1274" i="1"/>
  <c r="G1274" i="1"/>
  <c r="E1274" i="1"/>
  <c r="C1274" i="1"/>
  <c r="I1273" i="1"/>
  <c r="G1273" i="1"/>
  <c r="E1273" i="1"/>
  <c r="C1273" i="1"/>
  <c r="I1272" i="1"/>
  <c r="G1272" i="1"/>
  <c r="E1272" i="1"/>
  <c r="C1272" i="1"/>
  <c r="I1271" i="1"/>
  <c r="G1271" i="1"/>
  <c r="E1271" i="1"/>
  <c r="C1271" i="1"/>
  <c r="I1270" i="1"/>
  <c r="G1270" i="1"/>
  <c r="E1270" i="1"/>
  <c r="C1270" i="1"/>
  <c r="I1269" i="1"/>
  <c r="G1269" i="1"/>
  <c r="E1269" i="1"/>
  <c r="C1269" i="1"/>
  <c r="I1268" i="1"/>
  <c r="G1268" i="1"/>
  <c r="E1268" i="1"/>
  <c r="C1268" i="1"/>
  <c r="I1267" i="1"/>
  <c r="G1267" i="1"/>
  <c r="E1267" i="1"/>
  <c r="C1267" i="1"/>
  <c r="I1266" i="1"/>
  <c r="G1266" i="1"/>
  <c r="E1266" i="1"/>
  <c r="C1266" i="1"/>
  <c r="I1265" i="1"/>
  <c r="G1265" i="1"/>
  <c r="E1265" i="1"/>
  <c r="C1265" i="1"/>
  <c r="I1264" i="1"/>
  <c r="G1264" i="1"/>
  <c r="E1264" i="1"/>
  <c r="C1264" i="1"/>
  <c r="I1263" i="1"/>
  <c r="G1263" i="1"/>
  <c r="E1263" i="1"/>
  <c r="C1263" i="1"/>
  <c r="I1262" i="1"/>
  <c r="G1262" i="1"/>
  <c r="E1262" i="1"/>
  <c r="C1262" i="1"/>
  <c r="I1261" i="1"/>
  <c r="G1261" i="1"/>
  <c r="E1261" i="1"/>
  <c r="C1261" i="1"/>
  <c r="I1260" i="1"/>
  <c r="G1260" i="1"/>
  <c r="E1260" i="1"/>
  <c r="C1260" i="1"/>
  <c r="I1259" i="1"/>
  <c r="G1259" i="1"/>
  <c r="E1259" i="1"/>
  <c r="C1259" i="1"/>
  <c r="I1258" i="1"/>
  <c r="G1258" i="1"/>
  <c r="E1258" i="1"/>
  <c r="C1258" i="1"/>
  <c r="I1257" i="1"/>
  <c r="G1257" i="1"/>
  <c r="E1257" i="1"/>
  <c r="C1257" i="1"/>
  <c r="I1256" i="1"/>
  <c r="G1256" i="1"/>
  <c r="E1256" i="1"/>
  <c r="C1256" i="1"/>
  <c r="I1255" i="1"/>
  <c r="G1255" i="1"/>
  <c r="E1255" i="1"/>
  <c r="C1255" i="1"/>
  <c r="I1254" i="1"/>
  <c r="G1254" i="1"/>
  <c r="E1254" i="1"/>
  <c r="C1254" i="1"/>
  <c r="I1253" i="1"/>
  <c r="G1253" i="1"/>
  <c r="E1253" i="1"/>
  <c r="C1253" i="1"/>
  <c r="I1252" i="1"/>
  <c r="G1252" i="1"/>
  <c r="E1252" i="1"/>
  <c r="C1252" i="1"/>
  <c r="I1251" i="1"/>
  <c r="G1251" i="1"/>
  <c r="E1251" i="1"/>
  <c r="C1251" i="1"/>
  <c r="I1250" i="1"/>
  <c r="G1250" i="1"/>
  <c r="E1250" i="1"/>
  <c r="C1250" i="1"/>
  <c r="I1249" i="1"/>
  <c r="G1249" i="1"/>
  <c r="E1249" i="1"/>
  <c r="C1249" i="1"/>
  <c r="I1248" i="1"/>
  <c r="G1248" i="1"/>
  <c r="E1248" i="1"/>
  <c r="C1248" i="1"/>
  <c r="I1247" i="1"/>
  <c r="G1247" i="1"/>
  <c r="E1247" i="1"/>
  <c r="C1247" i="1"/>
  <c r="I1246" i="1"/>
  <c r="G1246" i="1"/>
  <c r="E1246" i="1"/>
  <c r="C1246" i="1"/>
  <c r="I1245" i="1"/>
  <c r="G1245" i="1"/>
  <c r="E1245" i="1"/>
  <c r="C1245" i="1"/>
  <c r="I1244" i="1"/>
  <c r="G1244" i="1"/>
  <c r="E1244" i="1"/>
  <c r="C1244" i="1"/>
  <c r="I1243" i="1"/>
  <c r="G1243" i="1"/>
  <c r="E1243" i="1"/>
  <c r="C1243" i="1"/>
  <c r="I1242" i="1"/>
  <c r="G1242" i="1"/>
  <c r="E1242" i="1"/>
  <c r="C1242" i="1"/>
  <c r="I1241" i="1"/>
  <c r="G1241" i="1"/>
  <c r="E1241" i="1"/>
  <c r="C1241" i="1"/>
  <c r="I1240" i="1"/>
  <c r="G1240" i="1"/>
  <c r="E1240" i="1"/>
  <c r="C1240" i="1"/>
  <c r="I1239" i="1"/>
  <c r="G1239" i="1"/>
  <c r="E1239" i="1"/>
  <c r="C1239" i="1"/>
  <c r="I1238" i="1"/>
  <c r="G1238" i="1"/>
  <c r="E1238" i="1"/>
  <c r="C1238" i="1"/>
  <c r="I1237" i="1"/>
  <c r="G1237" i="1"/>
  <c r="E1237" i="1"/>
  <c r="C1237" i="1"/>
  <c r="I1236" i="1"/>
  <c r="G1236" i="1"/>
  <c r="E1236" i="1"/>
  <c r="C1236" i="1"/>
  <c r="I1235" i="1"/>
  <c r="G1235" i="1"/>
  <c r="E1235" i="1"/>
  <c r="C1235" i="1"/>
  <c r="I1234" i="1"/>
  <c r="G1234" i="1"/>
  <c r="E1234" i="1"/>
  <c r="C1234" i="1"/>
  <c r="I1233" i="1"/>
  <c r="G1233" i="1"/>
  <c r="E1233" i="1"/>
  <c r="C1233" i="1"/>
  <c r="I1232" i="1"/>
  <c r="G1232" i="1"/>
  <c r="E1232" i="1"/>
  <c r="C1232" i="1"/>
  <c r="I1231" i="1"/>
  <c r="G1231" i="1"/>
  <c r="E1231" i="1"/>
  <c r="C1231" i="1"/>
  <c r="I1230" i="1"/>
  <c r="G1230" i="1"/>
  <c r="E1230" i="1"/>
  <c r="C1230" i="1"/>
  <c r="I1229" i="1"/>
  <c r="G1229" i="1"/>
  <c r="E1229" i="1"/>
  <c r="C1229" i="1"/>
  <c r="I1228" i="1"/>
  <c r="G1228" i="1"/>
  <c r="E1228" i="1"/>
  <c r="C1228" i="1"/>
  <c r="I1227" i="1"/>
  <c r="G1227" i="1"/>
  <c r="E1227" i="1"/>
  <c r="C1227" i="1"/>
  <c r="I1226" i="1"/>
  <c r="G1226" i="1"/>
  <c r="E1226" i="1"/>
  <c r="C1226" i="1"/>
  <c r="I1225" i="1"/>
  <c r="G1225" i="1"/>
  <c r="E1225" i="1"/>
  <c r="C1225" i="1"/>
  <c r="I1224" i="1"/>
  <c r="G1224" i="1"/>
  <c r="E1224" i="1"/>
  <c r="C1224" i="1"/>
  <c r="I1223" i="1"/>
  <c r="G1223" i="1"/>
  <c r="E1223" i="1"/>
  <c r="C1223" i="1"/>
  <c r="I1222" i="1"/>
  <c r="G1222" i="1"/>
  <c r="E1222" i="1"/>
  <c r="C1222" i="1"/>
  <c r="I1221" i="1"/>
  <c r="G1221" i="1"/>
  <c r="E1221" i="1"/>
  <c r="C1221" i="1"/>
  <c r="I1220" i="1"/>
  <c r="G1220" i="1"/>
  <c r="E1220" i="1"/>
  <c r="C1220" i="1"/>
  <c r="I1219" i="1"/>
  <c r="G1219" i="1"/>
  <c r="E1219" i="1"/>
  <c r="C1219" i="1"/>
  <c r="I1218" i="1"/>
  <c r="G1218" i="1"/>
  <c r="E1218" i="1"/>
  <c r="C1218" i="1"/>
  <c r="I1217" i="1"/>
  <c r="G1217" i="1"/>
  <c r="E1217" i="1"/>
  <c r="C1217" i="1"/>
  <c r="I1216" i="1"/>
  <c r="G1216" i="1"/>
  <c r="E1216" i="1"/>
  <c r="C1216" i="1"/>
  <c r="I1215" i="1"/>
  <c r="G1215" i="1"/>
  <c r="E1215" i="1"/>
  <c r="C1215" i="1"/>
  <c r="I1214" i="1"/>
  <c r="G1214" i="1"/>
  <c r="E1214" i="1"/>
  <c r="C1214" i="1"/>
  <c r="I1213" i="1"/>
  <c r="G1213" i="1"/>
  <c r="E1213" i="1"/>
  <c r="C1213" i="1"/>
  <c r="I1212" i="1"/>
  <c r="G1212" i="1"/>
  <c r="E1212" i="1"/>
  <c r="C1212" i="1"/>
  <c r="I1211" i="1"/>
  <c r="G1211" i="1"/>
  <c r="E1211" i="1"/>
  <c r="C1211" i="1"/>
  <c r="I1210" i="1"/>
  <c r="G1210" i="1"/>
  <c r="E1210" i="1"/>
  <c r="C1210" i="1"/>
  <c r="I1209" i="1"/>
  <c r="G1209" i="1"/>
  <c r="E1209" i="1"/>
  <c r="C1209" i="1"/>
  <c r="I1208" i="1"/>
  <c r="G1208" i="1"/>
  <c r="E1208" i="1"/>
  <c r="C1208" i="1"/>
  <c r="I1207" i="1"/>
  <c r="G1207" i="1"/>
  <c r="E1207" i="1"/>
  <c r="C1207" i="1"/>
  <c r="I1206" i="1"/>
  <c r="G1206" i="1"/>
  <c r="E1206" i="1"/>
  <c r="C1206" i="1"/>
  <c r="I1205" i="1"/>
  <c r="G1205" i="1"/>
  <c r="E1205" i="1"/>
  <c r="C1205" i="1"/>
  <c r="I1204" i="1"/>
  <c r="G1204" i="1"/>
  <c r="E1204" i="1"/>
  <c r="C1204" i="1"/>
  <c r="I1203" i="1"/>
  <c r="G1203" i="1"/>
  <c r="E1203" i="1"/>
  <c r="C1203" i="1"/>
  <c r="I1202" i="1"/>
  <c r="G1202" i="1"/>
  <c r="E1202" i="1"/>
  <c r="C1202" i="1"/>
  <c r="I1201" i="1"/>
  <c r="G1201" i="1"/>
  <c r="E1201" i="1"/>
  <c r="C1201" i="1"/>
  <c r="I1200" i="1"/>
  <c r="G1200" i="1"/>
  <c r="E1200" i="1"/>
  <c r="C1200" i="1"/>
  <c r="I1199" i="1"/>
  <c r="G1199" i="1"/>
  <c r="E1199" i="1"/>
  <c r="C1199" i="1"/>
  <c r="I1198" i="1"/>
  <c r="G1198" i="1"/>
  <c r="E1198" i="1"/>
  <c r="C1198" i="1"/>
  <c r="I1197" i="1"/>
  <c r="G1197" i="1"/>
  <c r="E1197" i="1"/>
  <c r="C1197" i="1"/>
  <c r="I1196" i="1"/>
  <c r="G1196" i="1"/>
  <c r="E1196" i="1"/>
  <c r="C1196" i="1"/>
  <c r="I1195" i="1"/>
  <c r="G1195" i="1"/>
  <c r="E1195" i="1"/>
  <c r="C1195" i="1"/>
  <c r="I1194" i="1"/>
  <c r="G1194" i="1"/>
  <c r="E1194" i="1"/>
  <c r="C1194" i="1"/>
  <c r="I1193" i="1"/>
  <c r="G1193" i="1"/>
  <c r="E1193" i="1"/>
  <c r="C1193" i="1"/>
  <c r="I1192" i="1"/>
  <c r="G1192" i="1"/>
  <c r="E1192" i="1"/>
  <c r="C1192" i="1"/>
  <c r="I1191" i="1"/>
  <c r="G1191" i="1"/>
  <c r="E1191" i="1"/>
  <c r="C1191" i="1"/>
  <c r="I1190" i="1"/>
  <c r="G1190" i="1"/>
  <c r="E1190" i="1"/>
  <c r="C1190" i="1"/>
  <c r="I1189" i="1"/>
  <c r="G1189" i="1"/>
  <c r="E1189" i="1"/>
  <c r="C1189" i="1"/>
  <c r="I1188" i="1"/>
  <c r="G1188" i="1"/>
  <c r="E1188" i="1"/>
  <c r="C1188" i="1"/>
  <c r="I1187" i="1"/>
  <c r="G1187" i="1"/>
  <c r="E1187" i="1"/>
  <c r="C1187" i="1"/>
  <c r="I1186" i="1"/>
  <c r="G1186" i="1"/>
  <c r="E1186" i="1"/>
  <c r="C1186" i="1"/>
  <c r="I1185" i="1"/>
  <c r="G1185" i="1"/>
  <c r="E1185" i="1"/>
  <c r="C1185" i="1"/>
  <c r="I1184" i="1"/>
  <c r="G1184" i="1"/>
  <c r="E1184" i="1"/>
  <c r="C1184" i="1"/>
  <c r="I1183" i="1"/>
  <c r="G1183" i="1"/>
  <c r="E1183" i="1"/>
  <c r="C1183" i="1"/>
  <c r="I1182" i="1"/>
  <c r="G1182" i="1"/>
  <c r="E1182" i="1"/>
  <c r="C1182" i="1"/>
  <c r="I1181" i="1"/>
  <c r="G1181" i="1"/>
  <c r="E1181" i="1"/>
  <c r="C1181" i="1"/>
  <c r="I1180" i="1"/>
  <c r="G1180" i="1"/>
  <c r="E1180" i="1"/>
  <c r="C1180" i="1"/>
  <c r="I1179" i="1"/>
  <c r="G1179" i="1"/>
  <c r="E1179" i="1"/>
  <c r="C1179" i="1"/>
  <c r="I1178" i="1"/>
  <c r="G1178" i="1"/>
  <c r="E1178" i="1"/>
  <c r="C1178" i="1"/>
  <c r="I1177" i="1"/>
  <c r="G1177" i="1"/>
  <c r="E1177" i="1"/>
  <c r="C1177" i="1"/>
  <c r="I1176" i="1"/>
  <c r="G1176" i="1"/>
  <c r="E1176" i="1"/>
  <c r="C1176" i="1"/>
  <c r="I1175" i="1"/>
  <c r="G1175" i="1"/>
  <c r="E1175" i="1"/>
  <c r="C1175" i="1"/>
  <c r="I1174" i="1"/>
  <c r="G1174" i="1"/>
  <c r="E1174" i="1"/>
  <c r="C1174" i="1"/>
  <c r="I1173" i="1"/>
  <c r="G1173" i="1"/>
  <c r="E1173" i="1"/>
  <c r="C1173" i="1"/>
  <c r="I1172" i="1"/>
  <c r="G1172" i="1"/>
  <c r="E1172" i="1"/>
  <c r="C1172" i="1"/>
  <c r="I1171" i="1"/>
  <c r="G1171" i="1"/>
  <c r="E1171" i="1"/>
  <c r="C1171" i="1"/>
  <c r="I1170" i="1"/>
  <c r="G1170" i="1"/>
  <c r="E1170" i="1"/>
  <c r="C1170" i="1"/>
  <c r="I1169" i="1"/>
  <c r="G1169" i="1"/>
  <c r="E1169" i="1"/>
  <c r="C1169" i="1"/>
  <c r="I1168" i="1"/>
  <c r="G1168" i="1"/>
  <c r="E1168" i="1"/>
  <c r="C1168" i="1"/>
  <c r="I1167" i="1"/>
  <c r="G1167" i="1"/>
  <c r="E1167" i="1"/>
  <c r="C1167" i="1"/>
  <c r="I1166" i="1"/>
  <c r="G1166" i="1"/>
  <c r="E1166" i="1"/>
  <c r="C1166" i="1"/>
  <c r="I1165" i="1"/>
  <c r="G1165" i="1"/>
  <c r="E1165" i="1"/>
  <c r="C1165" i="1"/>
  <c r="I1164" i="1"/>
  <c r="G1164" i="1"/>
  <c r="E1164" i="1"/>
  <c r="C1164" i="1"/>
  <c r="I1163" i="1"/>
  <c r="G1163" i="1"/>
  <c r="E1163" i="1"/>
  <c r="C1163" i="1"/>
  <c r="I1162" i="1"/>
  <c r="G1162" i="1"/>
  <c r="E1162" i="1"/>
  <c r="C1162" i="1"/>
  <c r="I1161" i="1"/>
  <c r="G1161" i="1"/>
  <c r="E1161" i="1"/>
  <c r="C1161" i="1"/>
  <c r="I1160" i="1"/>
  <c r="G1160" i="1"/>
  <c r="E1160" i="1"/>
  <c r="C1160" i="1"/>
  <c r="I1159" i="1"/>
  <c r="G1159" i="1"/>
  <c r="E1159" i="1"/>
  <c r="C1159" i="1"/>
  <c r="I1158" i="1"/>
  <c r="G1158" i="1"/>
  <c r="E1158" i="1"/>
  <c r="C1158" i="1"/>
  <c r="I1157" i="1"/>
  <c r="G1157" i="1"/>
  <c r="E1157" i="1"/>
  <c r="C1157" i="1"/>
  <c r="I1156" i="1"/>
  <c r="G1156" i="1"/>
  <c r="E1156" i="1"/>
  <c r="C1156" i="1"/>
  <c r="I1155" i="1"/>
  <c r="G1155" i="1"/>
  <c r="E1155" i="1"/>
  <c r="C1155" i="1"/>
  <c r="I1154" i="1"/>
  <c r="G1154" i="1"/>
  <c r="E1154" i="1"/>
  <c r="C1154" i="1"/>
  <c r="I1153" i="1"/>
  <c r="G1153" i="1"/>
  <c r="E1153" i="1"/>
  <c r="C1153" i="1"/>
  <c r="I1152" i="1"/>
  <c r="G1152" i="1"/>
  <c r="E1152" i="1"/>
  <c r="C1152" i="1"/>
  <c r="I1151" i="1"/>
  <c r="G1151" i="1"/>
  <c r="E1151" i="1"/>
  <c r="C1151" i="1"/>
  <c r="I1150" i="1"/>
  <c r="G1150" i="1"/>
  <c r="E1150" i="1"/>
  <c r="C1150" i="1"/>
  <c r="I1149" i="1"/>
  <c r="G1149" i="1"/>
  <c r="E1149" i="1"/>
  <c r="C1149" i="1"/>
  <c r="I1148" i="1"/>
  <c r="G1148" i="1"/>
  <c r="E1148" i="1"/>
  <c r="C1148" i="1"/>
  <c r="I1147" i="1"/>
  <c r="G1147" i="1"/>
  <c r="E1147" i="1"/>
  <c r="C1147" i="1"/>
  <c r="I1146" i="1"/>
  <c r="G1146" i="1"/>
  <c r="E1146" i="1"/>
  <c r="C1146" i="1"/>
  <c r="I1145" i="1"/>
  <c r="G1145" i="1"/>
  <c r="E1145" i="1"/>
  <c r="C1145" i="1"/>
  <c r="I1144" i="1"/>
  <c r="G1144" i="1"/>
  <c r="E1144" i="1"/>
  <c r="C1144" i="1"/>
  <c r="I1143" i="1"/>
  <c r="G1143" i="1"/>
  <c r="E1143" i="1"/>
  <c r="C1143" i="1"/>
  <c r="I1142" i="1"/>
  <c r="G1142" i="1"/>
  <c r="E1142" i="1"/>
  <c r="C1142" i="1"/>
  <c r="I1141" i="1"/>
  <c r="G1141" i="1"/>
  <c r="E1141" i="1"/>
  <c r="C1141" i="1"/>
  <c r="I1140" i="1"/>
  <c r="G1140" i="1"/>
  <c r="E1140" i="1"/>
  <c r="C1140" i="1"/>
  <c r="I1139" i="1"/>
  <c r="G1139" i="1"/>
  <c r="E1139" i="1"/>
  <c r="C1139" i="1"/>
  <c r="I1138" i="1"/>
  <c r="G1138" i="1"/>
  <c r="E1138" i="1"/>
  <c r="C1138" i="1"/>
  <c r="I1137" i="1"/>
  <c r="G1137" i="1"/>
  <c r="E1137" i="1"/>
  <c r="C1137" i="1"/>
  <c r="I1136" i="1"/>
  <c r="G1136" i="1"/>
  <c r="E1136" i="1"/>
  <c r="C1136" i="1"/>
  <c r="I1135" i="1"/>
  <c r="G1135" i="1"/>
  <c r="E1135" i="1"/>
  <c r="C1135" i="1"/>
  <c r="I1134" i="1"/>
  <c r="G1134" i="1"/>
  <c r="E1134" i="1"/>
  <c r="C1134" i="1"/>
  <c r="I1133" i="1"/>
  <c r="G1133" i="1"/>
  <c r="E1133" i="1"/>
  <c r="C1133" i="1"/>
  <c r="I1132" i="1"/>
  <c r="G1132" i="1"/>
  <c r="E1132" i="1"/>
  <c r="C1132" i="1"/>
  <c r="I1131" i="1"/>
  <c r="G1131" i="1"/>
  <c r="E1131" i="1"/>
  <c r="C1131" i="1"/>
  <c r="I1130" i="1"/>
  <c r="G1130" i="1"/>
  <c r="E1130" i="1"/>
  <c r="C1130" i="1"/>
  <c r="I1129" i="1"/>
  <c r="G1129" i="1"/>
  <c r="E1129" i="1"/>
  <c r="C1129" i="1"/>
  <c r="I1128" i="1"/>
  <c r="G1128" i="1"/>
  <c r="E1128" i="1"/>
  <c r="C1128" i="1"/>
  <c r="I1127" i="1"/>
  <c r="G1127" i="1"/>
  <c r="E1127" i="1"/>
  <c r="C1127" i="1"/>
  <c r="I1126" i="1"/>
  <c r="G1126" i="1"/>
  <c r="E1126" i="1"/>
  <c r="C1126" i="1"/>
  <c r="I1125" i="1"/>
  <c r="G1125" i="1"/>
  <c r="E1125" i="1"/>
  <c r="C1125" i="1"/>
  <c r="I1124" i="1"/>
  <c r="G1124" i="1"/>
  <c r="E1124" i="1"/>
  <c r="C1124" i="1"/>
  <c r="I1123" i="1"/>
  <c r="G1123" i="1"/>
  <c r="E1123" i="1"/>
  <c r="C1123" i="1"/>
  <c r="I1122" i="1"/>
  <c r="G1122" i="1"/>
  <c r="E1122" i="1"/>
  <c r="C1122" i="1"/>
  <c r="I1121" i="1"/>
  <c r="G1121" i="1"/>
  <c r="E1121" i="1"/>
  <c r="C1121" i="1"/>
  <c r="I1120" i="1"/>
  <c r="G1120" i="1"/>
  <c r="E1120" i="1"/>
  <c r="C1120" i="1"/>
  <c r="I1119" i="1"/>
  <c r="G1119" i="1"/>
  <c r="E1119" i="1"/>
  <c r="C1119" i="1"/>
  <c r="I1118" i="1"/>
  <c r="G1118" i="1"/>
  <c r="E1118" i="1"/>
  <c r="C1118" i="1"/>
  <c r="I1117" i="1"/>
  <c r="G1117" i="1"/>
  <c r="E1117" i="1"/>
  <c r="C1117" i="1"/>
  <c r="I1116" i="1"/>
  <c r="G1116" i="1"/>
  <c r="E1116" i="1"/>
  <c r="C1116" i="1"/>
  <c r="I1115" i="1"/>
  <c r="G1115" i="1"/>
  <c r="E1115" i="1"/>
  <c r="C1115" i="1"/>
  <c r="I1114" i="1"/>
  <c r="G1114" i="1"/>
  <c r="E1114" i="1"/>
  <c r="C1114" i="1"/>
  <c r="I1113" i="1"/>
  <c r="G1113" i="1"/>
  <c r="E1113" i="1"/>
  <c r="C1113" i="1"/>
  <c r="I1112" i="1"/>
  <c r="G1112" i="1"/>
  <c r="E1112" i="1"/>
  <c r="C1112" i="1"/>
  <c r="I1111" i="1"/>
  <c r="G1111" i="1"/>
  <c r="E1111" i="1"/>
  <c r="C1111" i="1"/>
  <c r="I1110" i="1"/>
  <c r="G1110" i="1"/>
  <c r="E1110" i="1"/>
  <c r="C1110" i="1"/>
  <c r="I1109" i="1"/>
  <c r="G1109" i="1"/>
  <c r="E1109" i="1"/>
  <c r="C1109" i="1"/>
  <c r="I1108" i="1"/>
  <c r="G1108" i="1"/>
  <c r="E1108" i="1"/>
  <c r="C1108" i="1"/>
  <c r="I1107" i="1"/>
  <c r="G1107" i="1"/>
  <c r="E1107" i="1"/>
  <c r="C1107" i="1"/>
  <c r="I1106" i="1"/>
  <c r="G1106" i="1"/>
  <c r="E1106" i="1"/>
  <c r="C1106" i="1"/>
  <c r="I1105" i="1"/>
  <c r="G1105" i="1"/>
  <c r="E1105" i="1"/>
  <c r="C1105" i="1"/>
  <c r="I1104" i="1"/>
  <c r="G1104" i="1"/>
  <c r="E1104" i="1"/>
  <c r="C1104" i="1"/>
  <c r="I1103" i="1"/>
  <c r="G1103" i="1"/>
  <c r="E1103" i="1"/>
  <c r="C1103" i="1"/>
  <c r="I1102" i="1"/>
  <c r="G1102" i="1"/>
  <c r="E1102" i="1"/>
  <c r="C1102" i="1"/>
  <c r="I1101" i="1"/>
  <c r="G1101" i="1"/>
  <c r="E1101" i="1"/>
  <c r="C1101" i="1"/>
  <c r="I1100" i="1"/>
  <c r="G1100" i="1"/>
  <c r="E1100" i="1"/>
  <c r="C1100" i="1"/>
  <c r="I1099" i="1"/>
  <c r="G1099" i="1"/>
  <c r="E1099" i="1"/>
  <c r="C1099" i="1"/>
  <c r="I1098" i="1"/>
  <c r="G1098" i="1"/>
  <c r="E1098" i="1"/>
  <c r="C1098" i="1"/>
  <c r="I1097" i="1"/>
  <c r="G1097" i="1"/>
  <c r="E1097" i="1"/>
  <c r="C1097" i="1"/>
  <c r="I1096" i="1"/>
  <c r="G1096" i="1"/>
  <c r="E1096" i="1"/>
  <c r="C1096" i="1"/>
  <c r="I1095" i="1"/>
  <c r="G1095" i="1"/>
  <c r="E1095" i="1"/>
  <c r="C1095" i="1"/>
  <c r="I1094" i="1"/>
  <c r="G1094" i="1"/>
  <c r="E1094" i="1"/>
  <c r="C1094" i="1"/>
  <c r="I1093" i="1"/>
  <c r="G1093" i="1"/>
  <c r="E1093" i="1"/>
  <c r="C1093" i="1"/>
  <c r="I1092" i="1"/>
  <c r="G1092" i="1"/>
  <c r="E1092" i="1"/>
  <c r="C1092" i="1"/>
  <c r="I1091" i="1"/>
  <c r="G1091" i="1"/>
  <c r="E1091" i="1"/>
  <c r="C1091" i="1"/>
  <c r="I1090" i="1"/>
  <c r="G1090" i="1"/>
  <c r="E1090" i="1"/>
  <c r="C1090" i="1"/>
  <c r="I1089" i="1"/>
  <c r="G1089" i="1"/>
  <c r="E1089" i="1"/>
  <c r="C1089" i="1"/>
  <c r="I1088" i="1"/>
  <c r="G1088" i="1"/>
  <c r="E1088" i="1"/>
  <c r="C1088" i="1"/>
  <c r="I1087" i="1"/>
  <c r="G1087" i="1"/>
  <c r="E1087" i="1"/>
  <c r="C1087" i="1"/>
  <c r="I1086" i="1"/>
  <c r="G1086" i="1"/>
  <c r="E1086" i="1"/>
  <c r="C1086" i="1"/>
  <c r="I1085" i="1"/>
  <c r="G1085" i="1"/>
  <c r="E1085" i="1"/>
  <c r="C1085" i="1"/>
  <c r="I1084" i="1"/>
  <c r="G1084" i="1"/>
  <c r="E1084" i="1"/>
  <c r="C1084" i="1"/>
  <c r="I1083" i="1"/>
  <c r="G1083" i="1"/>
  <c r="E1083" i="1"/>
  <c r="C1083" i="1"/>
  <c r="I1082" i="1"/>
  <c r="G1082" i="1"/>
  <c r="E1082" i="1"/>
  <c r="C1082" i="1"/>
  <c r="I1081" i="1"/>
  <c r="G1081" i="1"/>
  <c r="E1081" i="1"/>
  <c r="C1081" i="1"/>
  <c r="I1080" i="1"/>
  <c r="G1080" i="1"/>
  <c r="E1080" i="1"/>
  <c r="C1080" i="1"/>
  <c r="I1079" i="1"/>
  <c r="G1079" i="1"/>
  <c r="E1079" i="1"/>
  <c r="C1079" i="1"/>
  <c r="I1078" i="1"/>
  <c r="G1078" i="1"/>
  <c r="E1078" i="1"/>
  <c r="C1078" i="1"/>
  <c r="I1077" i="1"/>
  <c r="G1077" i="1"/>
  <c r="E1077" i="1"/>
  <c r="C1077" i="1"/>
  <c r="I1076" i="1"/>
  <c r="G1076" i="1"/>
  <c r="E1076" i="1"/>
  <c r="C1076" i="1"/>
  <c r="I1075" i="1"/>
  <c r="G1075" i="1"/>
  <c r="E1075" i="1"/>
  <c r="C1075" i="1"/>
  <c r="I1074" i="1"/>
  <c r="G1074" i="1"/>
  <c r="E1074" i="1"/>
  <c r="C1074" i="1"/>
  <c r="I1073" i="1"/>
  <c r="G1073" i="1"/>
  <c r="E1073" i="1"/>
  <c r="C1073" i="1"/>
  <c r="I1072" i="1"/>
  <c r="G1072" i="1"/>
  <c r="E1072" i="1"/>
  <c r="C1072" i="1"/>
  <c r="I1071" i="1"/>
  <c r="G1071" i="1"/>
  <c r="E1071" i="1"/>
  <c r="C1071" i="1"/>
  <c r="I1070" i="1"/>
  <c r="G1070" i="1"/>
  <c r="E1070" i="1"/>
  <c r="C1070" i="1"/>
  <c r="I1069" i="1"/>
  <c r="G1069" i="1"/>
  <c r="E1069" i="1"/>
  <c r="C1069" i="1"/>
  <c r="I1068" i="1"/>
  <c r="G1068" i="1"/>
  <c r="E1068" i="1"/>
  <c r="C1068" i="1"/>
  <c r="I1067" i="1"/>
  <c r="G1067" i="1"/>
  <c r="E1067" i="1"/>
  <c r="C1067" i="1"/>
  <c r="I1066" i="1"/>
  <c r="G1066" i="1"/>
  <c r="E1066" i="1"/>
  <c r="C1066" i="1"/>
  <c r="I1065" i="1"/>
  <c r="G1065" i="1"/>
  <c r="E1065" i="1"/>
  <c r="C1065" i="1"/>
  <c r="I1064" i="1"/>
  <c r="G1064" i="1"/>
  <c r="E1064" i="1"/>
  <c r="C1064" i="1"/>
  <c r="I1063" i="1"/>
  <c r="G1063" i="1"/>
  <c r="E1063" i="1"/>
  <c r="C1063" i="1"/>
  <c r="I1062" i="1"/>
  <c r="G1062" i="1"/>
  <c r="E1062" i="1"/>
  <c r="C1062" i="1"/>
  <c r="I1061" i="1"/>
  <c r="G1061" i="1"/>
  <c r="E1061" i="1"/>
  <c r="C1061" i="1"/>
  <c r="I1060" i="1"/>
  <c r="G1060" i="1"/>
  <c r="E1060" i="1"/>
  <c r="C1060" i="1"/>
  <c r="I1059" i="1"/>
  <c r="G1059" i="1"/>
  <c r="E1059" i="1"/>
  <c r="C1059" i="1"/>
  <c r="I1058" i="1"/>
  <c r="G1058" i="1"/>
  <c r="E1058" i="1"/>
  <c r="C1058" i="1"/>
  <c r="I1057" i="1"/>
  <c r="G1057" i="1"/>
  <c r="E1057" i="1"/>
  <c r="C1057" i="1"/>
  <c r="I1056" i="1"/>
  <c r="G1056" i="1"/>
  <c r="E1056" i="1"/>
  <c r="C1056" i="1"/>
  <c r="I1055" i="1"/>
  <c r="G1055" i="1"/>
  <c r="E1055" i="1"/>
  <c r="C1055" i="1"/>
  <c r="I1054" i="1"/>
  <c r="G1054" i="1"/>
  <c r="E1054" i="1"/>
  <c r="C1054" i="1"/>
  <c r="I1053" i="1"/>
  <c r="G1053" i="1"/>
  <c r="E1053" i="1"/>
  <c r="C1053" i="1"/>
  <c r="I1052" i="1"/>
  <c r="G1052" i="1"/>
  <c r="E1052" i="1"/>
  <c r="C1052" i="1"/>
  <c r="I1051" i="1"/>
  <c r="G1051" i="1"/>
  <c r="E1051" i="1"/>
  <c r="C1051" i="1"/>
  <c r="I1050" i="1"/>
  <c r="G1050" i="1"/>
  <c r="E1050" i="1"/>
  <c r="C1050" i="1"/>
  <c r="I1049" i="1"/>
  <c r="G1049" i="1"/>
  <c r="E1049" i="1"/>
  <c r="C1049" i="1"/>
  <c r="I1048" i="1"/>
  <c r="G1048" i="1"/>
  <c r="E1048" i="1"/>
  <c r="C1048" i="1"/>
  <c r="I1047" i="1"/>
  <c r="G1047" i="1"/>
  <c r="E1047" i="1"/>
  <c r="C1047" i="1"/>
  <c r="I1046" i="1"/>
  <c r="G1046" i="1"/>
  <c r="E1046" i="1"/>
  <c r="C1046" i="1"/>
  <c r="I1045" i="1"/>
  <c r="G1045" i="1"/>
  <c r="E1045" i="1"/>
  <c r="C1045" i="1"/>
  <c r="I1044" i="1"/>
  <c r="G1044" i="1"/>
  <c r="E1044" i="1"/>
  <c r="C1044" i="1"/>
  <c r="I1043" i="1"/>
  <c r="G1043" i="1"/>
  <c r="E1043" i="1"/>
  <c r="C1043" i="1"/>
  <c r="I1042" i="1"/>
  <c r="G1042" i="1"/>
  <c r="E1042" i="1"/>
  <c r="C1042" i="1"/>
  <c r="I1041" i="1"/>
  <c r="G1041" i="1"/>
  <c r="E1041" i="1"/>
  <c r="C1041" i="1"/>
  <c r="I1040" i="1"/>
  <c r="G1040" i="1"/>
  <c r="E1040" i="1"/>
  <c r="C1040" i="1"/>
  <c r="I1039" i="1"/>
  <c r="G1039" i="1"/>
  <c r="E1039" i="1"/>
  <c r="C1039" i="1"/>
  <c r="I1038" i="1"/>
  <c r="G1038" i="1"/>
  <c r="E1038" i="1"/>
  <c r="C1038" i="1"/>
  <c r="I1037" i="1"/>
  <c r="G1037" i="1"/>
  <c r="E1037" i="1"/>
  <c r="C1037" i="1"/>
  <c r="I1036" i="1"/>
  <c r="G1036" i="1"/>
  <c r="E1036" i="1"/>
  <c r="C1036" i="1"/>
  <c r="I1035" i="1"/>
  <c r="G1035" i="1"/>
  <c r="E1035" i="1"/>
  <c r="C1035" i="1"/>
  <c r="I1034" i="1"/>
  <c r="G1034" i="1"/>
  <c r="E1034" i="1"/>
  <c r="C1034" i="1"/>
  <c r="I1033" i="1"/>
  <c r="G1033" i="1"/>
  <c r="E1033" i="1"/>
  <c r="C1033" i="1"/>
  <c r="I1032" i="1"/>
  <c r="G1032" i="1"/>
  <c r="E1032" i="1"/>
  <c r="C1032" i="1"/>
  <c r="I1031" i="1"/>
  <c r="G1031" i="1"/>
  <c r="E1031" i="1"/>
  <c r="C1031" i="1"/>
  <c r="I1030" i="1"/>
  <c r="G1030" i="1"/>
  <c r="E1030" i="1"/>
  <c r="C1030" i="1"/>
  <c r="I1029" i="1"/>
  <c r="G1029" i="1"/>
  <c r="E1029" i="1"/>
  <c r="C1029" i="1"/>
  <c r="I1028" i="1"/>
  <c r="G1028" i="1"/>
  <c r="E1028" i="1"/>
  <c r="C1028" i="1"/>
  <c r="I1027" i="1"/>
  <c r="G1027" i="1"/>
  <c r="E1027" i="1"/>
  <c r="C1027" i="1"/>
  <c r="I1026" i="1"/>
  <c r="G1026" i="1"/>
  <c r="E1026" i="1"/>
  <c r="C1026" i="1"/>
  <c r="I1025" i="1"/>
  <c r="G1025" i="1"/>
  <c r="E1025" i="1"/>
  <c r="C1025" i="1"/>
  <c r="I1024" i="1"/>
  <c r="G1024" i="1"/>
  <c r="E1024" i="1"/>
  <c r="C1024" i="1"/>
  <c r="I1023" i="1"/>
  <c r="G1023" i="1"/>
  <c r="E1023" i="1"/>
  <c r="C1023" i="1"/>
  <c r="I1022" i="1"/>
  <c r="G1022" i="1"/>
  <c r="E1022" i="1"/>
  <c r="C1022" i="1"/>
  <c r="I1021" i="1"/>
  <c r="G1021" i="1"/>
  <c r="E1021" i="1"/>
  <c r="C1021" i="1"/>
  <c r="I1020" i="1"/>
  <c r="G1020" i="1"/>
  <c r="E1020" i="1"/>
  <c r="C1020" i="1"/>
  <c r="I1019" i="1"/>
  <c r="G1019" i="1"/>
  <c r="E1019" i="1"/>
  <c r="C1019" i="1"/>
  <c r="I1018" i="1"/>
  <c r="G1018" i="1"/>
  <c r="E1018" i="1"/>
  <c r="C1018" i="1"/>
  <c r="I1017" i="1"/>
  <c r="G1017" i="1"/>
  <c r="E1017" i="1"/>
  <c r="C1017" i="1"/>
  <c r="I1016" i="1"/>
  <c r="G1016" i="1"/>
  <c r="E1016" i="1"/>
  <c r="C1016" i="1"/>
  <c r="I1015" i="1"/>
  <c r="G1015" i="1"/>
  <c r="E1015" i="1"/>
  <c r="C1015" i="1"/>
  <c r="I1014" i="1"/>
  <c r="G1014" i="1"/>
  <c r="E1014" i="1"/>
  <c r="C1014" i="1"/>
  <c r="I1013" i="1"/>
  <c r="G1013" i="1"/>
  <c r="E1013" i="1"/>
  <c r="C1013" i="1"/>
  <c r="I1012" i="1"/>
  <c r="G1012" i="1"/>
  <c r="E1012" i="1"/>
  <c r="C1012" i="1"/>
  <c r="I1011" i="1"/>
  <c r="G1011" i="1"/>
  <c r="E1011" i="1"/>
  <c r="C1011" i="1"/>
  <c r="I1010" i="1"/>
  <c r="G1010" i="1"/>
  <c r="E1010" i="1"/>
  <c r="C1010" i="1"/>
  <c r="I1009" i="1"/>
  <c r="G1009" i="1"/>
  <c r="E1009" i="1"/>
  <c r="C1009" i="1"/>
  <c r="I1008" i="1"/>
  <c r="G1008" i="1"/>
  <c r="E1008" i="1"/>
  <c r="C1008" i="1"/>
  <c r="I1007" i="1"/>
  <c r="G1007" i="1"/>
  <c r="E1007" i="1"/>
  <c r="C1007" i="1"/>
  <c r="I1006" i="1"/>
  <c r="G1006" i="1"/>
  <c r="E1006" i="1"/>
  <c r="C1006" i="1"/>
  <c r="I1005" i="1"/>
  <c r="G1005" i="1"/>
  <c r="E1005" i="1"/>
  <c r="C1005" i="1"/>
  <c r="I1004" i="1"/>
  <c r="G1004" i="1"/>
  <c r="E1004" i="1"/>
  <c r="C1004" i="1"/>
  <c r="I1003" i="1"/>
  <c r="G1003" i="1"/>
  <c r="E1003" i="1"/>
  <c r="C1003" i="1"/>
  <c r="I1002" i="1"/>
  <c r="G1002" i="1"/>
  <c r="E1002" i="1"/>
  <c r="C1002" i="1"/>
  <c r="I1001" i="1"/>
  <c r="G1001" i="1"/>
  <c r="E1001" i="1"/>
  <c r="C1001" i="1"/>
  <c r="I1000" i="1"/>
  <c r="G1000" i="1"/>
  <c r="E1000" i="1"/>
  <c r="C1000" i="1"/>
  <c r="I999" i="1"/>
  <c r="G999" i="1"/>
  <c r="E999" i="1"/>
  <c r="C999" i="1"/>
  <c r="I998" i="1"/>
  <c r="G998" i="1"/>
  <c r="E998" i="1"/>
  <c r="C998" i="1"/>
  <c r="I997" i="1"/>
  <c r="G997" i="1"/>
  <c r="E997" i="1"/>
  <c r="C997" i="1"/>
  <c r="I996" i="1"/>
  <c r="G996" i="1"/>
  <c r="E996" i="1"/>
  <c r="C996" i="1"/>
  <c r="I995" i="1"/>
  <c r="G995" i="1"/>
  <c r="E995" i="1"/>
  <c r="C995" i="1"/>
  <c r="I994" i="1"/>
  <c r="G994" i="1"/>
  <c r="E994" i="1"/>
  <c r="C994" i="1"/>
  <c r="I993" i="1"/>
  <c r="G993" i="1"/>
  <c r="E993" i="1"/>
  <c r="C993" i="1"/>
  <c r="I992" i="1"/>
  <c r="G992" i="1"/>
  <c r="E992" i="1"/>
  <c r="C992" i="1"/>
  <c r="I991" i="1"/>
  <c r="G991" i="1"/>
  <c r="E991" i="1"/>
  <c r="C991" i="1"/>
  <c r="I990" i="1"/>
  <c r="G990" i="1"/>
  <c r="E990" i="1"/>
  <c r="C990" i="1"/>
  <c r="I989" i="1"/>
  <c r="G989" i="1"/>
  <c r="E989" i="1"/>
  <c r="C989" i="1"/>
  <c r="I988" i="1"/>
  <c r="G988" i="1"/>
  <c r="E988" i="1"/>
  <c r="C988" i="1"/>
  <c r="I987" i="1"/>
  <c r="G987" i="1"/>
  <c r="E987" i="1"/>
  <c r="C987" i="1"/>
  <c r="I986" i="1"/>
  <c r="G986" i="1"/>
  <c r="E986" i="1"/>
  <c r="C986" i="1"/>
  <c r="I985" i="1"/>
  <c r="G985" i="1"/>
  <c r="E985" i="1"/>
  <c r="C985" i="1"/>
  <c r="I984" i="1"/>
  <c r="G984" i="1"/>
  <c r="E984" i="1"/>
  <c r="C984" i="1"/>
  <c r="I983" i="1"/>
  <c r="G983" i="1"/>
  <c r="E983" i="1"/>
  <c r="C983" i="1"/>
  <c r="I982" i="1"/>
  <c r="G982" i="1"/>
  <c r="E982" i="1"/>
  <c r="C982" i="1"/>
  <c r="I981" i="1"/>
  <c r="G981" i="1"/>
  <c r="E981" i="1"/>
  <c r="C981" i="1"/>
  <c r="I980" i="1"/>
  <c r="G980" i="1"/>
  <c r="E980" i="1"/>
  <c r="C980" i="1"/>
  <c r="I979" i="1"/>
  <c r="G979" i="1"/>
  <c r="E979" i="1"/>
  <c r="C979" i="1"/>
  <c r="I978" i="1"/>
  <c r="G978" i="1"/>
  <c r="E978" i="1"/>
  <c r="C978" i="1"/>
  <c r="I977" i="1"/>
  <c r="G977" i="1"/>
  <c r="E977" i="1"/>
  <c r="C977" i="1"/>
  <c r="I976" i="1"/>
  <c r="G976" i="1"/>
  <c r="E976" i="1"/>
  <c r="C976" i="1"/>
  <c r="I975" i="1"/>
  <c r="G975" i="1"/>
  <c r="E975" i="1"/>
  <c r="C975" i="1"/>
  <c r="I974" i="1"/>
  <c r="G974" i="1"/>
  <c r="E974" i="1"/>
  <c r="C974" i="1"/>
  <c r="I973" i="1"/>
  <c r="G973" i="1"/>
  <c r="E973" i="1"/>
  <c r="C973" i="1"/>
  <c r="I972" i="1"/>
  <c r="G972" i="1"/>
  <c r="E972" i="1"/>
  <c r="C972" i="1"/>
  <c r="I971" i="1"/>
  <c r="G971" i="1"/>
  <c r="E971" i="1"/>
  <c r="C971" i="1"/>
  <c r="I970" i="1"/>
  <c r="G970" i="1"/>
  <c r="E970" i="1"/>
  <c r="C970" i="1"/>
  <c r="I969" i="1"/>
  <c r="G969" i="1"/>
  <c r="E969" i="1"/>
  <c r="C969" i="1"/>
  <c r="I968" i="1"/>
  <c r="G968" i="1"/>
  <c r="E968" i="1"/>
  <c r="C968" i="1"/>
  <c r="I967" i="1"/>
  <c r="G967" i="1"/>
  <c r="E967" i="1"/>
  <c r="C967" i="1"/>
  <c r="I966" i="1"/>
  <c r="G966" i="1"/>
  <c r="E966" i="1"/>
  <c r="C966" i="1"/>
  <c r="I965" i="1"/>
  <c r="G965" i="1"/>
  <c r="E965" i="1"/>
  <c r="C965" i="1"/>
  <c r="I964" i="1"/>
  <c r="G964" i="1"/>
  <c r="E964" i="1"/>
  <c r="C964" i="1"/>
  <c r="I963" i="1"/>
  <c r="G963" i="1"/>
  <c r="E963" i="1"/>
  <c r="C963" i="1"/>
  <c r="I962" i="1"/>
  <c r="G962" i="1"/>
  <c r="E962" i="1"/>
  <c r="C962" i="1"/>
  <c r="I961" i="1"/>
  <c r="G961" i="1"/>
  <c r="E961" i="1"/>
  <c r="C961" i="1"/>
  <c r="I960" i="1"/>
  <c r="G960" i="1"/>
  <c r="E960" i="1"/>
  <c r="C960" i="1"/>
  <c r="I959" i="1"/>
  <c r="G959" i="1"/>
  <c r="E959" i="1"/>
  <c r="C959" i="1"/>
  <c r="I958" i="1"/>
  <c r="G958" i="1"/>
  <c r="E958" i="1"/>
  <c r="C958" i="1"/>
  <c r="I957" i="1"/>
  <c r="G957" i="1"/>
  <c r="E957" i="1"/>
  <c r="C957" i="1"/>
  <c r="I956" i="1"/>
  <c r="G956" i="1"/>
  <c r="E956" i="1"/>
  <c r="C956" i="1"/>
  <c r="I955" i="1"/>
  <c r="G955" i="1"/>
  <c r="E955" i="1"/>
  <c r="C955" i="1"/>
  <c r="I954" i="1"/>
  <c r="G954" i="1"/>
  <c r="E954" i="1"/>
  <c r="C954" i="1"/>
  <c r="I953" i="1"/>
  <c r="G953" i="1"/>
  <c r="E953" i="1"/>
  <c r="C953" i="1"/>
  <c r="I952" i="1"/>
  <c r="G952" i="1"/>
  <c r="E952" i="1"/>
  <c r="C952" i="1"/>
  <c r="I951" i="1"/>
  <c r="G951" i="1"/>
  <c r="E951" i="1"/>
  <c r="C951" i="1"/>
  <c r="I950" i="1"/>
  <c r="G950" i="1"/>
  <c r="E950" i="1"/>
  <c r="C950" i="1"/>
  <c r="I949" i="1"/>
  <c r="G949" i="1"/>
  <c r="E949" i="1"/>
  <c r="C949" i="1"/>
  <c r="I948" i="1"/>
  <c r="G948" i="1"/>
  <c r="E948" i="1"/>
  <c r="C948" i="1"/>
  <c r="I947" i="1"/>
  <c r="G947" i="1"/>
  <c r="E947" i="1"/>
  <c r="C947" i="1"/>
  <c r="I946" i="1"/>
  <c r="G946" i="1"/>
  <c r="E946" i="1"/>
  <c r="C946" i="1"/>
  <c r="I945" i="1"/>
  <c r="G945" i="1"/>
  <c r="E945" i="1"/>
  <c r="C945" i="1"/>
  <c r="I944" i="1"/>
  <c r="G944" i="1"/>
  <c r="E944" i="1"/>
  <c r="C944" i="1"/>
  <c r="I943" i="1"/>
  <c r="G943" i="1"/>
  <c r="E943" i="1"/>
  <c r="C943" i="1"/>
  <c r="I942" i="1"/>
  <c r="G942" i="1"/>
  <c r="E942" i="1"/>
  <c r="C942" i="1"/>
  <c r="I941" i="1"/>
  <c r="G941" i="1"/>
  <c r="E941" i="1"/>
  <c r="C941" i="1"/>
  <c r="I940" i="1"/>
  <c r="G940" i="1"/>
  <c r="E940" i="1"/>
  <c r="C940" i="1"/>
  <c r="I939" i="1"/>
  <c r="G939" i="1"/>
  <c r="E939" i="1"/>
  <c r="C939" i="1"/>
  <c r="I938" i="1"/>
  <c r="G938" i="1"/>
  <c r="E938" i="1"/>
  <c r="C938" i="1"/>
  <c r="I937" i="1"/>
  <c r="G937" i="1"/>
  <c r="E937" i="1"/>
  <c r="C937" i="1"/>
  <c r="I936" i="1"/>
  <c r="G936" i="1"/>
  <c r="E936" i="1"/>
  <c r="C936" i="1"/>
  <c r="I935" i="1"/>
  <c r="G935" i="1"/>
  <c r="E935" i="1"/>
  <c r="C935" i="1"/>
  <c r="I934" i="1"/>
  <c r="G934" i="1"/>
  <c r="E934" i="1"/>
  <c r="C934" i="1"/>
  <c r="I933" i="1"/>
  <c r="G933" i="1"/>
  <c r="E933" i="1"/>
  <c r="C933" i="1"/>
  <c r="I932" i="1"/>
  <c r="G932" i="1"/>
  <c r="E932" i="1"/>
  <c r="C932" i="1"/>
  <c r="I931" i="1"/>
  <c r="G931" i="1"/>
  <c r="E931" i="1"/>
  <c r="C931" i="1"/>
  <c r="I930" i="1"/>
  <c r="G930" i="1"/>
  <c r="E930" i="1"/>
  <c r="C930" i="1"/>
  <c r="I929" i="1"/>
  <c r="G929" i="1"/>
  <c r="E929" i="1"/>
  <c r="C929" i="1"/>
  <c r="I928" i="1"/>
  <c r="G928" i="1"/>
  <c r="E928" i="1"/>
  <c r="C928" i="1"/>
  <c r="I927" i="1"/>
  <c r="G927" i="1"/>
  <c r="E927" i="1"/>
  <c r="C927" i="1"/>
  <c r="I926" i="1"/>
  <c r="G926" i="1"/>
  <c r="E926" i="1"/>
  <c r="C926" i="1"/>
  <c r="I925" i="1"/>
  <c r="G925" i="1"/>
  <c r="E925" i="1"/>
  <c r="C925" i="1"/>
  <c r="I924" i="1"/>
  <c r="G924" i="1"/>
  <c r="E924" i="1"/>
  <c r="C924" i="1"/>
  <c r="I923" i="1"/>
  <c r="G923" i="1"/>
  <c r="E923" i="1"/>
  <c r="C923" i="1"/>
  <c r="I922" i="1"/>
  <c r="G922" i="1"/>
  <c r="E922" i="1"/>
  <c r="C922" i="1"/>
  <c r="I921" i="1"/>
  <c r="G921" i="1"/>
  <c r="E921" i="1"/>
  <c r="C921" i="1"/>
  <c r="I920" i="1"/>
  <c r="G920" i="1"/>
  <c r="E920" i="1"/>
  <c r="C920" i="1"/>
  <c r="I919" i="1"/>
  <c r="G919" i="1"/>
  <c r="E919" i="1"/>
  <c r="C919" i="1"/>
  <c r="I918" i="1"/>
  <c r="G918" i="1"/>
  <c r="E918" i="1"/>
  <c r="C918" i="1"/>
  <c r="I917" i="1"/>
  <c r="G917" i="1"/>
  <c r="E917" i="1"/>
  <c r="C917" i="1"/>
  <c r="I916" i="1"/>
  <c r="G916" i="1"/>
  <c r="E916" i="1"/>
  <c r="C916" i="1"/>
  <c r="I915" i="1"/>
  <c r="G915" i="1"/>
  <c r="E915" i="1"/>
  <c r="C915" i="1"/>
  <c r="I914" i="1"/>
  <c r="G914" i="1"/>
  <c r="E914" i="1"/>
  <c r="C914" i="1"/>
  <c r="I913" i="1"/>
  <c r="G913" i="1"/>
  <c r="E913" i="1"/>
  <c r="C913" i="1"/>
  <c r="I912" i="1"/>
  <c r="G912" i="1"/>
  <c r="E912" i="1"/>
  <c r="C912" i="1"/>
  <c r="I911" i="1"/>
  <c r="G911" i="1"/>
  <c r="E911" i="1"/>
  <c r="C911" i="1"/>
  <c r="I910" i="1"/>
  <c r="G910" i="1"/>
  <c r="E910" i="1"/>
  <c r="C910" i="1"/>
  <c r="I909" i="1"/>
  <c r="G909" i="1"/>
  <c r="E909" i="1"/>
  <c r="C909" i="1"/>
  <c r="I908" i="1"/>
  <c r="G908" i="1"/>
  <c r="E908" i="1"/>
  <c r="C908" i="1"/>
  <c r="I907" i="1"/>
  <c r="G907" i="1"/>
  <c r="E907" i="1"/>
  <c r="C907" i="1"/>
  <c r="I906" i="1"/>
  <c r="G906" i="1"/>
  <c r="E906" i="1"/>
  <c r="C906" i="1"/>
  <c r="I905" i="1"/>
  <c r="G905" i="1"/>
  <c r="E905" i="1"/>
  <c r="C905" i="1"/>
  <c r="I904" i="1"/>
  <c r="G904" i="1"/>
  <c r="E904" i="1"/>
  <c r="C904" i="1"/>
  <c r="I903" i="1"/>
  <c r="G903" i="1"/>
  <c r="E903" i="1"/>
  <c r="C903" i="1"/>
  <c r="I902" i="1"/>
  <c r="G902" i="1"/>
  <c r="E902" i="1"/>
  <c r="C902" i="1"/>
  <c r="I901" i="1"/>
  <c r="G901" i="1"/>
  <c r="E901" i="1"/>
  <c r="C901" i="1"/>
  <c r="I900" i="1"/>
  <c r="G900" i="1"/>
  <c r="E900" i="1"/>
  <c r="C900" i="1"/>
  <c r="I899" i="1"/>
  <c r="G899" i="1"/>
  <c r="E899" i="1"/>
  <c r="C899" i="1"/>
  <c r="I898" i="1"/>
  <c r="G898" i="1"/>
  <c r="E898" i="1"/>
  <c r="C898" i="1"/>
  <c r="I897" i="1"/>
  <c r="G897" i="1"/>
  <c r="E897" i="1"/>
  <c r="C897" i="1"/>
  <c r="I896" i="1"/>
  <c r="G896" i="1"/>
  <c r="E896" i="1"/>
  <c r="C896" i="1"/>
  <c r="I895" i="1"/>
  <c r="G895" i="1"/>
  <c r="E895" i="1"/>
  <c r="C895" i="1"/>
  <c r="I894" i="1"/>
  <c r="G894" i="1"/>
  <c r="E894" i="1"/>
  <c r="C894" i="1"/>
  <c r="I893" i="1"/>
  <c r="G893" i="1"/>
  <c r="E893" i="1"/>
  <c r="C893" i="1"/>
  <c r="I892" i="1"/>
  <c r="G892" i="1"/>
  <c r="E892" i="1"/>
  <c r="C892" i="1"/>
  <c r="I891" i="1"/>
  <c r="G891" i="1"/>
  <c r="E891" i="1"/>
  <c r="C891" i="1"/>
  <c r="I890" i="1"/>
  <c r="G890" i="1"/>
  <c r="E890" i="1"/>
  <c r="C890" i="1"/>
  <c r="I889" i="1"/>
  <c r="G889" i="1"/>
  <c r="E889" i="1"/>
  <c r="C889" i="1"/>
  <c r="I888" i="1"/>
  <c r="G888" i="1"/>
  <c r="E888" i="1"/>
  <c r="C888" i="1"/>
  <c r="I887" i="1"/>
  <c r="G887" i="1"/>
  <c r="E887" i="1"/>
  <c r="C887" i="1"/>
  <c r="I886" i="1"/>
  <c r="G886" i="1"/>
  <c r="E886" i="1"/>
  <c r="C886" i="1"/>
  <c r="I885" i="1"/>
  <c r="G885" i="1"/>
  <c r="E885" i="1"/>
  <c r="C885" i="1"/>
  <c r="I884" i="1"/>
  <c r="G884" i="1"/>
  <c r="E884" i="1"/>
  <c r="C884" i="1"/>
  <c r="I883" i="1"/>
  <c r="G883" i="1"/>
  <c r="E883" i="1"/>
  <c r="C883" i="1"/>
  <c r="I882" i="1"/>
  <c r="G882" i="1"/>
  <c r="E882" i="1"/>
  <c r="C882" i="1"/>
  <c r="I881" i="1"/>
  <c r="G881" i="1"/>
  <c r="E881" i="1"/>
  <c r="C881" i="1"/>
  <c r="I880" i="1"/>
  <c r="G880" i="1"/>
  <c r="E880" i="1"/>
  <c r="C880" i="1"/>
  <c r="I879" i="1"/>
  <c r="G879" i="1"/>
  <c r="E879" i="1"/>
  <c r="C879" i="1"/>
  <c r="I878" i="1"/>
  <c r="G878" i="1"/>
  <c r="E878" i="1"/>
  <c r="C878" i="1"/>
  <c r="I877" i="1"/>
  <c r="G877" i="1"/>
  <c r="E877" i="1"/>
  <c r="C877" i="1"/>
  <c r="I876" i="1"/>
  <c r="G876" i="1"/>
  <c r="E876" i="1"/>
  <c r="C876" i="1"/>
  <c r="I875" i="1"/>
  <c r="G875" i="1"/>
  <c r="E875" i="1"/>
  <c r="C875" i="1"/>
  <c r="I874" i="1"/>
  <c r="G874" i="1"/>
  <c r="E874" i="1"/>
  <c r="C874" i="1"/>
  <c r="I873" i="1"/>
  <c r="G873" i="1"/>
  <c r="E873" i="1"/>
  <c r="C873" i="1"/>
  <c r="I872" i="1"/>
  <c r="G872" i="1"/>
  <c r="E872" i="1"/>
  <c r="C872" i="1"/>
  <c r="I871" i="1"/>
  <c r="G871" i="1"/>
  <c r="E871" i="1"/>
  <c r="C871" i="1"/>
  <c r="I870" i="1"/>
  <c r="G870" i="1"/>
  <c r="E870" i="1"/>
  <c r="C870" i="1"/>
  <c r="I869" i="1"/>
  <c r="G869" i="1"/>
  <c r="E869" i="1"/>
  <c r="C869" i="1"/>
  <c r="I868" i="1"/>
  <c r="G868" i="1"/>
  <c r="E868" i="1"/>
  <c r="C868" i="1"/>
  <c r="I867" i="1"/>
  <c r="G867" i="1"/>
  <c r="E867" i="1"/>
  <c r="C867" i="1"/>
  <c r="I866" i="1"/>
  <c r="G866" i="1"/>
  <c r="E866" i="1"/>
  <c r="C866" i="1"/>
  <c r="I865" i="1"/>
  <c r="G865" i="1"/>
  <c r="E865" i="1"/>
  <c r="C865" i="1"/>
  <c r="I864" i="1"/>
  <c r="G864" i="1"/>
  <c r="E864" i="1"/>
  <c r="C864" i="1"/>
  <c r="I863" i="1"/>
  <c r="G863" i="1"/>
  <c r="E863" i="1"/>
  <c r="C863" i="1"/>
  <c r="I862" i="1"/>
  <c r="G862" i="1"/>
  <c r="E862" i="1"/>
  <c r="C862" i="1"/>
  <c r="I861" i="1"/>
  <c r="G861" i="1"/>
  <c r="E861" i="1"/>
  <c r="C861" i="1"/>
  <c r="I860" i="1"/>
  <c r="G860" i="1"/>
  <c r="E860" i="1"/>
  <c r="C860" i="1"/>
  <c r="I859" i="1"/>
  <c r="G859" i="1"/>
  <c r="E859" i="1"/>
  <c r="C859" i="1"/>
  <c r="I858" i="1"/>
  <c r="G858" i="1"/>
  <c r="E858" i="1"/>
  <c r="C858" i="1"/>
  <c r="I857" i="1"/>
  <c r="G857" i="1"/>
  <c r="E857" i="1"/>
  <c r="C857" i="1"/>
  <c r="I856" i="1"/>
  <c r="G856" i="1"/>
  <c r="E856" i="1"/>
  <c r="C856" i="1"/>
  <c r="I855" i="1"/>
  <c r="G855" i="1"/>
  <c r="E855" i="1"/>
  <c r="C855" i="1"/>
  <c r="I854" i="1"/>
  <c r="G854" i="1"/>
  <c r="E854" i="1"/>
  <c r="C854" i="1"/>
  <c r="I853" i="1"/>
  <c r="G853" i="1"/>
  <c r="E853" i="1"/>
  <c r="C853" i="1"/>
  <c r="I852" i="1"/>
  <c r="G852" i="1"/>
  <c r="E852" i="1"/>
  <c r="C852" i="1"/>
  <c r="I851" i="1"/>
  <c r="G851" i="1"/>
  <c r="E851" i="1"/>
  <c r="C851" i="1"/>
  <c r="I850" i="1"/>
  <c r="G850" i="1"/>
  <c r="E850" i="1"/>
  <c r="C850" i="1"/>
  <c r="I849" i="1"/>
  <c r="G849" i="1"/>
  <c r="E849" i="1"/>
  <c r="C849" i="1"/>
  <c r="I848" i="1"/>
  <c r="G848" i="1"/>
  <c r="E848" i="1"/>
  <c r="C848" i="1"/>
  <c r="I847" i="1"/>
  <c r="G847" i="1"/>
  <c r="E847" i="1"/>
  <c r="C847" i="1"/>
  <c r="I846" i="1"/>
  <c r="G846" i="1"/>
  <c r="E846" i="1"/>
  <c r="C846" i="1"/>
  <c r="I845" i="1"/>
  <c r="G845" i="1"/>
  <c r="E845" i="1"/>
  <c r="C845" i="1"/>
  <c r="I844" i="1"/>
  <c r="G844" i="1"/>
  <c r="E844" i="1"/>
  <c r="C844" i="1"/>
  <c r="I843" i="1"/>
  <c r="G843" i="1"/>
  <c r="E843" i="1"/>
  <c r="C843" i="1"/>
  <c r="I842" i="1"/>
  <c r="G842" i="1"/>
  <c r="E842" i="1"/>
  <c r="C842" i="1"/>
  <c r="I841" i="1"/>
  <c r="G841" i="1"/>
  <c r="E841" i="1"/>
  <c r="C841" i="1"/>
  <c r="I840" i="1"/>
  <c r="G840" i="1"/>
  <c r="E840" i="1"/>
  <c r="C840" i="1"/>
  <c r="I839" i="1"/>
  <c r="G839" i="1"/>
  <c r="E839" i="1"/>
  <c r="C839" i="1"/>
  <c r="I838" i="1"/>
  <c r="G838" i="1"/>
  <c r="E838" i="1"/>
  <c r="C838" i="1"/>
  <c r="I837" i="1"/>
  <c r="G837" i="1"/>
  <c r="E837" i="1"/>
  <c r="C837" i="1"/>
  <c r="I836" i="1"/>
  <c r="G836" i="1"/>
  <c r="E836" i="1"/>
  <c r="C836" i="1"/>
  <c r="I835" i="1"/>
  <c r="G835" i="1"/>
  <c r="E835" i="1"/>
  <c r="C835" i="1"/>
  <c r="I834" i="1"/>
  <c r="G834" i="1"/>
  <c r="E834" i="1"/>
  <c r="C834" i="1"/>
  <c r="I833" i="1"/>
  <c r="G833" i="1"/>
  <c r="E833" i="1"/>
  <c r="C833" i="1"/>
  <c r="I832" i="1"/>
  <c r="G832" i="1"/>
  <c r="E832" i="1"/>
  <c r="C832" i="1"/>
  <c r="I831" i="1"/>
  <c r="G831" i="1"/>
  <c r="E831" i="1"/>
  <c r="C831" i="1"/>
  <c r="I830" i="1"/>
  <c r="G830" i="1"/>
  <c r="E830" i="1"/>
  <c r="C830" i="1"/>
  <c r="I829" i="1"/>
  <c r="G829" i="1"/>
  <c r="E829" i="1"/>
  <c r="C829" i="1"/>
  <c r="I828" i="1"/>
  <c r="G828" i="1"/>
  <c r="E828" i="1"/>
  <c r="C828" i="1"/>
  <c r="I827" i="1"/>
  <c r="G827" i="1"/>
  <c r="E827" i="1"/>
  <c r="C827" i="1"/>
  <c r="I826" i="1"/>
  <c r="G826" i="1"/>
  <c r="E826" i="1"/>
  <c r="C826" i="1"/>
  <c r="I825" i="1"/>
  <c r="G825" i="1"/>
  <c r="E825" i="1"/>
  <c r="C825" i="1"/>
  <c r="I824" i="1"/>
  <c r="G824" i="1"/>
  <c r="E824" i="1"/>
  <c r="C824" i="1"/>
  <c r="I823" i="1"/>
  <c r="G823" i="1"/>
  <c r="E823" i="1"/>
  <c r="C823" i="1"/>
  <c r="I822" i="1"/>
  <c r="G822" i="1"/>
  <c r="E822" i="1"/>
  <c r="C822" i="1"/>
  <c r="I821" i="1"/>
  <c r="G821" i="1"/>
  <c r="E821" i="1"/>
  <c r="C821" i="1"/>
  <c r="I820" i="1"/>
  <c r="G820" i="1"/>
  <c r="E820" i="1"/>
  <c r="C820" i="1"/>
  <c r="I819" i="1"/>
  <c r="G819" i="1"/>
  <c r="E819" i="1"/>
  <c r="C819" i="1"/>
  <c r="I818" i="1"/>
  <c r="G818" i="1"/>
  <c r="E818" i="1"/>
  <c r="C818" i="1"/>
  <c r="I817" i="1"/>
  <c r="G817" i="1"/>
  <c r="E817" i="1"/>
  <c r="C817" i="1"/>
  <c r="I816" i="1"/>
  <c r="G816" i="1"/>
  <c r="E816" i="1"/>
  <c r="C816" i="1"/>
  <c r="I815" i="1"/>
  <c r="G815" i="1"/>
  <c r="E815" i="1"/>
  <c r="C815" i="1"/>
  <c r="I814" i="1"/>
  <c r="G814" i="1"/>
  <c r="E814" i="1"/>
  <c r="C814" i="1"/>
  <c r="I813" i="1"/>
  <c r="G813" i="1"/>
  <c r="E813" i="1"/>
  <c r="C813" i="1"/>
  <c r="I812" i="1"/>
  <c r="G812" i="1"/>
  <c r="E812" i="1"/>
  <c r="C812" i="1"/>
  <c r="I811" i="1"/>
  <c r="G811" i="1"/>
  <c r="E811" i="1"/>
  <c r="C811" i="1"/>
  <c r="I810" i="1"/>
  <c r="G810" i="1"/>
  <c r="E810" i="1"/>
  <c r="C810" i="1"/>
  <c r="I809" i="1"/>
  <c r="G809" i="1"/>
  <c r="E809" i="1"/>
  <c r="C809" i="1"/>
  <c r="I808" i="1"/>
  <c r="G808" i="1"/>
  <c r="E808" i="1"/>
  <c r="C808" i="1"/>
  <c r="I807" i="1"/>
  <c r="G807" i="1"/>
  <c r="E807" i="1"/>
  <c r="C807" i="1"/>
  <c r="I806" i="1"/>
  <c r="G806" i="1"/>
  <c r="E806" i="1"/>
  <c r="C806" i="1"/>
  <c r="I805" i="1"/>
  <c r="G805" i="1"/>
  <c r="E805" i="1"/>
  <c r="C805" i="1"/>
  <c r="I804" i="1"/>
  <c r="G804" i="1"/>
  <c r="E804" i="1"/>
  <c r="C804" i="1"/>
  <c r="I803" i="1"/>
  <c r="G803" i="1"/>
  <c r="E803" i="1"/>
  <c r="C803" i="1"/>
  <c r="I802" i="1"/>
  <c r="G802" i="1"/>
  <c r="E802" i="1"/>
  <c r="C802" i="1"/>
  <c r="I801" i="1"/>
  <c r="G801" i="1"/>
  <c r="E801" i="1"/>
  <c r="C801" i="1"/>
  <c r="I800" i="1"/>
  <c r="G800" i="1"/>
  <c r="E800" i="1"/>
  <c r="C800" i="1"/>
  <c r="I799" i="1"/>
  <c r="G799" i="1"/>
  <c r="E799" i="1"/>
  <c r="C799" i="1"/>
  <c r="I798" i="1"/>
  <c r="G798" i="1"/>
  <c r="E798" i="1"/>
  <c r="C798" i="1"/>
  <c r="I797" i="1"/>
  <c r="G797" i="1"/>
  <c r="E797" i="1"/>
  <c r="C797" i="1"/>
  <c r="I796" i="1"/>
  <c r="G796" i="1"/>
  <c r="E796" i="1"/>
  <c r="C796" i="1"/>
  <c r="I795" i="1"/>
  <c r="G795" i="1"/>
  <c r="E795" i="1"/>
  <c r="C795" i="1"/>
  <c r="I794" i="1"/>
  <c r="G794" i="1"/>
  <c r="E794" i="1"/>
  <c r="C794" i="1"/>
  <c r="I793" i="1"/>
  <c r="G793" i="1"/>
  <c r="E793" i="1"/>
  <c r="C793" i="1"/>
  <c r="I792" i="1"/>
  <c r="G792" i="1"/>
  <c r="E792" i="1"/>
  <c r="C792" i="1"/>
  <c r="I791" i="1"/>
  <c r="G791" i="1"/>
  <c r="E791" i="1"/>
  <c r="C791" i="1"/>
  <c r="I790" i="1"/>
  <c r="G790" i="1"/>
  <c r="E790" i="1"/>
  <c r="C790" i="1"/>
  <c r="I789" i="1"/>
  <c r="G789" i="1"/>
  <c r="E789" i="1"/>
  <c r="C789" i="1"/>
  <c r="I788" i="1"/>
  <c r="G788" i="1"/>
  <c r="E788" i="1"/>
  <c r="C788" i="1"/>
  <c r="I787" i="1"/>
  <c r="G787" i="1"/>
  <c r="E787" i="1"/>
  <c r="C787" i="1"/>
  <c r="I786" i="1"/>
  <c r="G786" i="1"/>
  <c r="E786" i="1"/>
  <c r="C786" i="1"/>
  <c r="I785" i="1"/>
  <c r="G785" i="1"/>
  <c r="E785" i="1"/>
  <c r="C785" i="1"/>
  <c r="I784" i="1"/>
  <c r="G784" i="1"/>
  <c r="E784" i="1"/>
  <c r="C784" i="1"/>
  <c r="I783" i="1"/>
  <c r="G783" i="1"/>
  <c r="E783" i="1"/>
  <c r="C783" i="1"/>
  <c r="I782" i="1"/>
  <c r="G782" i="1"/>
  <c r="E782" i="1"/>
  <c r="C782" i="1"/>
  <c r="I781" i="1"/>
  <c r="G781" i="1"/>
  <c r="E781" i="1"/>
  <c r="C781" i="1"/>
  <c r="I780" i="1"/>
  <c r="G780" i="1"/>
  <c r="E780" i="1"/>
  <c r="C780" i="1"/>
  <c r="I779" i="1"/>
  <c r="G779" i="1"/>
  <c r="E779" i="1"/>
  <c r="C779" i="1"/>
  <c r="I778" i="1"/>
  <c r="G778" i="1"/>
  <c r="E778" i="1"/>
  <c r="C778" i="1"/>
  <c r="I777" i="1"/>
  <c r="G777" i="1"/>
  <c r="E777" i="1"/>
  <c r="C777" i="1"/>
  <c r="I776" i="1"/>
  <c r="G776" i="1"/>
  <c r="E776" i="1"/>
  <c r="C776" i="1"/>
  <c r="I775" i="1"/>
  <c r="G775" i="1"/>
  <c r="E775" i="1"/>
  <c r="C775" i="1"/>
  <c r="I774" i="1"/>
  <c r="G774" i="1"/>
  <c r="E774" i="1"/>
  <c r="C774" i="1"/>
  <c r="I773" i="1"/>
  <c r="G773" i="1"/>
  <c r="E773" i="1"/>
  <c r="C773" i="1"/>
  <c r="I772" i="1"/>
  <c r="G772" i="1"/>
  <c r="E772" i="1"/>
  <c r="C772" i="1"/>
  <c r="I771" i="1"/>
  <c r="G771" i="1"/>
  <c r="E771" i="1"/>
  <c r="C771" i="1"/>
  <c r="I770" i="1"/>
  <c r="G770" i="1"/>
  <c r="E770" i="1"/>
  <c r="C770" i="1"/>
  <c r="I769" i="1"/>
  <c r="G769" i="1"/>
  <c r="E769" i="1"/>
  <c r="C769" i="1"/>
  <c r="I768" i="1"/>
  <c r="G768" i="1"/>
  <c r="E768" i="1"/>
  <c r="C768" i="1"/>
  <c r="I767" i="1"/>
  <c r="G767" i="1"/>
  <c r="E767" i="1"/>
  <c r="C767" i="1"/>
  <c r="I766" i="1"/>
  <c r="G766" i="1"/>
  <c r="E766" i="1"/>
  <c r="C766" i="1"/>
  <c r="I765" i="1"/>
  <c r="G765" i="1"/>
  <c r="E765" i="1"/>
  <c r="C765" i="1"/>
  <c r="I764" i="1"/>
  <c r="G764" i="1"/>
  <c r="E764" i="1"/>
  <c r="C764" i="1"/>
  <c r="I763" i="1"/>
  <c r="G763" i="1"/>
  <c r="E763" i="1"/>
  <c r="C763" i="1"/>
  <c r="I762" i="1"/>
  <c r="G762" i="1"/>
  <c r="E762" i="1"/>
  <c r="C762" i="1"/>
  <c r="I761" i="1"/>
  <c r="G761" i="1"/>
  <c r="E761" i="1"/>
  <c r="C761" i="1"/>
  <c r="I760" i="1"/>
  <c r="G760" i="1"/>
  <c r="E760" i="1"/>
  <c r="C760" i="1"/>
  <c r="I759" i="1"/>
  <c r="G759" i="1"/>
  <c r="E759" i="1"/>
  <c r="C759" i="1"/>
  <c r="I758" i="1"/>
  <c r="G758" i="1"/>
  <c r="E758" i="1"/>
  <c r="C758" i="1"/>
  <c r="I757" i="1"/>
  <c r="G757" i="1"/>
  <c r="E757" i="1"/>
  <c r="C757" i="1"/>
  <c r="I756" i="1"/>
  <c r="G756" i="1"/>
  <c r="E756" i="1"/>
  <c r="C756" i="1"/>
  <c r="I755" i="1"/>
  <c r="G755" i="1"/>
  <c r="E755" i="1"/>
  <c r="C755" i="1"/>
  <c r="I754" i="1"/>
  <c r="G754" i="1"/>
  <c r="E754" i="1"/>
  <c r="C754" i="1"/>
  <c r="I753" i="1"/>
  <c r="G753" i="1"/>
  <c r="E753" i="1"/>
  <c r="C753" i="1"/>
  <c r="I752" i="1"/>
  <c r="G752" i="1"/>
  <c r="E752" i="1"/>
  <c r="C752" i="1"/>
  <c r="I751" i="1"/>
  <c r="G751" i="1"/>
  <c r="E751" i="1"/>
  <c r="C751" i="1"/>
  <c r="I750" i="1"/>
  <c r="G750" i="1"/>
  <c r="E750" i="1"/>
  <c r="C750" i="1"/>
  <c r="I749" i="1"/>
  <c r="G749" i="1"/>
  <c r="E749" i="1"/>
  <c r="C749" i="1"/>
  <c r="I748" i="1"/>
  <c r="G748" i="1"/>
  <c r="E748" i="1"/>
  <c r="C748" i="1"/>
  <c r="I747" i="1"/>
  <c r="G747" i="1"/>
  <c r="E747" i="1"/>
  <c r="C747" i="1"/>
  <c r="I746" i="1"/>
  <c r="G746" i="1"/>
  <c r="E746" i="1"/>
  <c r="C746" i="1"/>
  <c r="I745" i="1"/>
  <c r="G745" i="1"/>
  <c r="E745" i="1"/>
  <c r="C745" i="1"/>
  <c r="I744" i="1"/>
  <c r="G744" i="1"/>
  <c r="E744" i="1"/>
  <c r="C744" i="1"/>
  <c r="I743" i="1"/>
  <c r="G743" i="1"/>
  <c r="E743" i="1"/>
  <c r="C743" i="1"/>
  <c r="I742" i="1"/>
  <c r="G742" i="1"/>
  <c r="E742" i="1"/>
  <c r="C742" i="1"/>
  <c r="I741" i="1"/>
  <c r="G741" i="1"/>
  <c r="E741" i="1"/>
  <c r="C741" i="1"/>
  <c r="I740" i="1"/>
  <c r="G740" i="1"/>
  <c r="E740" i="1"/>
  <c r="C740" i="1"/>
  <c r="I739" i="1"/>
  <c r="G739" i="1"/>
  <c r="E739" i="1"/>
  <c r="C739" i="1"/>
  <c r="I738" i="1"/>
  <c r="G738" i="1"/>
  <c r="E738" i="1"/>
  <c r="C738" i="1"/>
  <c r="I737" i="1"/>
  <c r="G737" i="1"/>
  <c r="E737" i="1"/>
  <c r="C737" i="1"/>
  <c r="I736" i="1"/>
  <c r="G736" i="1"/>
  <c r="E736" i="1"/>
  <c r="C736" i="1"/>
  <c r="I735" i="1"/>
  <c r="G735" i="1"/>
  <c r="E735" i="1"/>
  <c r="C735" i="1"/>
  <c r="I734" i="1"/>
  <c r="G734" i="1"/>
  <c r="E734" i="1"/>
  <c r="C734" i="1"/>
  <c r="I733" i="1"/>
  <c r="G733" i="1"/>
  <c r="E733" i="1"/>
  <c r="C733" i="1"/>
  <c r="I732" i="1"/>
  <c r="G732" i="1"/>
  <c r="E732" i="1"/>
  <c r="C732" i="1"/>
  <c r="I731" i="1"/>
  <c r="G731" i="1"/>
  <c r="E731" i="1"/>
  <c r="C731" i="1"/>
  <c r="I730" i="1"/>
  <c r="G730" i="1"/>
  <c r="E730" i="1"/>
  <c r="C730" i="1"/>
  <c r="I729" i="1"/>
  <c r="G729" i="1"/>
  <c r="E729" i="1"/>
  <c r="C729" i="1"/>
  <c r="I728" i="1"/>
  <c r="G728" i="1"/>
  <c r="E728" i="1"/>
  <c r="C728" i="1"/>
  <c r="I727" i="1"/>
  <c r="G727" i="1"/>
  <c r="E727" i="1"/>
  <c r="C727" i="1"/>
  <c r="I726" i="1"/>
  <c r="G726" i="1"/>
  <c r="E726" i="1"/>
  <c r="C726" i="1"/>
  <c r="I725" i="1"/>
  <c r="G725" i="1"/>
  <c r="E725" i="1"/>
  <c r="C725" i="1"/>
  <c r="I724" i="1"/>
  <c r="G724" i="1"/>
  <c r="E724" i="1"/>
  <c r="C724" i="1"/>
  <c r="I723" i="1"/>
  <c r="G723" i="1"/>
  <c r="E723" i="1"/>
  <c r="C723" i="1"/>
  <c r="I722" i="1"/>
  <c r="G722" i="1"/>
  <c r="E722" i="1"/>
  <c r="C722" i="1"/>
  <c r="I721" i="1"/>
  <c r="G721" i="1"/>
  <c r="E721" i="1"/>
  <c r="C721" i="1"/>
  <c r="I720" i="1"/>
  <c r="G720" i="1"/>
  <c r="E720" i="1"/>
  <c r="C720" i="1"/>
  <c r="I719" i="1"/>
  <c r="G719" i="1"/>
  <c r="E719" i="1"/>
  <c r="C719" i="1"/>
  <c r="I718" i="1"/>
  <c r="G718" i="1"/>
  <c r="E718" i="1"/>
  <c r="C718" i="1"/>
  <c r="I717" i="1"/>
  <c r="G717" i="1"/>
  <c r="E717" i="1"/>
  <c r="C717" i="1"/>
  <c r="I716" i="1"/>
  <c r="G716" i="1"/>
  <c r="E716" i="1"/>
  <c r="C716" i="1"/>
  <c r="I715" i="1"/>
  <c r="G715" i="1"/>
  <c r="E715" i="1"/>
  <c r="C715" i="1"/>
  <c r="I714" i="1"/>
  <c r="G714" i="1"/>
  <c r="E714" i="1"/>
  <c r="C714" i="1"/>
  <c r="I713" i="1"/>
  <c r="G713" i="1"/>
  <c r="E713" i="1"/>
  <c r="C713" i="1"/>
  <c r="I712" i="1"/>
  <c r="G712" i="1"/>
  <c r="E712" i="1"/>
  <c r="C712" i="1"/>
  <c r="I711" i="1"/>
  <c r="G711" i="1"/>
  <c r="E711" i="1"/>
  <c r="C711" i="1"/>
  <c r="I710" i="1"/>
  <c r="G710" i="1"/>
  <c r="E710" i="1"/>
  <c r="C710" i="1"/>
  <c r="I709" i="1"/>
  <c r="G709" i="1"/>
  <c r="E709" i="1"/>
  <c r="C709" i="1"/>
  <c r="I708" i="1"/>
  <c r="G708" i="1"/>
  <c r="E708" i="1"/>
  <c r="C708" i="1"/>
  <c r="I707" i="1"/>
  <c r="G707" i="1"/>
  <c r="E707" i="1"/>
  <c r="C707" i="1"/>
  <c r="I706" i="1"/>
  <c r="G706" i="1"/>
  <c r="E706" i="1"/>
  <c r="C706" i="1"/>
  <c r="I705" i="1"/>
  <c r="G705" i="1"/>
  <c r="E705" i="1"/>
  <c r="C705" i="1"/>
  <c r="I704" i="1"/>
  <c r="G704" i="1"/>
  <c r="E704" i="1"/>
  <c r="C704" i="1"/>
  <c r="I703" i="1"/>
  <c r="G703" i="1"/>
  <c r="E703" i="1"/>
  <c r="C703" i="1"/>
  <c r="I702" i="1"/>
  <c r="G702" i="1"/>
  <c r="E702" i="1"/>
  <c r="C702" i="1"/>
  <c r="I701" i="1"/>
  <c r="G701" i="1"/>
  <c r="E701" i="1"/>
  <c r="C701" i="1"/>
  <c r="I700" i="1"/>
  <c r="G700" i="1"/>
  <c r="E700" i="1"/>
  <c r="C700" i="1"/>
  <c r="I699" i="1"/>
  <c r="G699" i="1"/>
  <c r="E699" i="1"/>
  <c r="C699" i="1"/>
  <c r="I698" i="1"/>
  <c r="G698" i="1"/>
  <c r="E698" i="1"/>
  <c r="C698" i="1"/>
  <c r="I697" i="1"/>
  <c r="G697" i="1"/>
  <c r="E697" i="1"/>
  <c r="C697" i="1"/>
  <c r="I696" i="1"/>
  <c r="G696" i="1"/>
  <c r="E696" i="1"/>
  <c r="C696" i="1"/>
  <c r="I695" i="1"/>
  <c r="G695" i="1"/>
  <c r="E695" i="1"/>
  <c r="C695" i="1"/>
  <c r="I694" i="1"/>
  <c r="G694" i="1"/>
  <c r="E694" i="1"/>
  <c r="C694" i="1"/>
  <c r="I693" i="1"/>
  <c r="G693" i="1"/>
  <c r="E693" i="1"/>
  <c r="C693" i="1"/>
  <c r="I692" i="1"/>
  <c r="G692" i="1"/>
  <c r="E692" i="1"/>
  <c r="C692" i="1"/>
  <c r="I691" i="1"/>
  <c r="G691" i="1"/>
  <c r="E691" i="1"/>
  <c r="C691" i="1"/>
  <c r="I690" i="1"/>
  <c r="G690" i="1"/>
  <c r="E690" i="1"/>
  <c r="C690" i="1"/>
  <c r="I689" i="1"/>
  <c r="G689" i="1"/>
  <c r="E689" i="1"/>
  <c r="C689" i="1"/>
  <c r="I688" i="1"/>
  <c r="G688" i="1"/>
  <c r="E688" i="1"/>
  <c r="C688" i="1"/>
  <c r="I687" i="1"/>
  <c r="G687" i="1"/>
  <c r="E687" i="1"/>
  <c r="C687" i="1"/>
  <c r="I686" i="1"/>
  <c r="G686" i="1"/>
  <c r="E686" i="1"/>
  <c r="C686" i="1"/>
  <c r="I685" i="1"/>
  <c r="G685" i="1"/>
  <c r="E685" i="1"/>
  <c r="C685" i="1"/>
  <c r="I684" i="1"/>
  <c r="G684" i="1"/>
  <c r="E684" i="1"/>
  <c r="C684" i="1"/>
  <c r="I683" i="1"/>
  <c r="G683" i="1"/>
  <c r="E683" i="1"/>
  <c r="C683" i="1"/>
  <c r="I682" i="1"/>
  <c r="G682" i="1"/>
  <c r="E682" i="1"/>
  <c r="C682" i="1"/>
  <c r="I681" i="1"/>
  <c r="G681" i="1"/>
  <c r="E681" i="1"/>
  <c r="C681" i="1"/>
  <c r="I680" i="1"/>
  <c r="G680" i="1"/>
  <c r="E680" i="1"/>
  <c r="C680" i="1"/>
  <c r="I679" i="1"/>
  <c r="G679" i="1"/>
  <c r="E679" i="1"/>
  <c r="C679" i="1"/>
  <c r="I678" i="1"/>
  <c r="G678" i="1"/>
  <c r="E678" i="1"/>
  <c r="C678" i="1"/>
  <c r="I677" i="1"/>
  <c r="G677" i="1"/>
  <c r="E677" i="1"/>
  <c r="C677" i="1"/>
  <c r="I676" i="1"/>
  <c r="G676" i="1"/>
  <c r="E676" i="1"/>
  <c r="C676" i="1"/>
  <c r="I675" i="1"/>
  <c r="G675" i="1"/>
  <c r="E675" i="1"/>
  <c r="C675" i="1"/>
  <c r="I674" i="1"/>
  <c r="G674" i="1"/>
  <c r="E674" i="1"/>
  <c r="C674" i="1"/>
  <c r="I673" i="1"/>
  <c r="G673" i="1"/>
  <c r="E673" i="1"/>
  <c r="C673" i="1"/>
  <c r="I672" i="1"/>
  <c r="G672" i="1"/>
  <c r="E672" i="1"/>
  <c r="C672" i="1"/>
  <c r="I671" i="1"/>
  <c r="G671" i="1"/>
  <c r="E671" i="1"/>
  <c r="C671" i="1"/>
  <c r="I670" i="1"/>
  <c r="G670" i="1"/>
  <c r="E670" i="1"/>
  <c r="C670" i="1"/>
  <c r="I669" i="1"/>
  <c r="G669" i="1"/>
  <c r="E669" i="1"/>
  <c r="C669" i="1"/>
  <c r="I668" i="1"/>
  <c r="G668" i="1"/>
  <c r="E668" i="1"/>
  <c r="C668" i="1"/>
  <c r="I667" i="1"/>
  <c r="G667" i="1"/>
  <c r="E667" i="1"/>
  <c r="C667" i="1"/>
  <c r="I666" i="1"/>
  <c r="G666" i="1"/>
  <c r="E666" i="1"/>
  <c r="C666" i="1"/>
  <c r="I665" i="1"/>
  <c r="G665" i="1"/>
  <c r="E665" i="1"/>
  <c r="C665" i="1"/>
  <c r="I664" i="1"/>
  <c r="G664" i="1"/>
  <c r="E664" i="1"/>
  <c r="C664" i="1"/>
  <c r="I663" i="1"/>
  <c r="G663" i="1"/>
  <c r="E663" i="1"/>
  <c r="C663" i="1"/>
  <c r="I662" i="1"/>
  <c r="G662" i="1"/>
  <c r="E662" i="1"/>
  <c r="C662" i="1"/>
  <c r="I661" i="1"/>
  <c r="G661" i="1"/>
  <c r="E661" i="1"/>
  <c r="C661" i="1"/>
  <c r="I660" i="1"/>
  <c r="G660" i="1"/>
  <c r="E660" i="1"/>
  <c r="C660" i="1"/>
  <c r="I659" i="1"/>
  <c r="G659" i="1"/>
  <c r="E659" i="1"/>
  <c r="C659" i="1"/>
  <c r="I658" i="1"/>
  <c r="G658" i="1"/>
  <c r="E658" i="1"/>
  <c r="C658" i="1"/>
  <c r="I657" i="1"/>
  <c r="G657" i="1"/>
  <c r="E657" i="1"/>
  <c r="C657" i="1"/>
  <c r="I656" i="1"/>
  <c r="G656" i="1"/>
  <c r="E656" i="1"/>
  <c r="C656" i="1"/>
  <c r="I655" i="1"/>
  <c r="G655" i="1"/>
  <c r="E655" i="1"/>
  <c r="C655" i="1"/>
  <c r="I654" i="1"/>
  <c r="G654" i="1"/>
  <c r="E654" i="1"/>
  <c r="C654" i="1"/>
  <c r="I653" i="1"/>
  <c r="G653" i="1"/>
  <c r="E653" i="1"/>
  <c r="C653" i="1"/>
  <c r="I652" i="1"/>
  <c r="G652" i="1"/>
  <c r="E652" i="1"/>
  <c r="C652" i="1"/>
  <c r="I651" i="1"/>
  <c r="G651" i="1"/>
  <c r="E651" i="1"/>
  <c r="C651" i="1"/>
  <c r="I650" i="1"/>
  <c r="G650" i="1"/>
  <c r="E650" i="1"/>
  <c r="C650" i="1"/>
  <c r="I649" i="1"/>
  <c r="G649" i="1"/>
  <c r="E649" i="1"/>
  <c r="C649" i="1"/>
  <c r="I648" i="1"/>
  <c r="G648" i="1"/>
  <c r="E648" i="1"/>
  <c r="C648" i="1"/>
  <c r="I647" i="1"/>
  <c r="G647" i="1"/>
  <c r="E647" i="1"/>
  <c r="C647" i="1"/>
  <c r="I646" i="1"/>
  <c r="G646" i="1"/>
  <c r="E646" i="1"/>
  <c r="C646" i="1"/>
  <c r="I645" i="1"/>
  <c r="G645" i="1"/>
  <c r="E645" i="1"/>
  <c r="C645" i="1"/>
  <c r="I644" i="1"/>
  <c r="G644" i="1"/>
  <c r="E644" i="1"/>
  <c r="C644" i="1"/>
  <c r="I643" i="1"/>
  <c r="G643" i="1"/>
  <c r="E643" i="1"/>
  <c r="C643" i="1"/>
  <c r="I642" i="1"/>
  <c r="G642" i="1"/>
  <c r="E642" i="1"/>
  <c r="C642" i="1"/>
  <c r="I641" i="1"/>
  <c r="G641" i="1"/>
  <c r="E641" i="1"/>
  <c r="C641" i="1"/>
  <c r="I640" i="1"/>
  <c r="G640" i="1"/>
  <c r="E640" i="1"/>
  <c r="C640" i="1"/>
  <c r="I639" i="1"/>
  <c r="G639" i="1"/>
  <c r="E639" i="1"/>
  <c r="C639" i="1"/>
  <c r="I638" i="1"/>
  <c r="G638" i="1"/>
  <c r="E638" i="1"/>
  <c r="C638" i="1"/>
  <c r="I637" i="1"/>
  <c r="G637" i="1"/>
  <c r="E637" i="1"/>
  <c r="C637" i="1"/>
  <c r="I636" i="1"/>
  <c r="G636" i="1"/>
  <c r="E636" i="1"/>
  <c r="C636" i="1"/>
  <c r="I635" i="1"/>
  <c r="G635" i="1"/>
  <c r="E635" i="1"/>
  <c r="C635" i="1"/>
  <c r="I634" i="1"/>
  <c r="G634" i="1"/>
  <c r="E634" i="1"/>
  <c r="C634" i="1"/>
  <c r="I633" i="1"/>
  <c r="G633" i="1"/>
  <c r="E633" i="1"/>
  <c r="C633" i="1"/>
  <c r="I632" i="1"/>
  <c r="G632" i="1"/>
  <c r="E632" i="1"/>
  <c r="C632" i="1"/>
  <c r="I631" i="1"/>
  <c r="G631" i="1"/>
  <c r="E631" i="1"/>
  <c r="C631" i="1"/>
  <c r="I630" i="1"/>
  <c r="G630" i="1"/>
  <c r="E630" i="1"/>
  <c r="C630" i="1"/>
  <c r="I629" i="1"/>
  <c r="G629" i="1"/>
  <c r="E629" i="1"/>
  <c r="C629" i="1"/>
  <c r="I628" i="1"/>
  <c r="G628" i="1"/>
  <c r="E628" i="1"/>
  <c r="C628" i="1"/>
  <c r="I627" i="1"/>
  <c r="G627" i="1"/>
  <c r="E627" i="1"/>
  <c r="C627" i="1"/>
  <c r="I626" i="1"/>
  <c r="G626" i="1"/>
  <c r="E626" i="1"/>
  <c r="C626" i="1"/>
  <c r="I625" i="1"/>
  <c r="G625" i="1"/>
  <c r="E625" i="1"/>
  <c r="C625" i="1"/>
  <c r="I624" i="1"/>
  <c r="G624" i="1"/>
  <c r="E624" i="1"/>
  <c r="C624" i="1"/>
  <c r="I623" i="1"/>
  <c r="G623" i="1"/>
  <c r="E623" i="1"/>
  <c r="C623" i="1"/>
  <c r="I622" i="1"/>
  <c r="G622" i="1"/>
  <c r="E622" i="1"/>
  <c r="C622" i="1"/>
  <c r="I621" i="1"/>
  <c r="G621" i="1"/>
  <c r="E621" i="1"/>
  <c r="C621" i="1"/>
  <c r="I620" i="1"/>
  <c r="G620" i="1"/>
  <c r="E620" i="1"/>
  <c r="C620" i="1"/>
  <c r="I619" i="1"/>
  <c r="G619" i="1"/>
  <c r="E619" i="1"/>
  <c r="C619" i="1"/>
  <c r="I618" i="1"/>
  <c r="G618" i="1"/>
  <c r="E618" i="1"/>
  <c r="C618" i="1"/>
  <c r="I617" i="1"/>
  <c r="G617" i="1"/>
  <c r="E617" i="1"/>
  <c r="C617" i="1"/>
  <c r="I616" i="1"/>
  <c r="G616" i="1"/>
  <c r="E616" i="1"/>
  <c r="C616" i="1"/>
  <c r="I615" i="1"/>
  <c r="G615" i="1"/>
  <c r="E615" i="1"/>
  <c r="C615" i="1"/>
  <c r="I614" i="1"/>
  <c r="G614" i="1"/>
  <c r="E614" i="1"/>
  <c r="C614" i="1"/>
  <c r="I613" i="1"/>
  <c r="G613" i="1"/>
  <c r="E613" i="1"/>
  <c r="C613" i="1"/>
  <c r="I612" i="1"/>
  <c r="G612" i="1"/>
  <c r="E612" i="1"/>
  <c r="C612" i="1"/>
  <c r="I611" i="1"/>
  <c r="G611" i="1"/>
  <c r="E611" i="1"/>
  <c r="C611" i="1"/>
  <c r="I610" i="1"/>
  <c r="G610" i="1"/>
  <c r="E610" i="1"/>
  <c r="C610" i="1"/>
  <c r="I609" i="1"/>
  <c r="G609" i="1"/>
  <c r="E609" i="1"/>
  <c r="C609" i="1"/>
  <c r="I608" i="1"/>
  <c r="G608" i="1"/>
  <c r="E608" i="1"/>
  <c r="C608" i="1"/>
  <c r="I607" i="1"/>
  <c r="G607" i="1"/>
  <c r="E607" i="1"/>
  <c r="C607" i="1"/>
  <c r="I606" i="1"/>
  <c r="G606" i="1"/>
  <c r="E606" i="1"/>
  <c r="C606" i="1"/>
  <c r="I605" i="1"/>
  <c r="G605" i="1"/>
  <c r="E605" i="1"/>
  <c r="C605" i="1"/>
  <c r="I604" i="1"/>
  <c r="G604" i="1"/>
  <c r="E604" i="1"/>
  <c r="C604" i="1"/>
  <c r="I603" i="1"/>
  <c r="G603" i="1"/>
  <c r="E603" i="1"/>
  <c r="C603" i="1"/>
  <c r="I602" i="1"/>
  <c r="G602" i="1"/>
  <c r="E602" i="1"/>
  <c r="C602" i="1"/>
  <c r="I601" i="1"/>
  <c r="G601" i="1"/>
  <c r="E601" i="1"/>
  <c r="C601" i="1"/>
  <c r="I600" i="1"/>
  <c r="G600" i="1"/>
  <c r="E600" i="1"/>
  <c r="C600" i="1"/>
  <c r="I599" i="1"/>
  <c r="G599" i="1"/>
  <c r="E599" i="1"/>
  <c r="C599" i="1"/>
  <c r="I598" i="1"/>
  <c r="G598" i="1"/>
  <c r="E598" i="1"/>
  <c r="C598" i="1"/>
  <c r="I597" i="1"/>
  <c r="G597" i="1"/>
  <c r="E597" i="1"/>
  <c r="C597" i="1"/>
  <c r="I596" i="1"/>
  <c r="G596" i="1"/>
  <c r="E596" i="1"/>
  <c r="C596" i="1"/>
  <c r="I595" i="1"/>
  <c r="G595" i="1"/>
  <c r="E595" i="1"/>
  <c r="C595" i="1"/>
  <c r="I594" i="1"/>
  <c r="G594" i="1"/>
  <c r="E594" i="1"/>
  <c r="C594" i="1"/>
  <c r="I593" i="1"/>
  <c r="G593" i="1"/>
  <c r="E593" i="1"/>
  <c r="C593" i="1"/>
  <c r="I592" i="1"/>
  <c r="G592" i="1"/>
  <c r="E592" i="1"/>
  <c r="C592" i="1"/>
  <c r="I591" i="1"/>
  <c r="G591" i="1"/>
  <c r="E591" i="1"/>
  <c r="C591" i="1"/>
  <c r="I590" i="1"/>
  <c r="G590" i="1"/>
  <c r="E590" i="1"/>
  <c r="C590" i="1"/>
  <c r="I589" i="1"/>
  <c r="G589" i="1"/>
  <c r="E589" i="1"/>
  <c r="C589" i="1"/>
  <c r="I588" i="1"/>
  <c r="G588" i="1"/>
  <c r="E588" i="1"/>
  <c r="C588" i="1"/>
  <c r="I587" i="1"/>
  <c r="G587" i="1"/>
  <c r="E587" i="1"/>
  <c r="C587" i="1"/>
  <c r="I586" i="1"/>
  <c r="G586" i="1"/>
  <c r="E586" i="1"/>
  <c r="C586" i="1"/>
  <c r="I585" i="1"/>
  <c r="G585" i="1"/>
  <c r="E585" i="1"/>
  <c r="C585" i="1"/>
  <c r="I584" i="1"/>
  <c r="G584" i="1"/>
  <c r="E584" i="1"/>
  <c r="C584" i="1"/>
  <c r="I583" i="1"/>
  <c r="G583" i="1"/>
  <c r="E583" i="1"/>
  <c r="C583" i="1"/>
  <c r="I582" i="1"/>
  <c r="G582" i="1"/>
  <c r="E582" i="1"/>
  <c r="C582" i="1"/>
  <c r="I581" i="1"/>
  <c r="G581" i="1"/>
  <c r="E581" i="1"/>
  <c r="C581" i="1"/>
  <c r="I580" i="1"/>
  <c r="G580" i="1"/>
  <c r="E580" i="1"/>
  <c r="C580" i="1"/>
  <c r="I579" i="1"/>
  <c r="G579" i="1"/>
  <c r="E579" i="1"/>
  <c r="C579" i="1"/>
  <c r="I578" i="1"/>
  <c r="G578" i="1"/>
  <c r="E578" i="1"/>
  <c r="C578" i="1"/>
  <c r="I577" i="1"/>
  <c r="G577" i="1"/>
  <c r="E577" i="1"/>
  <c r="C577" i="1"/>
  <c r="I576" i="1"/>
  <c r="G576" i="1"/>
  <c r="E576" i="1"/>
  <c r="C576" i="1"/>
  <c r="I575" i="1"/>
  <c r="G575" i="1"/>
  <c r="E575" i="1"/>
  <c r="C575" i="1"/>
  <c r="I574" i="1"/>
  <c r="G574" i="1"/>
  <c r="E574" i="1"/>
  <c r="C574" i="1"/>
  <c r="I573" i="1"/>
  <c r="G573" i="1"/>
  <c r="E573" i="1"/>
  <c r="C573" i="1"/>
  <c r="I572" i="1"/>
  <c r="G572" i="1"/>
  <c r="E572" i="1"/>
  <c r="C572" i="1"/>
  <c r="I571" i="1"/>
  <c r="G571" i="1"/>
  <c r="E571" i="1"/>
  <c r="C571" i="1"/>
  <c r="I570" i="1"/>
  <c r="G570" i="1"/>
  <c r="E570" i="1"/>
  <c r="C570" i="1"/>
  <c r="I569" i="1"/>
  <c r="G569" i="1"/>
  <c r="E569" i="1"/>
  <c r="C569" i="1"/>
  <c r="I568" i="1"/>
  <c r="G568" i="1"/>
  <c r="E568" i="1"/>
  <c r="C568" i="1"/>
  <c r="I567" i="1"/>
  <c r="G567" i="1"/>
  <c r="E567" i="1"/>
  <c r="C567" i="1"/>
  <c r="I566" i="1"/>
  <c r="G566" i="1"/>
  <c r="E566" i="1"/>
  <c r="C566" i="1"/>
  <c r="I565" i="1"/>
  <c r="G565" i="1"/>
  <c r="E565" i="1"/>
  <c r="C565" i="1"/>
  <c r="I564" i="1"/>
  <c r="G564" i="1"/>
  <c r="E564" i="1"/>
  <c r="C564" i="1"/>
  <c r="I563" i="1"/>
  <c r="G563" i="1"/>
  <c r="E563" i="1"/>
  <c r="C563" i="1"/>
  <c r="I562" i="1"/>
  <c r="G562" i="1"/>
  <c r="E562" i="1"/>
  <c r="C562" i="1"/>
  <c r="I561" i="1"/>
  <c r="G561" i="1"/>
  <c r="E561" i="1"/>
  <c r="C561" i="1"/>
  <c r="I560" i="1"/>
  <c r="G560" i="1"/>
  <c r="E560" i="1"/>
  <c r="C560" i="1"/>
  <c r="I559" i="1"/>
  <c r="G559" i="1"/>
  <c r="E559" i="1"/>
  <c r="C559" i="1"/>
  <c r="I558" i="1"/>
  <c r="G558" i="1"/>
  <c r="E558" i="1"/>
  <c r="C558" i="1"/>
  <c r="I557" i="1"/>
  <c r="G557" i="1"/>
  <c r="E557" i="1"/>
  <c r="C557" i="1"/>
  <c r="I556" i="1"/>
  <c r="G556" i="1"/>
  <c r="E556" i="1"/>
  <c r="C556" i="1"/>
  <c r="I555" i="1"/>
  <c r="G555" i="1"/>
  <c r="E555" i="1"/>
  <c r="C555" i="1"/>
  <c r="I554" i="1"/>
  <c r="G554" i="1"/>
  <c r="E554" i="1"/>
  <c r="C554" i="1"/>
  <c r="I553" i="1"/>
  <c r="G553" i="1"/>
  <c r="E553" i="1"/>
  <c r="C553" i="1"/>
  <c r="I552" i="1"/>
  <c r="G552" i="1"/>
  <c r="E552" i="1"/>
  <c r="C552" i="1"/>
  <c r="I551" i="1"/>
  <c r="G551" i="1"/>
  <c r="E551" i="1"/>
  <c r="C551" i="1"/>
  <c r="I550" i="1"/>
  <c r="G550" i="1"/>
  <c r="E550" i="1"/>
  <c r="C550" i="1"/>
  <c r="I549" i="1"/>
  <c r="G549" i="1"/>
  <c r="E549" i="1"/>
  <c r="C549" i="1"/>
  <c r="I548" i="1"/>
  <c r="G548" i="1"/>
  <c r="E548" i="1"/>
  <c r="C548" i="1"/>
  <c r="I547" i="1"/>
  <c r="G547" i="1"/>
  <c r="E547" i="1"/>
  <c r="C547" i="1"/>
  <c r="I546" i="1"/>
  <c r="G546" i="1"/>
  <c r="E546" i="1"/>
  <c r="C546" i="1"/>
  <c r="I545" i="1"/>
  <c r="G545" i="1"/>
  <c r="E545" i="1"/>
  <c r="C545" i="1"/>
  <c r="I544" i="1"/>
  <c r="G544" i="1"/>
  <c r="E544" i="1"/>
  <c r="C544" i="1"/>
  <c r="I543" i="1"/>
  <c r="G543" i="1"/>
  <c r="E543" i="1"/>
  <c r="C543" i="1"/>
  <c r="I542" i="1"/>
  <c r="G542" i="1"/>
  <c r="E542" i="1"/>
  <c r="C542" i="1"/>
  <c r="I541" i="1"/>
  <c r="G541" i="1"/>
  <c r="E541" i="1"/>
  <c r="C541" i="1"/>
  <c r="I540" i="1"/>
  <c r="G540" i="1"/>
  <c r="E540" i="1"/>
  <c r="C540" i="1"/>
  <c r="I539" i="1"/>
  <c r="G539" i="1"/>
  <c r="E539" i="1"/>
  <c r="C539" i="1"/>
  <c r="I538" i="1"/>
  <c r="G538" i="1"/>
  <c r="E538" i="1"/>
  <c r="C538" i="1"/>
  <c r="I537" i="1"/>
  <c r="G537" i="1"/>
  <c r="E537" i="1"/>
  <c r="C537" i="1"/>
  <c r="I536" i="1"/>
  <c r="G536" i="1"/>
  <c r="E536" i="1"/>
  <c r="C536" i="1"/>
  <c r="I535" i="1"/>
  <c r="G535" i="1"/>
  <c r="E535" i="1"/>
  <c r="C535" i="1"/>
  <c r="I534" i="1"/>
  <c r="G534" i="1"/>
  <c r="E534" i="1"/>
  <c r="C534" i="1"/>
  <c r="I533" i="1"/>
  <c r="G533" i="1"/>
  <c r="E533" i="1"/>
  <c r="C533" i="1"/>
  <c r="I532" i="1"/>
  <c r="G532" i="1"/>
  <c r="E532" i="1"/>
  <c r="C532" i="1"/>
  <c r="I531" i="1"/>
  <c r="G531" i="1"/>
  <c r="E531" i="1"/>
  <c r="C531" i="1"/>
  <c r="I530" i="1"/>
  <c r="G530" i="1"/>
  <c r="E530" i="1"/>
  <c r="C530" i="1"/>
  <c r="I529" i="1"/>
  <c r="G529" i="1"/>
  <c r="E529" i="1"/>
  <c r="C529" i="1"/>
  <c r="I528" i="1"/>
  <c r="G528" i="1"/>
  <c r="E528" i="1"/>
  <c r="C528" i="1"/>
  <c r="I527" i="1"/>
  <c r="G527" i="1"/>
  <c r="E527" i="1"/>
  <c r="C527" i="1"/>
  <c r="I526" i="1"/>
  <c r="G526" i="1"/>
  <c r="E526" i="1"/>
  <c r="C526" i="1"/>
  <c r="I525" i="1"/>
  <c r="G525" i="1"/>
  <c r="E525" i="1"/>
  <c r="C525" i="1"/>
  <c r="I524" i="1"/>
  <c r="G524" i="1"/>
  <c r="E524" i="1"/>
  <c r="C524" i="1"/>
  <c r="I523" i="1"/>
  <c r="G523" i="1"/>
  <c r="E523" i="1"/>
  <c r="C523" i="1"/>
  <c r="I522" i="1"/>
  <c r="G522" i="1"/>
  <c r="E522" i="1"/>
  <c r="C522" i="1"/>
  <c r="I521" i="1"/>
  <c r="G521" i="1"/>
  <c r="E521" i="1"/>
  <c r="C521" i="1"/>
  <c r="I520" i="1"/>
  <c r="G520" i="1"/>
  <c r="E520" i="1"/>
  <c r="C520" i="1"/>
  <c r="I519" i="1"/>
  <c r="G519" i="1"/>
  <c r="E519" i="1"/>
  <c r="C519" i="1"/>
  <c r="I518" i="1"/>
  <c r="G518" i="1"/>
  <c r="E518" i="1"/>
  <c r="C518" i="1"/>
  <c r="I517" i="1"/>
  <c r="G517" i="1"/>
  <c r="E517" i="1"/>
  <c r="C517" i="1"/>
  <c r="I516" i="1"/>
  <c r="G516" i="1"/>
  <c r="E516" i="1"/>
  <c r="C516" i="1"/>
  <c r="I515" i="1"/>
  <c r="G515" i="1"/>
  <c r="E515" i="1"/>
  <c r="C515" i="1"/>
  <c r="I514" i="1"/>
  <c r="G514" i="1"/>
  <c r="E514" i="1"/>
  <c r="C514" i="1"/>
  <c r="I513" i="1"/>
  <c r="G513" i="1"/>
  <c r="E513" i="1"/>
  <c r="C513" i="1"/>
  <c r="I512" i="1"/>
  <c r="G512" i="1"/>
  <c r="E512" i="1"/>
  <c r="C512" i="1"/>
  <c r="I511" i="1"/>
  <c r="G511" i="1"/>
  <c r="E511" i="1"/>
  <c r="C511" i="1"/>
  <c r="I510" i="1"/>
  <c r="G510" i="1"/>
  <c r="E510" i="1"/>
  <c r="C510" i="1"/>
  <c r="I509" i="1"/>
  <c r="G509" i="1"/>
  <c r="E509" i="1"/>
  <c r="C509" i="1"/>
  <c r="I508" i="1"/>
  <c r="G508" i="1"/>
  <c r="E508" i="1"/>
  <c r="C508" i="1"/>
  <c r="I507" i="1"/>
  <c r="G507" i="1"/>
  <c r="E507" i="1"/>
  <c r="C507" i="1"/>
  <c r="I506" i="1"/>
  <c r="G506" i="1"/>
  <c r="E506" i="1"/>
  <c r="C506" i="1"/>
  <c r="I505" i="1"/>
  <c r="G505" i="1"/>
  <c r="E505" i="1"/>
  <c r="C505" i="1"/>
  <c r="I504" i="1"/>
  <c r="G504" i="1"/>
  <c r="E504" i="1"/>
  <c r="C504" i="1"/>
  <c r="I503" i="1"/>
  <c r="G503" i="1"/>
  <c r="E503" i="1"/>
  <c r="C503" i="1"/>
  <c r="I502" i="1"/>
  <c r="G502" i="1"/>
  <c r="E502" i="1"/>
  <c r="C502" i="1"/>
  <c r="I501" i="1"/>
  <c r="G501" i="1"/>
  <c r="E501" i="1"/>
  <c r="C501" i="1"/>
  <c r="I500" i="1"/>
  <c r="G500" i="1"/>
  <c r="E500" i="1"/>
  <c r="C500" i="1"/>
  <c r="I499" i="1"/>
  <c r="G499" i="1"/>
  <c r="E499" i="1"/>
  <c r="C499" i="1"/>
  <c r="I498" i="1"/>
  <c r="G498" i="1"/>
  <c r="E498" i="1"/>
  <c r="C498" i="1"/>
  <c r="I497" i="1"/>
  <c r="G497" i="1"/>
  <c r="E497" i="1"/>
  <c r="C497" i="1"/>
  <c r="I496" i="1"/>
  <c r="G496" i="1"/>
  <c r="E496" i="1"/>
  <c r="C496" i="1"/>
  <c r="I495" i="1"/>
  <c r="G495" i="1"/>
  <c r="E495" i="1"/>
  <c r="C495" i="1"/>
  <c r="I494" i="1"/>
  <c r="G494" i="1"/>
  <c r="E494" i="1"/>
  <c r="C494" i="1"/>
  <c r="I493" i="1"/>
  <c r="G493" i="1"/>
  <c r="E493" i="1"/>
  <c r="C493" i="1"/>
  <c r="I492" i="1"/>
  <c r="G492" i="1"/>
  <c r="E492" i="1"/>
  <c r="C492" i="1"/>
  <c r="I491" i="1"/>
  <c r="G491" i="1"/>
  <c r="E491" i="1"/>
  <c r="C491" i="1"/>
  <c r="I490" i="1"/>
  <c r="G490" i="1"/>
  <c r="E490" i="1"/>
  <c r="C490" i="1"/>
  <c r="I489" i="1"/>
  <c r="G489" i="1"/>
  <c r="E489" i="1"/>
  <c r="C489" i="1"/>
  <c r="I488" i="1"/>
  <c r="G488" i="1"/>
  <c r="E488" i="1"/>
  <c r="C488" i="1"/>
  <c r="I487" i="1"/>
  <c r="G487" i="1"/>
  <c r="E487" i="1"/>
  <c r="C487" i="1"/>
  <c r="I486" i="1"/>
  <c r="G486" i="1"/>
  <c r="E486" i="1"/>
  <c r="C486" i="1"/>
  <c r="I485" i="1"/>
  <c r="G485" i="1"/>
  <c r="E485" i="1"/>
  <c r="C485" i="1"/>
  <c r="I484" i="1"/>
  <c r="G484" i="1"/>
  <c r="E484" i="1"/>
  <c r="C484" i="1"/>
  <c r="I483" i="1"/>
  <c r="G483" i="1"/>
  <c r="E483" i="1"/>
  <c r="C483" i="1"/>
  <c r="I482" i="1"/>
  <c r="G482" i="1"/>
  <c r="E482" i="1"/>
  <c r="C482" i="1"/>
  <c r="I481" i="1"/>
  <c r="G481" i="1"/>
  <c r="E481" i="1"/>
  <c r="C481" i="1"/>
  <c r="I480" i="1"/>
  <c r="G480" i="1"/>
  <c r="E480" i="1"/>
  <c r="C480" i="1"/>
  <c r="I479" i="1"/>
  <c r="G479" i="1"/>
  <c r="E479" i="1"/>
  <c r="C479" i="1"/>
  <c r="I478" i="1"/>
  <c r="G478" i="1"/>
  <c r="E478" i="1"/>
  <c r="C478" i="1"/>
  <c r="I477" i="1"/>
  <c r="G477" i="1"/>
  <c r="E477" i="1"/>
  <c r="C477" i="1"/>
  <c r="I476" i="1"/>
  <c r="G476" i="1"/>
  <c r="E476" i="1"/>
  <c r="C476" i="1"/>
  <c r="I475" i="1"/>
  <c r="G475" i="1"/>
  <c r="E475" i="1"/>
  <c r="C475" i="1"/>
  <c r="I474" i="1"/>
  <c r="G474" i="1"/>
  <c r="E474" i="1"/>
  <c r="C474" i="1"/>
  <c r="I473" i="1"/>
  <c r="G473" i="1"/>
  <c r="E473" i="1"/>
  <c r="C473" i="1"/>
  <c r="I472" i="1"/>
  <c r="G472" i="1"/>
  <c r="E472" i="1"/>
  <c r="C472" i="1"/>
  <c r="I471" i="1"/>
  <c r="G471" i="1"/>
  <c r="E471" i="1"/>
  <c r="C471" i="1"/>
  <c r="I470" i="1"/>
  <c r="G470" i="1"/>
  <c r="E470" i="1"/>
  <c r="C470" i="1"/>
  <c r="I469" i="1"/>
  <c r="G469" i="1"/>
  <c r="E469" i="1"/>
  <c r="C469" i="1"/>
  <c r="I468" i="1"/>
  <c r="G468" i="1"/>
  <c r="E468" i="1"/>
  <c r="C468" i="1"/>
  <c r="I467" i="1"/>
  <c r="G467" i="1"/>
  <c r="E467" i="1"/>
  <c r="C467" i="1"/>
  <c r="I466" i="1"/>
  <c r="G466" i="1"/>
  <c r="E466" i="1"/>
  <c r="C466" i="1"/>
  <c r="I465" i="1"/>
  <c r="G465" i="1"/>
  <c r="E465" i="1"/>
  <c r="C465" i="1"/>
  <c r="I464" i="1"/>
  <c r="G464" i="1"/>
  <c r="E464" i="1"/>
  <c r="C464" i="1"/>
  <c r="I463" i="1"/>
  <c r="G463" i="1"/>
  <c r="E463" i="1"/>
  <c r="C463" i="1"/>
  <c r="I462" i="1"/>
  <c r="G462" i="1"/>
  <c r="E462" i="1"/>
  <c r="C462" i="1"/>
  <c r="I461" i="1"/>
  <c r="G461" i="1"/>
  <c r="E461" i="1"/>
  <c r="C461" i="1"/>
  <c r="I460" i="1"/>
  <c r="G460" i="1"/>
  <c r="E460" i="1"/>
  <c r="C460" i="1"/>
  <c r="I459" i="1"/>
  <c r="G459" i="1"/>
  <c r="E459" i="1"/>
  <c r="C459" i="1"/>
  <c r="I458" i="1"/>
  <c r="G458" i="1"/>
  <c r="E458" i="1"/>
  <c r="C458" i="1"/>
  <c r="I457" i="1"/>
  <c r="G457" i="1"/>
  <c r="E457" i="1"/>
  <c r="C457" i="1"/>
  <c r="I456" i="1"/>
  <c r="G456" i="1"/>
  <c r="E456" i="1"/>
  <c r="C456" i="1"/>
  <c r="I455" i="1"/>
  <c r="G455" i="1"/>
  <c r="E455" i="1"/>
  <c r="C455" i="1"/>
  <c r="I454" i="1"/>
  <c r="G454" i="1"/>
  <c r="E454" i="1"/>
  <c r="C454" i="1"/>
  <c r="I453" i="1"/>
  <c r="G453" i="1"/>
  <c r="E453" i="1"/>
  <c r="C453" i="1"/>
  <c r="I452" i="1"/>
  <c r="G452" i="1"/>
  <c r="E452" i="1"/>
  <c r="C452" i="1"/>
  <c r="I451" i="1"/>
  <c r="G451" i="1"/>
  <c r="E451" i="1"/>
  <c r="C451" i="1"/>
  <c r="I450" i="1"/>
  <c r="G450" i="1"/>
  <c r="E450" i="1"/>
  <c r="C450" i="1"/>
  <c r="I449" i="1"/>
  <c r="G449" i="1"/>
  <c r="E449" i="1"/>
  <c r="C449" i="1"/>
  <c r="I448" i="1"/>
  <c r="G448" i="1"/>
  <c r="E448" i="1"/>
  <c r="C448" i="1"/>
  <c r="I447" i="1"/>
  <c r="G447" i="1"/>
  <c r="E447" i="1"/>
  <c r="C447" i="1"/>
  <c r="I446" i="1"/>
  <c r="G446" i="1"/>
  <c r="E446" i="1"/>
  <c r="C446" i="1"/>
  <c r="I445" i="1"/>
  <c r="G445" i="1"/>
  <c r="E445" i="1"/>
  <c r="C445" i="1"/>
  <c r="I444" i="1"/>
  <c r="G444" i="1"/>
  <c r="E444" i="1"/>
  <c r="C444" i="1"/>
  <c r="I443" i="1"/>
  <c r="G443" i="1"/>
  <c r="E443" i="1"/>
  <c r="C443" i="1"/>
  <c r="I442" i="1"/>
  <c r="G442" i="1"/>
  <c r="E442" i="1"/>
  <c r="C442" i="1"/>
  <c r="I441" i="1"/>
  <c r="G441" i="1"/>
  <c r="E441" i="1"/>
  <c r="C441" i="1"/>
  <c r="I440" i="1"/>
  <c r="G440" i="1"/>
  <c r="E440" i="1"/>
  <c r="C440" i="1"/>
  <c r="I439" i="1"/>
  <c r="G439" i="1"/>
  <c r="E439" i="1"/>
  <c r="C439" i="1"/>
  <c r="I438" i="1"/>
  <c r="G438" i="1"/>
  <c r="E438" i="1"/>
  <c r="C438" i="1"/>
  <c r="I437" i="1"/>
  <c r="G437" i="1"/>
  <c r="E437" i="1"/>
  <c r="C437" i="1"/>
  <c r="I436" i="1"/>
  <c r="G436" i="1"/>
  <c r="E436" i="1"/>
  <c r="C436" i="1"/>
  <c r="I435" i="1"/>
  <c r="G435" i="1"/>
  <c r="E435" i="1"/>
  <c r="C435" i="1"/>
  <c r="I434" i="1"/>
  <c r="G434" i="1"/>
  <c r="E434" i="1"/>
  <c r="C434" i="1"/>
  <c r="I433" i="1"/>
  <c r="G433" i="1"/>
  <c r="E433" i="1"/>
  <c r="C433" i="1"/>
  <c r="I432" i="1"/>
  <c r="G432" i="1"/>
  <c r="E432" i="1"/>
  <c r="C432" i="1"/>
  <c r="I431" i="1"/>
  <c r="G431" i="1"/>
  <c r="E431" i="1"/>
  <c r="C431" i="1"/>
  <c r="I430" i="1"/>
  <c r="G430" i="1"/>
  <c r="E430" i="1"/>
  <c r="C430" i="1"/>
  <c r="I429" i="1"/>
  <c r="G429" i="1"/>
  <c r="E429" i="1"/>
  <c r="C429" i="1"/>
  <c r="I428" i="1"/>
  <c r="G428" i="1"/>
  <c r="E428" i="1"/>
  <c r="C428" i="1"/>
  <c r="I427" i="1"/>
  <c r="G427" i="1"/>
  <c r="E427" i="1"/>
  <c r="C427" i="1"/>
  <c r="I426" i="1"/>
  <c r="G426" i="1"/>
  <c r="E426" i="1"/>
  <c r="C426" i="1"/>
  <c r="I425" i="1"/>
  <c r="G425" i="1"/>
  <c r="E425" i="1"/>
  <c r="C425" i="1"/>
  <c r="I424" i="1"/>
  <c r="G424" i="1"/>
  <c r="E424" i="1"/>
  <c r="C424" i="1"/>
  <c r="I423" i="1"/>
  <c r="G423" i="1"/>
  <c r="E423" i="1"/>
  <c r="C423" i="1"/>
  <c r="I422" i="1"/>
  <c r="G422" i="1"/>
  <c r="E422" i="1"/>
  <c r="C422" i="1"/>
  <c r="I421" i="1"/>
  <c r="G421" i="1"/>
  <c r="E421" i="1"/>
  <c r="C421" i="1"/>
  <c r="I420" i="1"/>
  <c r="G420" i="1"/>
  <c r="E420" i="1"/>
  <c r="C420" i="1"/>
  <c r="I419" i="1"/>
  <c r="G419" i="1"/>
  <c r="E419" i="1"/>
  <c r="C419" i="1"/>
  <c r="I418" i="1"/>
  <c r="G418" i="1"/>
  <c r="E418" i="1"/>
  <c r="C418" i="1"/>
  <c r="I417" i="1"/>
  <c r="G417" i="1"/>
  <c r="E417" i="1"/>
  <c r="C417" i="1"/>
  <c r="I416" i="1"/>
  <c r="G416" i="1"/>
  <c r="E416" i="1"/>
  <c r="C416" i="1"/>
  <c r="I415" i="1"/>
  <c r="G415" i="1"/>
  <c r="E415" i="1"/>
  <c r="C415" i="1"/>
  <c r="I414" i="1"/>
  <c r="G414" i="1"/>
  <c r="E414" i="1"/>
  <c r="C414" i="1"/>
  <c r="I413" i="1"/>
  <c r="G413" i="1"/>
  <c r="E413" i="1"/>
  <c r="C413" i="1"/>
  <c r="I412" i="1"/>
  <c r="G412" i="1"/>
  <c r="E412" i="1"/>
  <c r="C412" i="1"/>
  <c r="I411" i="1"/>
  <c r="G411" i="1"/>
  <c r="E411" i="1"/>
  <c r="C411" i="1"/>
  <c r="I410" i="1"/>
  <c r="G410" i="1"/>
  <c r="E410" i="1"/>
  <c r="C410" i="1"/>
  <c r="I409" i="1"/>
  <c r="G409" i="1"/>
  <c r="E409" i="1"/>
  <c r="C409" i="1"/>
  <c r="I408" i="1"/>
  <c r="G408" i="1"/>
  <c r="E408" i="1"/>
  <c r="C408" i="1"/>
  <c r="I407" i="1"/>
  <c r="G407" i="1"/>
  <c r="E407" i="1"/>
  <c r="C407" i="1"/>
  <c r="I406" i="1"/>
  <c r="G406" i="1"/>
  <c r="E406" i="1"/>
  <c r="C406" i="1"/>
  <c r="I405" i="1"/>
  <c r="G405" i="1"/>
  <c r="E405" i="1"/>
  <c r="C405" i="1"/>
  <c r="I404" i="1"/>
  <c r="G404" i="1"/>
  <c r="E404" i="1"/>
  <c r="C404" i="1"/>
  <c r="I403" i="1"/>
  <c r="G403" i="1"/>
  <c r="E403" i="1"/>
  <c r="C403" i="1"/>
  <c r="I402" i="1"/>
  <c r="G402" i="1"/>
  <c r="E402" i="1"/>
  <c r="C402" i="1"/>
  <c r="I401" i="1"/>
  <c r="G401" i="1"/>
  <c r="E401" i="1"/>
  <c r="C401" i="1"/>
  <c r="I400" i="1"/>
  <c r="G400" i="1"/>
  <c r="E400" i="1"/>
  <c r="C400" i="1"/>
  <c r="I399" i="1"/>
  <c r="G399" i="1"/>
  <c r="E399" i="1"/>
  <c r="C399" i="1"/>
  <c r="I398" i="1"/>
  <c r="G398" i="1"/>
  <c r="E398" i="1"/>
  <c r="C398" i="1"/>
  <c r="I397" i="1"/>
  <c r="G397" i="1"/>
  <c r="E397" i="1"/>
  <c r="C397" i="1"/>
  <c r="I396" i="1"/>
  <c r="G396" i="1"/>
  <c r="E396" i="1"/>
  <c r="C396" i="1"/>
  <c r="I395" i="1"/>
  <c r="G395" i="1"/>
  <c r="E395" i="1"/>
  <c r="C395" i="1"/>
  <c r="I394" i="1"/>
  <c r="G394" i="1"/>
  <c r="E394" i="1"/>
  <c r="C394" i="1"/>
  <c r="I393" i="1"/>
  <c r="G393" i="1"/>
  <c r="E393" i="1"/>
  <c r="C393" i="1"/>
  <c r="I392" i="1"/>
  <c r="G392" i="1"/>
  <c r="E392" i="1"/>
  <c r="C392" i="1"/>
  <c r="I391" i="1"/>
  <c r="G391" i="1"/>
  <c r="E391" i="1"/>
  <c r="C391" i="1"/>
  <c r="I390" i="1"/>
  <c r="G390" i="1"/>
  <c r="E390" i="1"/>
  <c r="C390" i="1"/>
  <c r="I389" i="1"/>
  <c r="G389" i="1"/>
  <c r="E389" i="1"/>
  <c r="C389" i="1"/>
  <c r="I388" i="1"/>
  <c r="G388" i="1"/>
  <c r="E388" i="1"/>
  <c r="C388" i="1"/>
  <c r="I387" i="1"/>
  <c r="G387" i="1"/>
  <c r="E387" i="1"/>
  <c r="C387" i="1"/>
  <c r="I386" i="1"/>
  <c r="G386" i="1"/>
  <c r="E386" i="1"/>
  <c r="C386" i="1"/>
  <c r="I385" i="1"/>
  <c r="G385" i="1"/>
  <c r="E385" i="1"/>
  <c r="C385" i="1"/>
  <c r="I384" i="1"/>
  <c r="G384" i="1"/>
  <c r="E384" i="1"/>
  <c r="C384" i="1"/>
  <c r="I383" i="1"/>
  <c r="G383" i="1"/>
  <c r="E383" i="1"/>
  <c r="C383" i="1"/>
  <c r="I382" i="1"/>
  <c r="G382" i="1"/>
  <c r="E382" i="1"/>
  <c r="C382" i="1"/>
  <c r="I381" i="1"/>
  <c r="G381" i="1"/>
  <c r="E381" i="1"/>
  <c r="C381" i="1"/>
  <c r="I380" i="1"/>
  <c r="G380" i="1"/>
  <c r="E380" i="1"/>
  <c r="C380" i="1"/>
  <c r="I379" i="1"/>
  <c r="G379" i="1"/>
  <c r="E379" i="1"/>
  <c r="C379" i="1"/>
  <c r="I378" i="1"/>
  <c r="G378" i="1"/>
  <c r="E378" i="1"/>
  <c r="C378" i="1"/>
  <c r="I377" i="1"/>
  <c r="G377" i="1"/>
  <c r="E377" i="1"/>
  <c r="C377" i="1"/>
  <c r="I376" i="1"/>
  <c r="G376" i="1"/>
  <c r="E376" i="1"/>
  <c r="C376" i="1"/>
  <c r="I375" i="1"/>
  <c r="G375" i="1"/>
  <c r="E375" i="1"/>
  <c r="C375" i="1"/>
  <c r="I374" i="1"/>
  <c r="G374" i="1"/>
  <c r="E374" i="1"/>
  <c r="C374" i="1"/>
  <c r="I373" i="1"/>
  <c r="G373" i="1"/>
  <c r="E373" i="1"/>
  <c r="C373" i="1"/>
  <c r="I372" i="1"/>
  <c r="G372" i="1"/>
  <c r="E372" i="1"/>
  <c r="C372" i="1"/>
  <c r="I371" i="1"/>
  <c r="G371" i="1"/>
  <c r="E371" i="1"/>
  <c r="C371" i="1"/>
  <c r="I370" i="1"/>
  <c r="G370" i="1"/>
  <c r="E370" i="1"/>
  <c r="C370" i="1"/>
  <c r="I369" i="1"/>
  <c r="G369" i="1"/>
  <c r="E369" i="1"/>
  <c r="C369" i="1"/>
  <c r="I368" i="1"/>
  <c r="G368" i="1"/>
  <c r="E368" i="1"/>
  <c r="C368" i="1"/>
  <c r="I367" i="1"/>
  <c r="G367" i="1"/>
  <c r="E367" i="1"/>
  <c r="C367" i="1"/>
  <c r="I366" i="1"/>
  <c r="G366" i="1"/>
  <c r="E366" i="1"/>
  <c r="C366" i="1"/>
  <c r="I365" i="1"/>
  <c r="G365" i="1"/>
  <c r="E365" i="1"/>
  <c r="C365" i="1"/>
  <c r="I364" i="1"/>
  <c r="G364" i="1"/>
  <c r="E364" i="1"/>
  <c r="C364" i="1"/>
  <c r="I363" i="1"/>
  <c r="G363" i="1"/>
  <c r="E363" i="1"/>
  <c r="C363" i="1"/>
  <c r="I362" i="1"/>
  <c r="G362" i="1"/>
  <c r="E362" i="1"/>
  <c r="C362" i="1"/>
  <c r="I361" i="1"/>
  <c r="G361" i="1"/>
  <c r="E361" i="1"/>
  <c r="C361" i="1"/>
  <c r="I360" i="1"/>
  <c r="G360" i="1"/>
  <c r="E360" i="1"/>
  <c r="C360" i="1"/>
  <c r="I359" i="1"/>
  <c r="G359" i="1"/>
  <c r="E359" i="1"/>
  <c r="C359" i="1"/>
  <c r="I358" i="1"/>
  <c r="G358" i="1"/>
  <c r="E358" i="1"/>
  <c r="C358" i="1"/>
  <c r="I357" i="1"/>
  <c r="G357" i="1"/>
  <c r="E357" i="1"/>
  <c r="C357" i="1"/>
  <c r="I356" i="1"/>
  <c r="G356" i="1"/>
  <c r="E356" i="1"/>
  <c r="C356" i="1"/>
  <c r="I355" i="1"/>
  <c r="G355" i="1"/>
  <c r="E355" i="1"/>
  <c r="C355" i="1"/>
  <c r="I354" i="1"/>
  <c r="G354" i="1"/>
  <c r="E354" i="1"/>
  <c r="C354" i="1"/>
  <c r="I353" i="1"/>
  <c r="G353" i="1"/>
  <c r="E353" i="1"/>
  <c r="C353" i="1"/>
  <c r="I352" i="1"/>
  <c r="G352" i="1"/>
  <c r="E352" i="1"/>
  <c r="C352" i="1"/>
  <c r="I351" i="1"/>
  <c r="G351" i="1"/>
  <c r="E351" i="1"/>
  <c r="C351" i="1"/>
  <c r="I350" i="1"/>
  <c r="G350" i="1"/>
  <c r="E350" i="1"/>
  <c r="C350" i="1"/>
  <c r="I349" i="1"/>
  <c r="G349" i="1"/>
  <c r="E349" i="1"/>
  <c r="C349" i="1"/>
  <c r="I348" i="1"/>
  <c r="G348" i="1"/>
  <c r="E348" i="1"/>
  <c r="C348" i="1"/>
  <c r="I347" i="1"/>
  <c r="G347" i="1"/>
  <c r="E347" i="1"/>
  <c r="C347" i="1"/>
  <c r="I346" i="1"/>
  <c r="G346" i="1"/>
  <c r="E346" i="1"/>
  <c r="C346" i="1"/>
  <c r="I345" i="1"/>
  <c r="G345" i="1"/>
  <c r="E345" i="1"/>
  <c r="C345" i="1"/>
  <c r="I344" i="1"/>
  <c r="G344" i="1"/>
  <c r="E344" i="1"/>
  <c r="C344" i="1"/>
  <c r="I343" i="1"/>
  <c r="G343" i="1"/>
  <c r="E343" i="1"/>
  <c r="C343" i="1"/>
  <c r="I342" i="1"/>
  <c r="G342" i="1"/>
  <c r="E342" i="1"/>
  <c r="C342" i="1"/>
  <c r="I341" i="1"/>
  <c r="G341" i="1"/>
  <c r="E341" i="1"/>
  <c r="C341" i="1"/>
  <c r="I340" i="1"/>
  <c r="G340" i="1"/>
  <c r="E340" i="1"/>
  <c r="C340" i="1"/>
  <c r="I339" i="1"/>
  <c r="G339" i="1"/>
  <c r="E339" i="1"/>
  <c r="C339" i="1"/>
  <c r="I338" i="1"/>
  <c r="G338" i="1"/>
  <c r="E338" i="1"/>
  <c r="C338" i="1"/>
  <c r="I337" i="1"/>
  <c r="G337" i="1"/>
  <c r="E337" i="1"/>
  <c r="C337" i="1"/>
  <c r="I336" i="1"/>
  <c r="G336" i="1"/>
  <c r="E336" i="1"/>
  <c r="C336" i="1"/>
  <c r="I335" i="1"/>
  <c r="G335" i="1"/>
  <c r="E335" i="1"/>
  <c r="C335" i="1"/>
  <c r="I334" i="1"/>
  <c r="G334" i="1"/>
  <c r="E334" i="1"/>
  <c r="C334" i="1"/>
  <c r="I333" i="1"/>
  <c r="G333" i="1"/>
  <c r="E333" i="1"/>
  <c r="C333" i="1"/>
  <c r="I332" i="1"/>
  <c r="G332" i="1"/>
  <c r="E332" i="1"/>
  <c r="C332" i="1"/>
  <c r="I331" i="1"/>
  <c r="G331" i="1"/>
  <c r="E331" i="1"/>
  <c r="C331" i="1"/>
  <c r="I330" i="1"/>
  <c r="G330" i="1"/>
  <c r="E330" i="1"/>
  <c r="C330" i="1"/>
  <c r="I329" i="1"/>
  <c r="G329" i="1"/>
  <c r="E329" i="1"/>
  <c r="C329" i="1"/>
  <c r="I328" i="1"/>
  <c r="G328" i="1"/>
  <c r="E328" i="1"/>
  <c r="C328" i="1"/>
  <c r="I327" i="1"/>
  <c r="G327" i="1"/>
  <c r="E327" i="1"/>
  <c r="C327" i="1"/>
  <c r="I326" i="1"/>
  <c r="G326" i="1"/>
  <c r="E326" i="1"/>
  <c r="C326" i="1"/>
  <c r="I325" i="1"/>
  <c r="G325" i="1"/>
  <c r="E325" i="1"/>
  <c r="C325" i="1"/>
  <c r="I324" i="1"/>
  <c r="G324" i="1"/>
  <c r="E324" i="1"/>
  <c r="C324" i="1"/>
  <c r="I323" i="1"/>
  <c r="G323" i="1"/>
  <c r="E323" i="1"/>
  <c r="C323" i="1"/>
  <c r="I322" i="1"/>
  <c r="G322" i="1"/>
  <c r="E322" i="1"/>
  <c r="C322" i="1"/>
  <c r="I321" i="1"/>
  <c r="G321" i="1"/>
  <c r="E321" i="1"/>
  <c r="C321" i="1"/>
  <c r="I320" i="1"/>
  <c r="G320" i="1"/>
  <c r="E320" i="1"/>
  <c r="C320" i="1"/>
  <c r="I319" i="1"/>
  <c r="G319" i="1"/>
  <c r="E319" i="1"/>
  <c r="C319" i="1"/>
  <c r="I318" i="1"/>
  <c r="G318" i="1"/>
  <c r="E318" i="1"/>
  <c r="C318" i="1"/>
  <c r="I317" i="1"/>
  <c r="G317" i="1"/>
  <c r="E317" i="1"/>
  <c r="C317" i="1"/>
  <c r="I316" i="1"/>
  <c r="G316" i="1"/>
  <c r="E316" i="1"/>
  <c r="C316" i="1"/>
  <c r="I315" i="1"/>
  <c r="G315" i="1"/>
  <c r="E315" i="1"/>
  <c r="C315" i="1"/>
  <c r="I314" i="1"/>
  <c r="G314" i="1"/>
  <c r="E314" i="1"/>
  <c r="C314" i="1"/>
  <c r="I313" i="1"/>
  <c r="G313" i="1"/>
  <c r="E313" i="1"/>
  <c r="C313" i="1"/>
  <c r="I312" i="1"/>
  <c r="G312" i="1"/>
  <c r="E312" i="1"/>
  <c r="C312" i="1"/>
  <c r="I311" i="1"/>
  <c r="G311" i="1"/>
  <c r="E311" i="1"/>
  <c r="C311" i="1"/>
  <c r="I310" i="1"/>
  <c r="G310" i="1"/>
  <c r="E310" i="1"/>
  <c r="C310" i="1"/>
  <c r="I309" i="1"/>
  <c r="G309" i="1"/>
  <c r="E309" i="1"/>
  <c r="C309" i="1"/>
  <c r="I308" i="1"/>
  <c r="G308" i="1"/>
  <c r="E308" i="1"/>
  <c r="C308" i="1"/>
  <c r="I307" i="1"/>
  <c r="G307" i="1"/>
  <c r="E307" i="1"/>
  <c r="C307" i="1"/>
  <c r="I306" i="1"/>
  <c r="G306" i="1"/>
  <c r="E306" i="1"/>
  <c r="C306" i="1"/>
  <c r="I305" i="1"/>
  <c r="G305" i="1"/>
  <c r="E305" i="1"/>
  <c r="C305" i="1"/>
  <c r="I304" i="1"/>
  <c r="G304" i="1"/>
  <c r="E304" i="1"/>
  <c r="C304" i="1"/>
  <c r="I303" i="1"/>
  <c r="G303" i="1"/>
  <c r="E303" i="1"/>
  <c r="C303" i="1"/>
  <c r="I302" i="1"/>
  <c r="G302" i="1"/>
  <c r="E302" i="1"/>
  <c r="C302" i="1"/>
  <c r="I301" i="1"/>
  <c r="G301" i="1"/>
  <c r="E301" i="1"/>
  <c r="C301" i="1"/>
  <c r="I300" i="1"/>
  <c r="G300" i="1"/>
  <c r="E300" i="1"/>
  <c r="C300" i="1"/>
  <c r="I299" i="1"/>
  <c r="G299" i="1"/>
  <c r="E299" i="1"/>
  <c r="C299" i="1"/>
  <c r="I298" i="1"/>
  <c r="G298" i="1"/>
  <c r="E298" i="1"/>
  <c r="C298" i="1"/>
  <c r="I297" i="1"/>
  <c r="G297" i="1"/>
  <c r="E297" i="1"/>
  <c r="C297" i="1"/>
  <c r="I296" i="1"/>
  <c r="G296" i="1"/>
  <c r="E296" i="1"/>
  <c r="C296" i="1"/>
  <c r="I295" i="1"/>
  <c r="G295" i="1"/>
  <c r="E295" i="1"/>
  <c r="C295" i="1"/>
  <c r="I294" i="1"/>
  <c r="G294" i="1"/>
  <c r="E294" i="1"/>
  <c r="C294" i="1"/>
  <c r="I293" i="1"/>
  <c r="G293" i="1"/>
  <c r="E293" i="1"/>
  <c r="C293" i="1"/>
  <c r="I292" i="1"/>
  <c r="G292" i="1"/>
  <c r="E292" i="1"/>
  <c r="C292" i="1"/>
  <c r="I291" i="1"/>
  <c r="G291" i="1"/>
  <c r="E291" i="1"/>
  <c r="C291" i="1"/>
  <c r="I290" i="1"/>
  <c r="G290" i="1"/>
  <c r="E290" i="1"/>
  <c r="C290" i="1"/>
  <c r="I289" i="1"/>
  <c r="G289" i="1"/>
  <c r="E289" i="1"/>
  <c r="C289" i="1"/>
  <c r="I288" i="1"/>
  <c r="G288" i="1"/>
  <c r="E288" i="1"/>
  <c r="C288" i="1"/>
  <c r="I287" i="1"/>
  <c r="G287" i="1"/>
  <c r="E287" i="1"/>
  <c r="C287" i="1"/>
  <c r="I286" i="1"/>
  <c r="G286" i="1"/>
  <c r="E286" i="1"/>
  <c r="C286" i="1"/>
  <c r="I285" i="1"/>
  <c r="G285" i="1"/>
  <c r="E285" i="1"/>
  <c r="C285" i="1"/>
  <c r="I284" i="1"/>
  <c r="G284" i="1"/>
  <c r="E284" i="1"/>
  <c r="C284" i="1"/>
  <c r="I283" i="1"/>
  <c r="G283" i="1"/>
  <c r="E283" i="1"/>
  <c r="C283" i="1"/>
  <c r="I282" i="1"/>
  <c r="G282" i="1"/>
  <c r="E282" i="1"/>
  <c r="C282" i="1"/>
  <c r="I281" i="1"/>
  <c r="G281" i="1"/>
  <c r="E281" i="1"/>
  <c r="C281" i="1"/>
  <c r="I280" i="1"/>
  <c r="G280" i="1"/>
  <c r="E280" i="1"/>
  <c r="C280" i="1"/>
  <c r="I279" i="1"/>
  <c r="G279" i="1"/>
  <c r="E279" i="1"/>
  <c r="C279" i="1"/>
  <c r="I278" i="1"/>
  <c r="G278" i="1"/>
  <c r="E278" i="1"/>
  <c r="C278" i="1"/>
  <c r="I277" i="1"/>
  <c r="G277" i="1"/>
  <c r="E277" i="1"/>
  <c r="C277" i="1"/>
  <c r="I276" i="1"/>
  <c r="G276" i="1"/>
  <c r="E276" i="1"/>
  <c r="C276" i="1"/>
  <c r="I275" i="1"/>
  <c r="G275" i="1"/>
  <c r="E275" i="1"/>
  <c r="C275" i="1"/>
  <c r="I274" i="1"/>
  <c r="G274" i="1"/>
  <c r="E274" i="1"/>
  <c r="C274" i="1"/>
  <c r="I273" i="1"/>
  <c r="G273" i="1"/>
  <c r="E273" i="1"/>
  <c r="C273" i="1"/>
  <c r="I272" i="1"/>
  <c r="G272" i="1"/>
  <c r="E272" i="1"/>
  <c r="C272" i="1"/>
  <c r="I271" i="1"/>
  <c r="G271" i="1"/>
  <c r="E271" i="1"/>
  <c r="C271" i="1"/>
  <c r="I270" i="1"/>
  <c r="G270" i="1"/>
  <c r="E270" i="1"/>
  <c r="C270" i="1"/>
  <c r="I269" i="1"/>
  <c r="G269" i="1"/>
  <c r="E269" i="1"/>
  <c r="C269" i="1"/>
  <c r="I268" i="1"/>
  <c r="G268" i="1"/>
  <c r="E268" i="1"/>
  <c r="C268" i="1"/>
  <c r="I267" i="1"/>
  <c r="G267" i="1"/>
  <c r="E267" i="1"/>
  <c r="C267" i="1"/>
  <c r="I266" i="1"/>
  <c r="G266" i="1"/>
  <c r="E266" i="1"/>
  <c r="C266" i="1"/>
  <c r="I265" i="1"/>
  <c r="G265" i="1"/>
  <c r="E265" i="1"/>
  <c r="C265" i="1"/>
  <c r="I264" i="1"/>
  <c r="G264" i="1"/>
  <c r="E264" i="1"/>
  <c r="C264" i="1"/>
  <c r="I263" i="1"/>
  <c r="G263" i="1"/>
  <c r="E263" i="1"/>
  <c r="C263" i="1"/>
  <c r="I262" i="1"/>
  <c r="G262" i="1"/>
  <c r="E262" i="1"/>
  <c r="C262" i="1"/>
  <c r="I261" i="1"/>
  <c r="G261" i="1"/>
  <c r="E261" i="1"/>
  <c r="C261" i="1"/>
  <c r="I260" i="1"/>
  <c r="G260" i="1"/>
  <c r="E260" i="1"/>
  <c r="C260" i="1"/>
  <c r="I259" i="1"/>
  <c r="G259" i="1"/>
  <c r="E259" i="1"/>
  <c r="C259" i="1"/>
  <c r="I258" i="1"/>
  <c r="G258" i="1"/>
  <c r="E258" i="1"/>
  <c r="C258" i="1"/>
  <c r="I257" i="1"/>
  <c r="G257" i="1"/>
  <c r="E257" i="1"/>
  <c r="C257" i="1"/>
  <c r="I256" i="1"/>
  <c r="G256" i="1"/>
  <c r="E256" i="1"/>
  <c r="C256" i="1"/>
  <c r="I255" i="1"/>
  <c r="G255" i="1"/>
  <c r="E255" i="1"/>
  <c r="C255" i="1"/>
  <c r="I254" i="1"/>
  <c r="G254" i="1"/>
  <c r="E254" i="1"/>
  <c r="C254" i="1"/>
  <c r="I253" i="1"/>
  <c r="G253" i="1"/>
  <c r="E253" i="1"/>
  <c r="C253" i="1"/>
  <c r="I252" i="1"/>
  <c r="G252" i="1"/>
  <c r="E252" i="1"/>
  <c r="C252" i="1"/>
  <c r="I251" i="1"/>
  <c r="G251" i="1"/>
  <c r="E251" i="1"/>
  <c r="C251" i="1"/>
  <c r="I250" i="1"/>
  <c r="G250" i="1"/>
  <c r="E250" i="1"/>
  <c r="C250" i="1"/>
  <c r="I249" i="1"/>
  <c r="G249" i="1"/>
  <c r="E249" i="1"/>
  <c r="C249" i="1"/>
  <c r="I248" i="1"/>
  <c r="G248" i="1"/>
  <c r="E248" i="1"/>
  <c r="C248" i="1"/>
  <c r="I247" i="1"/>
  <c r="G247" i="1"/>
  <c r="E247" i="1"/>
  <c r="C247" i="1"/>
  <c r="I246" i="1"/>
  <c r="G246" i="1"/>
  <c r="E246" i="1"/>
  <c r="C246" i="1"/>
  <c r="I245" i="1"/>
  <c r="G245" i="1"/>
  <c r="E245" i="1"/>
  <c r="C245" i="1"/>
  <c r="I244" i="1"/>
  <c r="G244" i="1"/>
  <c r="E244" i="1"/>
  <c r="C244" i="1"/>
  <c r="I243" i="1"/>
  <c r="G243" i="1"/>
  <c r="E243" i="1"/>
  <c r="C243" i="1"/>
  <c r="I242" i="1"/>
  <c r="G242" i="1"/>
  <c r="E242" i="1"/>
  <c r="C242" i="1"/>
  <c r="I241" i="1"/>
  <c r="G241" i="1"/>
  <c r="E241" i="1"/>
  <c r="C241" i="1"/>
  <c r="I240" i="1"/>
  <c r="G240" i="1"/>
  <c r="E240" i="1"/>
  <c r="C240" i="1"/>
  <c r="I239" i="1"/>
  <c r="G239" i="1"/>
  <c r="E239" i="1"/>
  <c r="C239" i="1"/>
  <c r="I238" i="1"/>
  <c r="G238" i="1"/>
  <c r="E238" i="1"/>
  <c r="C238" i="1"/>
  <c r="I237" i="1"/>
  <c r="G237" i="1"/>
  <c r="E237" i="1"/>
  <c r="C237" i="1"/>
  <c r="I236" i="1"/>
  <c r="G236" i="1"/>
  <c r="E236" i="1"/>
  <c r="C236" i="1"/>
  <c r="I235" i="1"/>
  <c r="G235" i="1"/>
  <c r="E235" i="1"/>
  <c r="C235" i="1"/>
  <c r="I234" i="1"/>
  <c r="G234" i="1"/>
  <c r="E234" i="1"/>
  <c r="C234" i="1"/>
  <c r="I233" i="1"/>
  <c r="G233" i="1"/>
  <c r="E233" i="1"/>
  <c r="C233" i="1"/>
  <c r="I232" i="1"/>
  <c r="G232" i="1"/>
  <c r="E232" i="1"/>
  <c r="C232" i="1"/>
  <c r="I231" i="1"/>
  <c r="G231" i="1"/>
  <c r="E231" i="1"/>
  <c r="C231" i="1"/>
  <c r="I230" i="1"/>
  <c r="G230" i="1"/>
  <c r="E230" i="1"/>
  <c r="C230" i="1"/>
  <c r="I229" i="1"/>
  <c r="G229" i="1"/>
  <c r="E229" i="1"/>
  <c r="C229" i="1"/>
  <c r="I228" i="1"/>
  <c r="G228" i="1"/>
  <c r="E228" i="1"/>
  <c r="C228" i="1"/>
  <c r="I227" i="1"/>
  <c r="G227" i="1"/>
  <c r="E227" i="1"/>
  <c r="C227" i="1"/>
  <c r="I226" i="1"/>
  <c r="G226" i="1"/>
  <c r="E226" i="1"/>
  <c r="C226" i="1"/>
  <c r="I225" i="1"/>
  <c r="G225" i="1"/>
  <c r="E225" i="1"/>
  <c r="C225" i="1"/>
  <c r="I224" i="1"/>
  <c r="G224" i="1"/>
  <c r="E224" i="1"/>
  <c r="C224" i="1"/>
  <c r="I223" i="1"/>
  <c r="G223" i="1"/>
  <c r="E223" i="1"/>
  <c r="C223" i="1"/>
  <c r="I222" i="1"/>
  <c r="G222" i="1"/>
  <c r="E222" i="1"/>
  <c r="C222" i="1"/>
  <c r="I221" i="1"/>
  <c r="G221" i="1"/>
  <c r="E221" i="1"/>
  <c r="C221" i="1"/>
  <c r="I220" i="1"/>
  <c r="G220" i="1"/>
  <c r="E220" i="1"/>
  <c r="C220" i="1"/>
  <c r="I219" i="1"/>
  <c r="G219" i="1"/>
  <c r="E219" i="1"/>
  <c r="C219" i="1"/>
  <c r="I218" i="1"/>
  <c r="G218" i="1"/>
  <c r="E218" i="1"/>
  <c r="C218" i="1"/>
  <c r="I217" i="1"/>
  <c r="G217" i="1"/>
  <c r="E217" i="1"/>
  <c r="C217" i="1"/>
  <c r="I216" i="1"/>
  <c r="G216" i="1"/>
  <c r="E216" i="1"/>
  <c r="C216" i="1"/>
  <c r="I215" i="1"/>
  <c r="G215" i="1"/>
  <c r="E215" i="1"/>
  <c r="C215" i="1"/>
  <c r="I214" i="1"/>
  <c r="G214" i="1"/>
  <c r="E214" i="1"/>
  <c r="C214" i="1"/>
  <c r="I213" i="1"/>
  <c r="G213" i="1"/>
  <c r="E213" i="1"/>
  <c r="C213" i="1"/>
  <c r="I212" i="1"/>
  <c r="G212" i="1"/>
  <c r="E212" i="1"/>
  <c r="C212" i="1"/>
  <c r="I211" i="1"/>
  <c r="G211" i="1"/>
  <c r="E211" i="1"/>
  <c r="C211" i="1"/>
  <c r="I210" i="1"/>
  <c r="G210" i="1"/>
  <c r="E210" i="1"/>
  <c r="C210" i="1"/>
  <c r="I209" i="1"/>
  <c r="G209" i="1"/>
  <c r="E209" i="1"/>
  <c r="C209" i="1"/>
  <c r="I208" i="1"/>
  <c r="G208" i="1"/>
  <c r="E208" i="1"/>
  <c r="C208" i="1"/>
  <c r="I207" i="1"/>
  <c r="G207" i="1"/>
  <c r="E207" i="1"/>
  <c r="C207" i="1"/>
  <c r="I206" i="1"/>
  <c r="G206" i="1"/>
  <c r="E206" i="1"/>
  <c r="C206" i="1"/>
  <c r="I205" i="1"/>
  <c r="G205" i="1"/>
  <c r="E205" i="1"/>
  <c r="C205" i="1"/>
  <c r="I204" i="1"/>
  <c r="G204" i="1"/>
  <c r="E204" i="1"/>
  <c r="C204" i="1"/>
  <c r="I203" i="1"/>
  <c r="G203" i="1"/>
  <c r="E203" i="1"/>
  <c r="C203" i="1"/>
  <c r="I202" i="1"/>
  <c r="G202" i="1"/>
  <c r="E202" i="1"/>
  <c r="C202" i="1"/>
  <c r="I201" i="1"/>
  <c r="G201" i="1"/>
  <c r="E201" i="1"/>
  <c r="C201" i="1"/>
  <c r="I200" i="1"/>
  <c r="G200" i="1"/>
  <c r="E200" i="1"/>
  <c r="C200" i="1"/>
  <c r="I199" i="1"/>
  <c r="G199" i="1"/>
  <c r="E199" i="1"/>
  <c r="C199" i="1"/>
  <c r="I198" i="1"/>
  <c r="G198" i="1"/>
  <c r="E198" i="1"/>
  <c r="C198" i="1"/>
  <c r="I197" i="1"/>
  <c r="G197" i="1"/>
  <c r="E197" i="1"/>
  <c r="C197" i="1"/>
  <c r="I196" i="1"/>
  <c r="G196" i="1"/>
  <c r="E196" i="1"/>
  <c r="C196" i="1"/>
  <c r="I195" i="1"/>
  <c r="G195" i="1"/>
  <c r="E195" i="1"/>
  <c r="C195" i="1"/>
  <c r="I194" i="1"/>
  <c r="G194" i="1"/>
  <c r="E194" i="1"/>
  <c r="C194" i="1"/>
  <c r="I193" i="1"/>
  <c r="G193" i="1"/>
  <c r="E193" i="1"/>
  <c r="C193" i="1"/>
  <c r="I192" i="1"/>
  <c r="G192" i="1"/>
  <c r="E192" i="1"/>
  <c r="C192" i="1"/>
  <c r="I191" i="1"/>
  <c r="G191" i="1"/>
  <c r="E191" i="1"/>
  <c r="C191" i="1"/>
  <c r="I190" i="1"/>
  <c r="G190" i="1"/>
  <c r="E190" i="1"/>
  <c r="C190" i="1"/>
  <c r="I189" i="1"/>
  <c r="G189" i="1"/>
  <c r="E189" i="1"/>
  <c r="C189" i="1"/>
  <c r="I188" i="1"/>
  <c r="G188" i="1"/>
  <c r="E188" i="1"/>
  <c r="C188" i="1"/>
  <c r="I187" i="1"/>
  <c r="G187" i="1"/>
  <c r="E187" i="1"/>
  <c r="C187" i="1"/>
  <c r="I186" i="1"/>
  <c r="G186" i="1"/>
  <c r="E186" i="1"/>
  <c r="C186" i="1"/>
  <c r="I185" i="1"/>
  <c r="G185" i="1"/>
  <c r="E185" i="1"/>
  <c r="C185" i="1"/>
  <c r="I184" i="1"/>
  <c r="G184" i="1"/>
  <c r="E184" i="1"/>
  <c r="C184" i="1"/>
  <c r="I183" i="1"/>
  <c r="G183" i="1"/>
  <c r="E183" i="1"/>
  <c r="C183" i="1"/>
  <c r="I182" i="1"/>
  <c r="G182" i="1"/>
  <c r="E182" i="1"/>
  <c r="C182" i="1"/>
  <c r="I181" i="1"/>
  <c r="G181" i="1"/>
  <c r="E181" i="1"/>
  <c r="C181" i="1"/>
  <c r="I180" i="1"/>
  <c r="G180" i="1"/>
  <c r="E180" i="1"/>
  <c r="C180" i="1"/>
  <c r="I179" i="1"/>
  <c r="G179" i="1"/>
  <c r="E179" i="1"/>
  <c r="C179" i="1"/>
  <c r="I178" i="1"/>
  <c r="G178" i="1"/>
  <c r="E178" i="1"/>
  <c r="C178" i="1"/>
  <c r="I177" i="1"/>
  <c r="G177" i="1"/>
  <c r="E177" i="1"/>
  <c r="C177" i="1"/>
  <c r="I176" i="1"/>
  <c r="G176" i="1"/>
  <c r="E176" i="1"/>
  <c r="C176" i="1"/>
  <c r="I175" i="1"/>
  <c r="G175" i="1"/>
  <c r="E175" i="1"/>
  <c r="C175" i="1"/>
  <c r="I174" i="1"/>
  <c r="G174" i="1"/>
  <c r="E174" i="1"/>
  <c r="C174" i="1"/>
  <c r="I173" i="1"/>
  <c r="G173" i="1"/>
  <c r="E173" i="1"/>
  <c r="C173" i="1"/>
  <c r="I172" i="1"/>
  <c r="G172" i="1"/>
  <c r="E172" i="1"/>
  <c r="C172" i="1"/>
  <c r="I171" i="1"/>
  <c r="G171" i="1"/>
  <c r="E171" i="1"/>
  <c r="C171" i="1"/>
  <c r="I170" i="1"/>
  <c r="G170" i="1"/>
  <c r="E170" i="1"/>
  <c r="C170" i="1"/>
  <c r="I169" i="1"/>
  <c r="G169" i="1"/>
  <c r="E169" i="1"/>
  <c r="C169" i="1"/>
  <c r="I168" i="1"/>
  <c r="G168" i="1"/>
  <c r="E168" i="1"/>
  <c r="C168" i="1"/>
  <c r="I167" i="1"/>
  <c r="G167" i="1"/>
  <c r="E167" i="1"/>
  <c r="C167" i="1"/>
  <c r="I166" i="1"/>
  <c r="G166" i="1"/>
  <c r="E166" i="1"/>
  <c r="C166" i="1"/>
  <c r="I165" i="1"/>
  <c r="G165" i="1"/>
  <c r="E165" i="1"/>
  <c r="C165" i="1"/>
  <c r="I164" i="1"/>
  <c r="G164" i="1"/>
  <c r="E164" i="1"/>
  <c r="C164" i="1"/>
  <c r="I163" i="1"/>
  <c r="G163" i="1"/>
  <c r="E163" i="1"/>
  <c r="C163" i="1"/>
  <c r="I162" i="1"/>
  <c r="G162" i="1"/>
  <c r="E162" i="1"/>
  <c r="C162" i="1"/>
  <c r="I161" i="1"/>
  <c r="G161" i="1"/>
  <c r="E161" i="1"/>
  <c r="C161" i="1"/>
  <c r="I160" i="1"/>
  <c r="G160" i="1"/>
  <c r="E160" i="1"/>
  <c r="C160" i="1"/>
  <c r="I159" i="1"/>
  <c r="G159" i="1"/>
  <c r="E159" i="1"/>
  <c r="C159" i="1"/>
  <c r="I158" i="1"/>
  <c r="G158" i="1"/>
  <c r="E158" i="1"/>
  <c r="C158" i="1"/>
  <c r="I157" i="1"/>
  <c r="G157" i="1"/>
  <c r="E157" i="1"/>
  <c r="C157" i="1"/>
  <c r="I156" i="1"/>
  <c r="G156" i="1"/>
  <c r="E156" i="1"/>
  <c r="C156" i="1"/>
  <c r="I155" i="1"/>
  <c r="G155" i="1"/>
  <c r="E155" i="1"/>
  <c r="C155" i="1"/>
  <c r="I154" i="1"/>
  <c r="G154" i="1"/>
  <c r="E154" i="1"/>
  <c r="C154" i="1"/>
  <c r="I153" i="1"/>
  <c r="G153" i="1"/>
  <c r="E153" i="1"/>
  <c r="C153" i="1"/>
  <c r="I152" i="1"/>
  <c r="G152" i="1"/>
  <c r="E152" i="1"/>
  <c r="C152" i="1"/>
  <c r="I151" i="1"/>
  <c r="G151" i="1"/>
  <c r="E151" i="1"/>
  <c r="C151" i="1"/>
  <c r="I150" i="1"/>
  <c r="G150" i="1"/>
  <c r="E150" i="1"/>
  <c r="C150" i="1"/>
  <c r="I149" i="1"/>
  <c r="G149" i="1"/>
  <c r="E149" i="1"/>
  <c r="C149" i="1"/>
  <c r="I148" i="1"/>
  <c r="G148" i="1"/>
  <c r="E148" i="1"/>
  <c r="C148" i="1"/>
  <c r="I147" i="1"/>
  <c r="G147" i="1"/>
  <c r="E147" i="1"/>
  <c r="C147" i="1"/>
  <c r="I146" i="1"/>
  <c r="G146" i="1"/>
  <c r="E146" i="1"/>
  <c r="C146" i="1"/>
  <c r="I145" i="1"/>
  <c r="G145" i="1"/>
  <c r="E145" i="1"/>
  <c r="C145" i="1"/>
  <c r="I144" i="1"/>
  <c r="G144" i="1"/>
  <c r="E144" i="1"/>
  <c r="C144" i="1"/>
  <c r="I143" i="1"/>
  <c r="G143" i="1"/>
  <c r="E143" i="1"/>
  <c r="C143" i="1"/>
  <c r="I142" i="1"/>
  <c r="G142" i="1"/>
  <c r="E142" i="1"/>
  <c r="C142" i="1"/>
  <c r="I141" i="1"/>
  <c r="G141" i="1"/>
  <c r="E141" i="1"/>
  <c r="C141" i="1"/>
  <c r="I140" i="1"/>
  <c r="G140" i="1"/>
  <c r="E140" i="1"/>
  <c r="C140" i="1"/>
  <c r="I139" i="1"/>
  <c r="G139" i="1"/>
  <c r="E139" i="1"/>
  <c r="C139" i="1"/>
  <c r="I138" i="1"/>
  <c r="G138" i="1"/>
  <c r="E138" i="1"/>
  <c r="C138" i="1"/>
  <c r="I137" i="1"/>
  <c r="G137" i="1"/>
  <c r="E137" i="1"/>
  <c r="C137" i="1"/>
  <c r="I136" i="1"/>
  <c r="G136" i="1"/>
  <c r="E136" i="1"/>
  <c r="C136" i="1"/>
  <c r="I135" i="1"/>
  <c r="G135" i="1"/>
  <c r="E135" i="1"/>
  <c r="C135" i="1"/>
  <c r="I134" i="1"/>
  <c r="G134" i="1"/>
  <c r="E134" i="1"/>
  <c r="C134" i="1"/>
  <c r="I133" i="1"/>
  <c r="G133" i="1"/>
  <c r="E133" i="1"/>
  <c r="C133" i="1"/>
  <c r="I132" i="1"/>
  <c r="G132" i="1"/>
  <c r="E132" i="1"/>
  <c r="C132" i="1"/>
  <c r="I131" i="1"/>
  <c r="G131" i="1"/>
  <c r="E131" i="1"/>
  <c r="C131" i="1"/>
  <c r="I130" i="1"/>
  <c r="G130" i="1"/>
  <c r="E130" i="1"/>
  <c r="C130" i="1"/>
  <c r="I129" i="1"/>
  <c r="G129" i="1"/>
  <c r="E129" i="1"/>
  <c r="C129" i="1"/>
  <c r="I128" i="1"/>
  <c r="G128" i="1"/>
  <c r="E128" i="1"/>
  <c r="C128" i="1"/>
  <c r="I127" i="1"/>
  <c r="G127" i="1"/>
  <c r="E127" i="1"/>
  <c r="C127" i="1"/>
  <c r="I126" i="1"/>
  <c r="G126" i="1"/>
  <c r="E126" i="1"/>
  <c r="C126" i="1"/>
  <c r="I125" i="1"/>
  <c r="G125" i="1"/>
  <c r="E125" i="1"/>
  <c r="C125" i="1"/>
  <c r="I124" i="1"/>
  <c r="G124" i="1"/>
  <c r="E124" i="1"/>
  <c r="C124" i="1"/>
  <c r="I123" i="1"/>
  <c r="G123" i="1"/>
  <c r="E123" i="1"/>
  <c r="C123" i="1"/>
  <c r="I122" i="1"/>
  <c r="G122" i="1"/>
  <c r="E122" i="1"/>
  <c r="C122" i="1"/>
  <c r="I121" i="1"/>
  <c r="G121" i="1"/>
  <c r="E121" i="1"/>
  <c r="C121" i="1"/>
  <c r="I120" i="1"/>
  <c r="G120" i="1"/>
  <c r="E120" i="1"/>
  <c r="C120" i="1"/>
  <c r="I119" i="1"/>
  <c r="G119" i="1"/>
  <c r="E119" i="1"/>
  <c r="C119" i="1"/>
  <c r="I118" i="1"/>
  <c r="G118" i="1"/>
  <c r="E118" i="1"/>
  <c r="C118" i="1"/>
  <c r="I117" i="1"/>
  <c r="G117" i="1"/>
  <c r="E117" i="1"/>
  <c r="C117" i="1"/>
  <c r="I116" i="1"/>
  <c r="G116" i="1"/>
  <c r="E116" i="1"/>
  <c r="C116" i="1"/>
  <c r="I115" i="1"/>
  <c r="G115" i="1"/>
  <c r="E115" i="1"/>
  <c r="C115" i="1"/>
  <c r="I114" i="1"/>
  <c r="G114" i="1"/>
  <c r="E114" i="1"/>
  <c r="C114" i="1"/>
  <c r="I113" i="1"/>
  <c r="G113" i="1"/>
  <c r="E113" i="1"/>
  <c r="C113" i="1"/>
  <c r="I112" i="1"/>
  <c r="G112" i="1"/>
  <c r="E112" i="1"/>
  <c r="C112" i="1"/>
  <c r="I111" i="1"/>
  <c r="G111" i="1"/>
  <c r="E111" i="1"/>
  <c r="C111" i="1"/>
  <c r="I110" i="1"/>
  <c r="G110" i="1"/>
  <c r="E110" i="1"/>
  <c r="C110" i="1"/>
  <c r="I109" i="1"/>
  <c r="G109" i="1"/>
  <c r="E109" i="1"/>
  <c r="C109" i="1"/>
  <c r="I108" i="1"/>
  <c r="G108" i="1"/>
  <c r="E108" i="1"/>
  <c r="C108" i="1"/>
  <c r="I107" i="1"/>
  <c r="G107" i="1"/>
  <c r="E107" i="1"/>
  <c r="C107" i="1"/>
  <c r="I106" i="1"/>
  <c r="G106" i="1"/>
  <c r="E106" i="1"/>
  <c r="C106" i="1"/>
  <c r="I105" i="1"/>
  <c r="G105" i="1"/>
  <c r="E105" i="1"/>
  <c r="C105" i="1"/>
  <c r="I104" i="1"/>
  <c r="G104" i="1"/>
  <c r="E104" i="1"/>
  <c r="C104" i="1"/>
  <c r="I103" i="1"/>
  <c r="G103" i="1"/>
  <c r="E103" i="1"/>
  <c r="C103" i="1"/>
  <c r="I102" i="1"/>
  <c r="G102" i="1"/>
  <c r="E102" i="1"/>
  <c r="C102" i="1"/>
  <c r="I101" i="1"/>
  <c r="G101" i="1"/>
  <c r="E101" i="1"/>
  <c r="C101" i="1"/>
  <c r="I100" i="1"/>
  <c r="G100" i="1"/>
  <c r="E100" i="1"/>
  <c r="C100" i="1"/>
  <c r="I99" i="1"/>
  <c r="G99" i="1"/>
  <c r="E99" i="1"/>
  <c r="C99" i="1"/>
  <c r="I98" i="1"/>
  <c r="G98" i="1"/>
  <c r="E98" i="1"/>
  <c r="C98" i="1"/>
  <c r="I97" i="1"/>
  <c r="G97" i="1"/>
  <c r="E97" i="1"/>
  <c r="C97" i="1"/>
  <c r="I96" i="1"/>
  <c r="G96" i="1"/>
  <c r="E96" i="1"/>
  <c r="C96" i="1"/>
  <c r="I95" i="1"/>
  <c r="G95" i="1"/>
  <c r="E95" i="1"/>
  <c r="C95" i="1"/>
  <c r="I94" i="1"/>
  <c r="G94" i="1"/>
  <c r="E94" i="1"/>
  <c r="C94" i="1"/>
  <c r="I93" i="1"/>
  <c r="G93" i="1"/>
  <c r="E93" i="1"/>
  <c r="C93" i="1"/>
  <c r="I92" i="1"/>
  <c r="G92" i="1"/>
  <c r="E92" i="1"/>
  <c r="C92" i="1"/>
  <c r="I91" i="1"/>
  <c r="G91" i="1"/>
  <c r="E91" i="1"/>
  <c r="C91" i="1"/>
  <c r="I90" i="1"/>
  <c r="G90" i="1"/>
  <c r="E90" i="1"/>
  <c r="C90" i="1"/>
  <c r="I89" i="1"/>
  <c r="G89" i="1"/>
  <c r="E89" i="1"/>
  <c r="C89" i="1"/>
  <c r="I88" i="1"/>
  <c r="G88" i="1"/>
  <c r="E88" i="1"/>
  <c r="C88" i="1"/>
  <c r="I87" i="1"/>
  <c r="G87" i="1"/>
  <c r="E87" i="1"/>
  <c r="C87" i="1"/>
  <c r="I86" i="1"/>
  <c r="G86" i="1"/>
  <c r="E86" i="1"/>
  <c r="C86" i="1"/>
  <c r="I85" i="1"/>
  <c r="G85" i="1"/>
  <c r="E85" i="1"/>
  <c r="C85" i="1"/>
  <c r="I84" i="1"/>
  <c r="G84" i="1"/>
  <c r="E84" i="1"/>
  <c r="C84" i="1"/>
  <c r="I83" i="1"/>
  <c r="G83" i="1"/>
  <c r="E83" i="1"/>
  <c r="C83" i="1"/>
  <c r="I82" i="1"/>
  <c r="G82" i="1"/>
  <c r="E82" i="1"/>
  <c r="C82" i="1"/>
  <c r="I81" i="1"/>
  <c r="G81" i="1"/>
  <c r="E81" i="1"/>
  <c r="C81" i="1"/>
  <c r="I80" i="1"/>
  <c r="G80" i="1"/>
  <c r="E80" i="1"/>
  <c r="C80" i="1"/>
  <c r="I79" i="1"/>
  <c r="G79" i="1"/>
  <c r="E79" i="1"/>
  <c r="C79" i="1"/>
  <c r="I78" i="1"/>
  <c r="G78" i="1"/>
  <c r="E78" i="1"/>
  <c r="C78" i="1"/>
  <c r="I77" i="1"/>
  <c r="G77" i="1"/>
  <c r="E77" i="1"/>
  <c r="C77" i="1"/>
  <c r="I76" i="1"/>
  <c r="G76" i="1"/>
  <c r="E76" i="1"/>
  <c r="C76" i="1"/>
  <c r="I75" i="1"/>
  <c r="G75" i="1"/>
  <c r="E75" i="1"/>
  <c r="C75" i="1"/>
  <c r="I74" i="1"/>
  <c r="G74" i="1"/>
  <c r="E74" i="1"/>
  <c r="C74" i="1"/>
  <c r="I73" i="1"/>
  <c r="G73" i="1"/>
  <c r="E73" i="1"/>
  <c r="C73" i="1"/>
  <c r="I72" i="1"/>
  <c r="G72" i="1"/>
  <c r="E72" i="1"/>
  <c r="C72" i="1"/>
  <c r="I71" i="1"/>
  <c r="G71" i="1"/>
  <c r="E71" i="1"/>
  <c r="C71" i="1"/>
  <c r="I70" i="1"/>
  <c r="G70" i="1"/>
  <c r="E70" i="1"/>
  <c r="C70" i="1"/>
  <c r="I69" i="1"/>
  <c r="G69" i="1"/>
  <c r="E69" i="1"/>
  <c r="C69" i="1"/>
  <c r="I68" i="1"/>
  <c r="G68" i="1"/>
  <c r="E68" i="1"/>
  <c r="C68" i="1"/>
  <c r="I67" i="1"/>
  <c r="G67" i="1"/>
  <c r="E67" i="1"/>
  <c r="C67" i="1"/>
  <c r="I66" i="1"/>
  <c r="G66" i="1"/>
  <c r="E66" i="1"/>
  <c r="C66" i="1"/>
  <c r="I65" i="1"/>
  <c r="G65" i="1"/>
  <c r="E65" i="1"/>
  <c r="C65" i="1"/>
  <c r="I64" i="1"/>
  <c r="G64" i="1"/>
  <c r="E64" i="1"/>
  <c r="C64" i="1"/>
  <c r="I63" i="1"/>
  <c r="G63" i="1"/>
  <c r="E63" i="1"/>
  <c r="C63" i="1"/>
  <c r="I62" i="1"/>
  <c r="G62" i="1"/>
  <c r="E62" i="1"/>
  <c r="C62" i="1"/>
  <c r="I61" i="1"/>
  <c r="G61" i="1"/>
  <c r="E61" i="1"/>
  <c r="C61" i="1"/>
  <c r="I60" i="1"/>
  <c r="G60" i="1"/>
  <c r="E60" i="1"/>
  <c r="C60" i="1"/>
  <c r="I59" i="1"/>
  <c r="G59" i="1"/>
  <c r="E59" i="1"/>
  <c r="C59" i="1"/>
  <c r="I58" i="1"/>
  <c r="G58" i="1"/>
  <c r="E58" i="1"/>
  <c r="C58" i="1"/>
  <c r="I57" i="1"/>
  <c r="G57" i="1"/>
  <c r="E57" i="1"/>
  <c r="C57" i="1"/>
  <c r="I56" i="1"/>
  <c r="G56" i="1"/>
  <c r="E56" i="1"/>
  <c r="C56" i="1"/>
  <c r="I55" i="1"/>
  <c r="G55" i="1"/>
  <c r="E55" i="1"/>
  <c r="C55" i="1"/>
  <c r="I54" i="1"/>
  <c r="G54" i="1"/>
  <c r="E54" i="1"/>
  <c r="C54" i="1"/>
  <c r="I53" i="1"/>
  <c r="G53" i="1"/>
  <c r="E53" i="1"/>
  <c r="C53" i="1"/>
  <c r="I52" i="1"/>
  <c r="G52" i="1"/>
  <c r="E52" i="1"/>
  <c r="C52" i="1"/>
  <c r="I51" i="1"/>
  <c r="G51" i="1"/>
  <c r="E51" i="1"/>
  <c r="C51" i="1"/>
  <c r="I50" i="1"/>
  <c r="G50" i="1"/>
  <c r="E50" i="1"/>
  <c r="C50" i="1"/>
  <c r="I49" i="1"/>
  <c r="G49" i="1"/>
  <c r="E49" i="1"/>
  <c r="C49" i="1"/>
  <c r="I48" i="1"/>
  <c r="G48" i="1"/>
  <c r="E48" i="1"/>
  <c r="C48" i="1"/>
  <c r="I47" i="1"/>
  <c r="G47" i="1"/>
  <c r="E47" i="1"/>
  <c r="C47" i="1"/>
  <c r="I46" i="1"/>
  <c r="G46" i="1"/>
  <c r="E46" i="1"/>
  <c r="C46" i="1"/>
  <c r="I45" i="1"/>
  <c r="G45" i="1"/>
  <c r="E45" i="1"/>
  <c r="C45" i="1"/>
  <c r="I44" i="1"/>
  <c r="G44" i="1"/>
  <c r="E44" i="1"/>
  <c r="C44" i="1"/>
  <c r="I43" i="1"/>
  <c r="G43" i="1"/>
  <c r="E43" i="1"/>
  <c r="C43" i="1"/>
  <c r="I42" i="1"/>
  <c r="G42" i="1"/>
  <c r="E42" i="1"/>
  <c r="C42" i="1"/>
  <c r="I41" i="1"/>
  <c r="G41" i="1"/>
  <c r="E41" i="1"/>
  <c r="C41" i="1"/>
  <c r="I40" i="1"/>
  <c r="G40" i="1"/>
  <c r="E40" i="1"/>
  <c r="C40" i="1"/>
  <c r="I39" i="1"/>
  <c r="G39" i="1"/>
  <c r="E39" i="1"/>
  <c r="C39" i="1"/>
  <c r="I38" i="1"/>
  <c r="G38" i="1"/>
  <c r="E38" i="1"/>
  <c r="C38" i="1"/>
  <c r="I37" i="1"/>
  <c r="G37" i="1"/>
  <c r="E37" i="1"/>
  <c r="C37" i="1"/>
  <c r="I36" i="1"/>
  <c r="G36" i="1"/>
  <c r="E36" i="1"/>
  <c r="C36" i="1"/>
  <c r="I35" i="1"/>
  <c r="G35" i="1"/>
  <c r="E35" i="1"/>
  <c r="C35" i="1"/>
  <c r="I34" i="1"/>
  <c r="G34" i="1"/>
  <c r="E34" i="1"/>
  <c r="C34" i="1"/>
  <c r="I33" i="1"/>
  <c r="G33" i="1"/>
  <c r="E33" i="1"/>
  <c r="C33" i="1"/>
  <c r="I32" i="1"/>
  <c r="G32" i="1"/>
  <c r="E32" i="1"/>
  <c r="C32" i="1"/>
  <c r="I31" i="1"/>
  <c r="G31" i="1"/>
  <c r="E31" i="1"/>
  <c r="C31" i="1"/>
  <c r="I30" i="1"/>
  <c r="G30" i="1"/>
  <c r="E30" i="1"/>
  <c r="C30" i="1"/>
  <c r="I29" i="1"/>
  <c r="G29" i="1"/>
  <c r="E29" i="1"/>
  <c r="C29" i="1"/>
  <c r="I28" i="1"/>
  <c r="G28" i="1"/>
  <c r="E28" i="1"/>
  <c r="C28" i="1"/>
  <c r="I27" i="1"/>
  <c r="G27" i="1"/>
  <c r="E27" i="1"/>
  <c r="C27" i="1"/>
  <c r="I26" i="1"/>
  <c r="G26" i="1"/>
  <c r="E26" i="1"/>
  <c r="C26" i="1"/>
  <c r="I25" i="1"/>
  <c r="G25" i="1"/>
  <c r="E25" i="1"/>
  <c r="C25" i="1"/>
  <c r="I24" i="1"/>
  <c r="G24" i="1"/>
  <c r="E24" i="1"/>
  <c r="C24" i="1"/>
  <c r="I23" i="1"/>
  <c r="G23" i="1"/>
  <c r="E23" i="1"/>
  <c r="C23" i="1"/>
  <c r="I22" i="1"/>
  <c r="G22" i="1"/>
  <c r="E22" i="1"/>
  <c r="C22" i="1"/>
  <c r="I21" i="1"/>
  <c r="G21" i="1"/>
  <c r="E21" i="1"/>
  <c r="C21" i="1"/>
  <c r="I20" i="1"/>
  <c r="G20" i="1"/>
  <c r="E20" i="1"/>
  <c r="C20" i="1"/>
  <c r="I19" i="1"/>
  <c r="G19" i="1"/>
  <c r="E19" i="1"/>
  <c r="C19" i="1"/>
  <c r="I18" i="1"/>
  <c r="G18" i="1"/>
  <c r="E18" i="1"/>
  <c r="C18" i="1"/>
  <c r="I17" i="1"/>
  <c r="G17" i="1"/>
  <c r="E17" i="1"/>
  <c r="C17" i="1"/>
  <c r="I16" i="1"/>
  <c r="G16" i="1"/>
  <c r="E16" i="1"/>
  <c r="C16" i="1"/>
  <c r="I15" i="1"/>
  <c r="G15" i="1"/>
  <c r="E15" i="1"/>
  <c r="C15" i="1"/>
  <c r="I14" i="1"/>
  <c r="G14" i="1"/>
  <c r="E14" i="1"/>
  <c r="C14" i="1"/>
  <c r="I13" i="1"/>
  <c r="G13" i="1"/>
  <c r="E13" i="1"/>
  <c r="C13" i="1"/>
  <c r="I12" i="1"/>
  <c r="G12" i="1"/>
  <c r="E12" i="1"/>
  <c r="C12" i="1"/>
  <c r="I11" i="1"/>
  <c r="G11" i="1"/>
  <c r="E11" i="1"/>
  <c r="C11" i="1"/>
  <c r="I10" i="1"/>
  <c r="G10" i="1"/>
  <c r="E10" i="1"/>
  <c r="C10" i="1"/>
  <c r="I9" i="1"/>
  <c r="G9" i="1"/>
  <c r="E9" i="1"/>
  <c r="C9" i="1"/>
  <c r="I8" i="1"/>
  <c r="G8" i="1"/>
  <c r="E8" i="1"/>
  <c r="C8" i="1"/>
  <c r="I7" i="1"/>
  <c r="G7" i="1"/>
  <c r="E7" i="1"/>
  <c r="C7" i="1"/>
  <c r="I6" i="1"/>
  <c r="G6" i="1"/>
  <c r="E6" i="1"/>
  <c r="C6" i="1"/>
  <c r="I5" i="1"/>
  <c r="G5" i="1"/>
  <c r="E5" i="1"/>
  <c r="C5" i="1"/>
  <c r="I4" i="1"/>
  <c r="G4" i="1"/>
  <c r="E4" i="1"/>
  <c r="C4" i="1"/>
  <c r="I3" i="1"/>
  <c r="G3" i="1"/>
  <c r="E3" i="1"/>
  <c r="C3" i="1"/>
</calcChain>
</file>

<file path=xl/sharedStrings.xml><?xml version="1.0" encoding="utf-8"?>
<sst xmlns="http://schemas.openxmlformats.org/spreadsheetml/2006/main" count="23" uniqueCount="23">
  <si>
    <t>Date</t>
  </si>
  <si>
    <t>Rm_minus_Rf</t>
  </si>
  <si>
    <t>Ret_MKT</t>
  </si>
  <si>
    <t>SMB</t>
  </si>
  <si>
    <t>Ret_SMP</t>
  </si>
  <si>
    <t>HML</t>
  </si>
  <si>
    <t>ret_HML</t>
  </si>
  <si>
    <t>Risk_Free</t>
  </si>
  <si>
    <t>Risk_Free2</t>
  </si>
  <si>
    <t>Open</t>
  </si>
  <si>
    <t>High</t>
  </si>
  <si>
    <t>Low</t>
  </si>
  <si>
    <t>Close</t>
  </si>
  <si>
    <t>Volume</t>
  </si>
  <si>
    <t>Adjusted</t>
  </si>
  <si>
    <t>ret_simple</t>
  </si>
  <si>
    <t>ret_log</t>
  </si>
  <si>
    <t>Close_CVCB3</t>
  </si>
  <si>
    <t>ret_CVCB3</t>
  </si>
  <si>
    <t>log_CVCB3</t>
  </si>
  <si>
    <t>Selic - % a.d.</t>
  </si>
  <si>
    <t>Close_USD</t>
  </si>
  <si>
    <t>Ret_USD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</si>
</sst>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0" fillId="4" borderId="0" xfId="0" applyFill="1"/>
    <xf numFmtId="2" fontId="2" fillId="5" borderId="3" xfId="0" applyNumberFormat="1" applyFont="1" applyFill="1" applyBorder="1"/>
    <xf numFmtId="2" fontId="2" fillId="5" borderId="4" xfId="0" applyNumberFormat="1" applyFont="1" applyFill="1" applyBorder="1"/>
    <xf numFmtId="2" fontId="3" fillId="5" borderId="3" xfId="0" applyNumberFormat="1" applyFont="1" applyFill="1" applyBorder="1"/>
    <xf numFmtId="2" fontId="3" fillId="5" borderId="4" xfId="0" applyNumberFormat="1" applyFont="1" applyFill="1" applyBorder="1"/>
    <xf numFmtId="2" fontId="2" fillId="6" borderId="4" xfId="0" applyNumberFormat="1" applyFont="1" applyFill="1" applyBorder="1"/>
    <xf numFmtId="2" fontId="3" fillId="6" borderId="4" xfId="0" applyNumberFormat="1" applyFont="1" applyFill="1" applyBorder="1"/>
    <xf numFmtId="14" fontId="0" fillId="3" borderId="1" xfId="0" applyNumberFormat="1" applyFill="1" applyBorder="1"/>
    <xf numFmtId="14" fontId="0" fillId="0" borderId="1" xfId="0" applyNumberFormat="1" applyBorder="1"/>
    <xf numFmtId="2" fontId="0" fillId="7" borderId="0" xfId="0" applyNumberFormat="1" applyFill="1"/>
    <xf numFmtId="0" fontId="0" fillId="7" borderId="0" xfId="0" applyFill="1"/>
    <xf numFmtId="2" fontId="3" fillId="5" borderId="5" xfId="0" applyNumberFormat="1" applyFont="1" applyFill="1" applyBorder="1"/>
    <xf numFmtId="2" fontId="3" fillId="5" borderId="6" xfId="0" applyNumberFormat="1" applyFont="1" applyFill="1" applyBorder="1"/>
  </cellXfs>
  <cellStyles count="1">
    <cellStyle name="Normal" xfId="0" builtinId="0"/>
  </cellStyles>
  <dxfs count="14">
    <dxf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2" formatCode="0.00"/>
      <fill>
        <patternFill patternType="solid">
          <fgColor indexed="64"/>
          <bgColor theme="6" tint="0.59999389629810485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3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dd/mm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niellauvrs/Downloads/NEFIN%20OFICIAL.xlsx" TargetMode="External"/><Relationship Id="rId1" Type="http://schemas.openxmlformats.org/officeDocument/2006/relationships/externalLinkPath" Target="NEFIN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fin_factors (2)"/>
      <sheetName val="nefin_factors (1)"/>
    </sheetNames>
    <sheetDataSet>
      <sheetData sheetId="0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2A9A64-C233-0044-A3A1-6B4B57D30B98}" name="Tabela1" displayName="Tabela1" ref="A1:W2972" totalsRowShown="0" headerRowDxfId="2" tableBorderDxfId="13">
  <autoFilter ref="A1:W2972" xr:uid="{382A9A64-C233-0044-A3A1-6B4B57D30B98}"/>
  <tableColumns count="23">
    <tableColumn id="1" xr3:uid="{9E58C801-ABED-1A40-B998-8D87E4998BB1}" name="Date" dataDxfId="12"/>
    <tableColumn id="2" xr3:uid="{FFC47806-1C44-4E40-B92B-E1D9B136D955}" name="Rm_minus_Rf" dataDxfId="11"/>
    <tableColumn id="3" xr3:uid="{5BAF9926-92C4-134D-9A88-42D2A8BD0F34}" name="Ret_MKT" dataDxfId="10">
      <calculatedColumnFormula>[1]!nefin_factors__1[[#This Row],[Rm_minus_Rf]]/B1-1</calculatedColumnFormula>
    </tableColumn>
    <tableColumn id="4" xr3:uid="{D3995C83-46F6-D743-A176-527FA763A8DB}" name="SMB" dataDxfId="9"/>
    <tableColumn id="5" xr3:uid="{B635B162-30C3-C746-A47B-30C9382DE0F7}" name="Ret_SMP" dataDxfId="8">
      <calculatedColumnFormula>[1]!nefin_factors__1[[#This Row],[SMB]]/D1-1</calculatedColumnFormula>
    </tableColumn>
    <tableColumn id="6" xr3:uid="{714DE3B8-21DA-2F46-90C0-51230D359530}" name="HML" dataDxfId="7"/>
    <tableColumn id="7" xr3:uid="{1C400F94-A4D6-8840-9172-DE9CA800FE45}" name="ret_HML" dataDxfId="6">
      <calculatedColumnFormula>[1]!nefin_factors__1[[#This Row],[HML]]/F1-1</calculatedColumnFormula>
    </tableColumn>
    <tableColumn id="8" xr3:uid="{90D30CBC-0845-1C40-82B5-E438C096EC79}" name="Risk_Free" dataDxfId="5"/>
    <tableColumn id="9" xr3:uid="{496C9C0C-11F7-E247-8F90-719E2CCF623C}" name="Risk_Free2" dataDxfId="4">
      <calculatedColumnFormula>[1]!nefin_factors__1[[#This Row],[Risk_Free]]/H1-1</calculatedColumnFormula>
    </tableColumn>
    <tableColumn id="10" xr3:uid="{F1532048-4183-D64A-A371-EEF8B23BFB91}" name="Open"/>
    <tableColumn id="11" xr3:uid="{1BAADBFB-8196-1C43-8291-0A4182835EB8}" name="High"/>
    <tableColumn id="12" xr3:uid="{DD41C418-440E-374C-99C2-3F34EB7CC190}" name="Low"/>
    <tableColumn id="13" xr3:uid="{F4035DF0-1753-E540-8567-598B829F7269}" name="Close"/>
    <tableColumn id="14" xr3:uid="{5A758457-DC1F-A147-AF55-46A141DF9ED9}" name="Volume"/>
    <tableColumn id="15" xr3:uid="{D5F6F94C-D293-C84A-90A9-56087DD7D7FB}" name="Adjusted"/>
    <tableColumn id="16" xr3:uid="{7861137A-A28B-C641-87EB-FFB123C09E1F}" name="ret_simple"/>
    <tableColumn id="17" xr3:uid="{95856E41-F1C2-3D4F-AA5A-CD1472E7769D}" name="ret_log"/>
    <tableColumn id="18" xr3:uid="{FCA25F52-F457-1D49-B6C6-CCF5B0342B80}" name="Close_CVCB3"/>
    <tableColumn id="19" xr3:uid="{13B1627F-0299-9045-B420-B09AD0CB6018}" name="ret_CVCB3"/>
    <tableColumn id="20" xr3:uid="{76630E74-2C6A-BE4D-BE08-E4DE6181019D}" name="log_CVCB3"/>
    <tableColumn id="21" xr3:uid="{0780BDAE-6406-5146-A137-DDD5ED45CEE8}" name="Selic - % a.d." dataDxfId="3"/>
    <tableColumn id="22" xr3:uid="{6AC5B862-4A4C-144B-97AF-56B871C3910D}" name="Close_USD" dataDxfId="1"/>
    <tableColumn id="23" xr3:uid="{7D8CB3BC-4DB5-DF4B-BAFD-373D0F346BA8}" name="Ret_US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40F3-DEB4-0F4A-AAA7-6FF9ECFE9BAB}">
  <dimension ref="A1:W2972"/>
  <sheetViews>
    <sheetView tabSelected="1" topLeftCell="E1" workbookViewId="0">
      <selection activeCell="V3" sqref="V3"/>
    </sheetView>
  </sheetViews>
  <sheetFormatPr baseColWidth="10" defaultRowHeight="16" x14ac:dyDescent="0.2"/>
  <cols>
    <col min="2" max="2" width="15.33203125" customWidth="1"/>
    <col min="4" max="4" width="10.5" customWidth="1"/>
    <col min="5" max="5" width="11.1640625" customWidth="1"/>
    <col min="8" max="8" width="11.6640625" customWidth="1"/>
    <col min="9" max="9" width="12.6640625" customWidth="1"/>
    <col min="16" max="16" width="23.33203125" customWidth="1"/>
    <col min="18" max="18" width="14" customWidth="1"/>
    <col min="19" max="20" width="11.83203125" customWidth="1"/>
    <col min="21" max="21" width="13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0" t="s">
        <v>17</v>
      </c>
      <c r="S1" s="10" t="s">
        <v>18</v>
      </c>
      <c r="T1" s="11" t="s">
        <v>19</v>
      </c>
      <c r="U1" s="13" t="s">
        <v>20</v>
      </c>
      <c r="V1" s="18" t="s">
        <v>21</v>
      </c>
      <c r="W1" s="19" t="s">
        <v>22</v>
      </c>
    </row>
    <row r="2" spans="1:23" x14ac:dyDescent="0.2">
      <c r="A2" s="14">
        <v>41526</v>
      </c>
      <c r="B2" s="3">
        <v>196649296053536</v>
      </c>
      <c r="C2" s="3"/>
      <c r="D2" s="3">
        <v>-666050936782388</v>
      </c>
      <c r="E2" s="3"/>
      <c r="F2" s="3">
        <v>-759909716245502</v>
      </c>
      <c r="G2" s="3"/>
      <c r="H2" s="3">
        <v>335837514604309</v>
      </c>
      <c r="I2" s="4"/>
      <c r="J2">
        <v>50942</v>
      </c>
      <c r="K2">
        <v>51298</v>
      </c>
      <c r="L2">
        <v>50832</v>
      </c>
      <c r="M2">
        <v>51165</v>
      </c>
      <c r="N2">
        <v>2277900</v>
      </c>
      <c r="O2">
        <v>51165</v>
      </c>
      <c r="R2" s="8"/>
      <c r="S2" s="8"/>
      <c r="T2" s="9"/>
      <c r="U2" s="12"/>
      <c r="V2" s="16"/>
      <c r="W2" s="17"/>
    </row>
    <row r="3" spans="1:23" x14ac:dyDescent="0.2">
      <c r="A3" s="15">
        <v>41527</v>
      </c>
      <c r="B3" s="5">
        <v>655037730365166</v>
      </c>
      <c r="C3" s="5">
        <f>[1]!nefin_factors__1[[#This Row],[Rm_minus_Rf]]/B2-1</f>
        <v>2.3309945344876182</v>
      </c>
      <c r="D3" s="5">
        <v>-118797838709092</v>
      </c>
      <c r="E3" s="5">
        <f>[1]!nefin_factors__1[[#This Row],[SMB]]/D2-1</f>
        <v>-0.82163850818528972</v>
      </c>
      <c r="F3" s="5">
        <v>-755573964176501</v>
      </c>
      <c r="G3" s="5">
        <f>[1]!nefin_factors__1[[#This Row],[HML]]/F2-1</f>
        <v>-5.7056147280530878E-3</v>
      </c>
      <c r="H3" s="5">
        <v>336202249054063</v>
      </c>
      <c r="I3" s="6">
        <f>[1]!nefin_factors__1[[#This Row],[Risk_Free]]/H2-1</f>
        <v>1.0860443931755004E-3</v>
      </c>
      <c r="J3">
        <v>51167</v>
      </c>
      <c r="K3">
        <v>51334</v>
      </c>
      <c r="L3">
        <v>50956</v>
      </c>
      <c r="M3">
        <v>50993</v>
      </c>
      <c r="N3">
        <v>2128000</v>
      </c>
      <c r="O3">
        <v>50993</v>
      </c>
      <c r="P3">
        <v>-3.3616730186650798E-3</v>
      </c>
      <c r="Q3">
        <v>-3.3673361366697899E-3</v>
      </c>
      <c r="R3" s="8">
        <v>13.1046142578125</v>
      </c>
      <c r="S3" s="8">
        <v>2.25080014466905E-2</v>
      </c>
      <c r="T3" s="9">
        <v>2.2258434279938101E-2</v>
      </c>
      <c r="U3" s="12">
        <v>3.7468000000000001E-2</v>
      </c>
      <c r="V3" s="16">
        <v>2.3102</v>
      </c>
      <c r="W3" s="17">
        <v>-5.2960172228201374E-3</v>
      </c>
    </row>
    <row r="4" spans="1:23" x14ac:dyDescent="0.2">
      <c r="A4" s="14">
        <v>41528</v>
      </c>
      <c r="B4" s="3">
        <v>-220128561005763</v>
      </c>
      <c r="C4" s="3">
        <f>[1]!nefin_factors__1[[#This Row],[Rm_minus_Rf]]/B3-1</f>
        <v>-1.3360547809712384</v>
      </c>
      <c r="D4" s="3">
        <v>-179922756548945</v>
      </c>
      <c r="E4" s="3">
        <f>[1]!nefin_factors__1[[#This Row],[SMB]]/D3-1</f>
        <v>0.51452887109784529</v>
      </c>
      <c r="F4" s="3">
        <v>-221602852119878</v>
      </c>
      <c r="G4" s="3">
        <f>[1]!nefin_factors__1[[#This Row],[HML]]/F3-1</f>
        <v>-0.7067092533271675</v>
      </c>
      <c r="H4" s="3">
        <v>337296252168162</v>
      </c>
      <c r="I4" s="4">
        <f>[1]!nefin_factors__1[[#This Row],[Risk_Free]]/H3-1</f>
        <v>3.2540029615419908E-3</v>
      </c>
      <c r="J4">
        <v>50991</v>
      </c>
      <c r="K4">
        <v>51039</v>
      </c>
      <c r="L4">
        <v>50068</v>
      </c>
      <c r="M4">
        <v>50068</v>
      </c>
      <c r="N4">
        <v>3083200</v>
      </c>
      <c r="O4">
        <v>50068</v>
      </c>
      <c r="P4">
        <v>-1.81397446708371E-2</v>
      </c>
      <c r="Q4">
        <v>-1.8306286936271801E-2</v>
      </c>
      <c r="R4" s="8">
        <v>12.980985641479499</v>
      </c>
      <c r="S4" s="8">
        <v>-9.4338747858638793E-3</v>
      </c>
      <c r="T4" s="9">
        <v>-9.4786556431340693E-3</v>
      </c>
      <c r="U4" s="12">
        <v>3.7468000000000001E-2</v>
      </c>
      <c r="V4" s="16">
        <v>2.3262</v>
      </c>
      <c r="W4" s="17">
        <f t="shared" ref="W4:W67" si="0">V4/V3-1</f>
        <v>6.925807289412278E-3</v>
      </c>
    </row>
    <row r="5" spans="1:23" x14ac:dyDescent="0.2">
      <c r="A5" s="15">
        <v>41529</v>
      </c>
      <c r="B5" s="5">
        <v>-856779755100608</v>
      </c>
      <c r="C5" s="5">
        <f>[1]!nefin_factors__1[[#This Row],[Rm_minus_Rf]]/B4-1</f>
        <v>2.8921789666274944</v>
      </c>
      <c r="D5" s="5">
        <v>12709692838196</v>
      </c>
      <c r="E5" s="5">
        <f>[1]!nefin_factors__1[[#This Row],[SMB]]/D4-1</f>
        <v>-1.0706397182989942</v>
      </c>
      <c r="F5" s="5">
        <v>-411141672618236</v>
      </c>
      <c r="G5" s="5">
        <f>[1]!nefin_factors__1[[#This Row],[HML]]/F4-1</f>
        <v>0.85530857877147404</v>
      </c>
      <c r="H5" s="5">
        <v>338025420776544</v>
      </c>
      <c r="I5" s="6">
        <f>[1]!nefin_factors__1[[#This Row],[Risk_Free]]/H4-1</f>
        <v>2.1618046559808146E-3</v>
      </c>
      <c r="J5">
        <v>50077</v>
      </c>
      <c r="K5">
        <v>50331</v>
      </c>
      <c r="L5">
        <v>49842</v>
      </c>
      <c r="M5">
        <v>50122</v>
      </c>
      <c r="N5">
        <v>3049400</v>
      </c>
      <c r="O5">
        <v>50122</v>
      </c>
      <c r="P5">
        <v>1.07853319485507E-3</v>
      </c>
      <c r="Q5">
        <v>1.0779519957863201E-3</v>
      </c>
      <c r="R5" s="8">
        <v>12.7749376296997</v>
      </c>
      <c r="S5" s="8">
        <v>-1.5872952385653099E-2</v>
      </c>
      <c r="T5" s="9">
        <v>-1.6000276835090699E-2</v>
      </c>
      <c r="U5" s="12">
        <v>3.7468000000000001E-2</v>
      </c>
      <c r="V5" s="16">
        <v>2.3338000000000001</v>
      </c>
      <c r="W5" s="17">
        <f t="shared" si="0"/>
        <v>3.2671309431691054E-3</v>
      </c>
    </row>
    <row r="6" spans="1:23" x14ac:dyDescent="0.2">
      <c r="A6" s="14">
        <v>41530</v>
      </c>
      <c r="B6" s="3">
        <v>680239806766736</v>
      </c>
      <c r="C6" s="3">
        <f>[1]!nefin_factors__1[[#This Row],[Rm_minus_Rf]]/B5-1</f>
        <v>-1.7939494400014837</v>
      </c>
      <c r="D6" s="3">
        <v>327448590587119</v>
      </c>
      <c r="E6" s="3">
        <f>[1]!nefin_factors__1[[#This Row],[SMB]]/D5-1</f>
        <v>24.763690339002459</v>
      </c>
      <c r="F6" s="3">
        <v>-370142901457</v>
      </c>
      <c r="G6" s="3">
        <f>[1]!nefin_factors__1[[#This Row],[HML]]/F5-1</f>
        <v>-0.99909971932764718</v>
      </c>
      <c r="H6" s="3">
        <v>337660853148458</v>
      </c>
      <c r="I6" s="4">
        <f>[1]!nefin_factors__1[[#This Row],[Risk_Free]]/H5-1</f>
        <v>-1.0785213350181788E-3</v>
      </c>
      <c r="J6">
        <v>50133</v>
      </c>
      <c r="K6">
        <v>50519</v>
      </c>
      <c r="L6">
        <v>50006</v>
      </c>
      <c r="M6">
        <v>50051</v>
      </c>
      <c r="N6">
        <v>2875700</v>
      </c>
      <c r="O6">
        <v>50051</v>
      </c>
      <c r="P6">
        <v>-1.41654363353416E-3</v>
      </c>
      <c r="Q6">
        <v>-1.4175478799516299E-3</v>
      </c>
      <c r="R6" s="8">
        <v>12.7749376296997</v>
      </c>
      <c r="S6" s="8">
        <v>0</v>
      </c>
      <c r="T6" s="9">
        <v>0</v>
      </c>
      <c r="U6" s="12">
        <v>3.7468000000000001E-2</v>
      </c>
      <c r="V6" s="16">
        <v>2.3353999999999999</v>
      </c>
      <c r="W6" s="17">
        <f t="shared" si="0"/>
        <v>6.855771702800606E-4</v>
      </c>
    </row>
    <row r="7" spans="1:23" x14ac:dyDescent="0.2">
      <c r="A7" s="15">
        <v>41533</v>
      </c>
      <c r="B7" s="5">
        <v>38924400715793</v>
      </c>
      <c r="C7" s="5">
        <f>[1]!nefin_factors__1[[#This Row],[Rm_minus_Rf]]/B6-1</f>
        <v>-0.94277841383495997</v>
      </c>
      <c r="D7" s="5">
        <v>207305227937265</v>
      </c>
      <c r="E7" s="5">
        <f>[1]!nefin_factors__1[[#This Row],[SMB]]/D6-1</f>
        <v>-0.36690755771596273</v>
      </c>
      <c r="F7" s="5">
        <v>-927293721718776</v>
      </c>
      <c r="G7" s="5">
        <f>[1]!nefin_factors__1[[#This Row],[HML]]/F6-1</f>
        <v>2504.2316769243807</v>
      </c>
      <c r="H7" s="5">
        <v>339118923609272</v>
      </c>
      <c r="I7" s="6">
        <f>[1]!nefin_factors__1[[#This Row],[Risk_Free]]/H6-1</f>
        <v>4.3181507338456715E-3</v>
      </c>
      <c r="J7">
        <v>50049</v>
      </c>
      <c r="K7">
        <v>50611</v>
      </c>
      <c r="L7">
        <v>50049</v>
      </c>
      <c r="M7">
        <v>50280</v>
      </c>
      <c r="N7">
        <v>2796500</v>
      </c>
      <c r="O7">
        <v>50280</v>
      </c>
      <c r="P7">
        <v>4.57533316017655E-3</v>
      </c>
      <c r="Q7">
        <v>4.5648981404349401E-3</v>
      </c>
      <c r="R7" s="8">
        <v>12.568890571594199</v>
      </c>
      <c r="S7" s="8">
        <v>-1.6128966706210699E-2</v>
      </c>
      <c r="T7" s="9">
        <v>-1.6260454245308101E-2</v>
      </c>
      <c r="U7" s="12">
        <v>3.7468000000000001E-2</v>
      </c>
      <c r="V7" s="16">
        <v>2.3254999999999999</v>
      </c>
      <c r="W7" s="17">
        <f t="shared" si="0"/>
        <v>-4.2391025092061163E-3</v>
      </c>
    </row>
    <row r="8" spans="1:23" x14ac:dyDescent="0.2">
      <c r="A8" s="14">
        <v>41534</v>
      </c>
      <c r="B8" s="3">
        <v>352408825368144</v>
      </c>
      <c r="C8" s="3">
        <f>[1]!nefin_factors__1[[#This Row],[Rm_minus_Rf]]/B7-1</f>
        <v>8.0536737595849317</v>
      </c>
      <c r="D8" s="3">
        <v>-612028683312227</v>
      </c>
      <c r="E8" s="3">
        <f>[1]!nefin_factors__1[[#This Row],[SMB]]/D7-1</f>
        <v>-3.9523070373190974</v>
      </c>
      <c r="F8" s="3">
        <v>471519873523373</v>
      </c>
      <c r="G8" s="3">
        <f>[1]!nefin_factors__1[[#This Row],[HML]]/F7-1</f>
        <v>-1.5084903116235835</v>
      </c>
      <c r="H8" s="3">
        <v>339483357890247</v>
      </c>
      <c r="I8" s="4">
        <f>[1]!nefin_factors__1[[#This Row],[Risk_Free]]/H7-1</f>
        <v>1.0746503825156406E-3</v>
      </c>
      <c r="J8">
        <v>50279</v>
      </c>
      <c r="K8">
        <v>50563</v>
      </c>
      <c r="L8">
        <v>50049</v>
      </c>
      <c r="M8">
        <v>50090</v>
      </c>
      <c r="N8">
        <v>2678300</v>
      </c>
      <c r="O8">
        <v>50090</v>
      </c>
      <c r="P8">
        <v>-3.7788385043755501E-3</v>
      </c>
      <c r="Q8">
        <v>-3.7859963525212902E-3</v>
      </c>
      <c r="R8" s="8">
        <v>12.4864721298218</v>
      </c>
      <c r="S8" s="8">
        <v>-6.5574905860766898E-3</v>
      </c>
      <c r="T8" s="9">
        <v>-6.57908538436383E-3</v>
      </c>
      <c r="U8" s="12">
        <v>3.7468000000000001E-2</v>
      </c>
      <c r="V8" s="16">
        <v>2.3220999999999998</v>
      </c>
      <c r="W8" s="17">
        <f t="shared" si="0"/>
        <v>-1.4620511717909901E-3</v>
      </c>
    </row>
    <row r="9" spans="1:23" x14ac:dyDescent="0.2">
      <c r="A9" s="15">
        <v>41535</v>
      </c>
      <c r="B9" s="5">
        <v>172495901066273</v>
      </c>
      <c r="C9" s="5">
        <f>[1]!nefin_factors__1[[#This Row],[Rm_minus_Rf]]/B8-1</f>
        <v>-0.51052332220660168</v>
      </c>
      <c r="D9" s="5">
        <v>421923012140918</v>
      </c>
      <c r="E9" s="5">
        <f>[1]!nefin_factors__1[[#This Row],[SMB]]/D8-1</f>
        <v>-1.6893843763294236</v>
      </c>
      <c r="F9" s="5">
        <v>555479979670337</v>
      </c>
      <c r="G9" s="5">
        <f>[1]!nefin_factors__1[[#This Row],[HML]]/F8-1</f>
        <v>0.17806270925461254</v>
      </c>
      <c r="H9" s="5">
        <v>339483357890247</v>
      </c>
      <c r="I9" s="6">
        <f>[1]!nefin_factors__1[[#This Row],[Risk_Free]]/H8-1</f>
        <v>0</v>
      </c>
      <c r="J9">
        <v>50110</v>
      </c>
      <c r="K9">
        <v>50869</v>
      </c>
      <c r="L9">
        <v>50110</v>
      </c>
      <c r="M9">
        <v>50563</v>
      </c>
      <c r="N9">
        <v>4527700</v>
      </c>
      <c r="O9">
        <v>50563</v>
      </c>
      <c r="P9">
        <v>9.4430025953284903E-3</v>
      </c>
      <c r="Q9">
        <v>9.3986961518368294E-3</v>
      </c>
      <c r="R9" s="8">
        <v>12.2804250717163</v>
      </c>
      <c r="S9" s="8">
        <v>-1.6501583885226299E-2</v>
      </c>
      <c r="T9" s="9">
        <v>-1.6639251612099702E-2</v>
      </c>
      <c r="U9" s="12">
        <v>3.7468000000000001E-2</v>
      </c>
      <c r="V9" s="16">
        <v>2.3273999999999999</v>
      </c>
      <c r="W9" s="17">
        <f t="shared" si="0"/>
        <v>2.2824167779165183E-3</v>
      </c>
    </row>
    <row r="10" spans="1:23" x14ac:dyDescent="0.2">
      <c r="A10" s="14">
        <v>41536</v>
      </c>
      <c r="B10" s="3">
        <v>-109197310551843</v>
      </c>
      <c r="C10" s="3">
        <f>[1]!nefin_factors__1[[#This Row],[Rm_minus_Rf]]/B9-1</f>
        <v>-1.6330429295817837</v>
      </c>
      <c r="D10" s="3">
        <v>-579505513353788</v>
      </c>
      <c r="E10" s="3">
        <f>[1]!nefin_factors__1[[#This Row],[SMB]]/D9-1</f>
        <v>-2.3734863865643785</v>
      </c>
      <c r="F10" s="3">
        <v>-959563308525209</v>
      </c>
      <c r="G10" s="3">
        <f>[1]!nefin_factors__1[[#This Row],[HML]]/F9-1</f>
        <v>-2.7274489516160152</v>
      </c>
      <c r="H10" s="3">
        <v>339483357890247</v>
      </c>
      <c r="I10" s="4">
        <f>[1]!nefin_factors__1[[#This Row],[Risk_Free]]/H9-1</f>
        <v>0</v>
      </c>
      <c r="J10">
        <v>50578</v>
      </c>
      <c r="K10">
        <v>51168</v>
      </c>
      <c r="L10">
        <v>50578</v>
      </c>
      <c r="M10">
        <v>50819</v>
      </c>
      <c r="N10">
        <v>1146000</v>
      </c>
      <c r="O10">
        <v>50819</v>
      </c>
      <c r="P10">
        <v>5.0629907244428302E-3</v>
      </c>
      <c r="Q10">
        <v>5.0502168846508697E-3</v>
      </c>
      <c r="R10" s="8">
        <v>12.395811080932599</v>
      </c>
      <c r="S10" s="8">
        <v>9.3960463256306196E-3</v>
      </c>
      <c r="T10" s="9">
        <v>9.3521780604303596E-3</v>
      </c>
      <c r="U10" s="12">
        <v>3.7468000000000001E-2</v>
      </c>
      <c r="V10" s="16">
        <v>2.3527999999999998</v>
      </c>
      <c r="W10" s="17">
        <f t="shared" si="0"/>
        <v>1.091346566984619E-2</v>
      </c>
    </row>
    <row r="11" spans="1:23" x14ac:dyDescent="0.2">
      <c r="A11" s="15">
        <v>41537</v>
      </c>
      <c r="B11" s="5">
        <v>-143854042260543</v>
      </c>
      <c r="C11" s="5">
        <f>[1]!nefin_factors__1[[#This Row],[Rm_minus_Rf]]/B10-1</f>
        <v>0.3173771545613866</v>
      </c>
      <c r="D11" s="5">
        <v>-121725175967501</v>
      </c>
      <c r="E11" s="5">
        <f>[1]!nefin_factors__1[[#This Row],[SMB]]/D10-1</f>
        <v>-0.7899499259928735</v>
      </c>
      <c r="F11" s="5">
        <v>-284154940180613</v>
      </c>
      <c r="G11" s="5">
        <f>[1]!nefin_factors__1[[#This Row],[HML]]/F10-1</f>
        <v>-0.70387056522894564</v>
      </c>
      <c r="H11" s="5">
        <v>340212126493267</v>
      </c>
      <c r="I11" s="6">
        <f>[1]!nefin_factors__1[[#This Row],[Risk_Free]]/H10-1</f>
        <v>2.1466990533762775E-3</v>
      </c>
      <c r="J11">
        <v>51620</v>
      </c>
      <c r="K11">
        <v>51641</v>
      </c>
      <c r="L11">
        <v>51025</v>
      </c>
      <c r="M11">
        <v>51186</v>
      </c>
      <c r="N11">
        <v>3715200</v>
      </c>
      <c r="O11">
        <v>51186</v>
      </c>
      <c r="P11">
        <v>7.2217084161436702E-3</v>
      </c>
      <c r="Q11">
        <v>7.1957567485998004E-3</v>
      </c>
      <c r="R11" s="8">
        <v>12.198005676269499</v>
      </c>
      <c r="S11" s="8">
        <v>-1.5957455341030099E-2</v>
      </c>
      <c r="T11" s="9">
        <v>-1.60861464225091E-2</v>
      </c>
      <c r="U11" s="12">
        <v>3.7468000000000001E-2</v>
      </c>
      <c r="V11" s="16">
        <v>2.3816999999999999</v>
      </c>
      <c r="W11" s="17">
        <f t="shared" si="0"/>
        <v>1.2283236994219626E-2</v>
      </c>
    </row>
    <row r="12" spans="1:23" x14ac:dyDescent="0.2">
      <c r="A12" s="14">
        <v>41540</v>
      </c>
      <c r="B12" s="3">
        <v>660618348666257</v>
      </c>
      <c r="C12" s="3">
        <f>[1]!nefin_factors__1[[#This Row],[Rm_minus_Rf]]/B11-1</f>
        <v>-5.5922821374026466</v>
      </c>
      <c r="D12" s="3">
        <v>-967071749648913</v>
      </c>
      <c r="E12" s="3">
        <f>[1]!nefin_factors__1[[#This Row],[SMB]]/D11-1</f>
        <v>6.9447143285059472</v>
      </c>
      <c r="F12" s="3">
        <v>205899991498104</v>
      </c>
      <c r="G12" s="3">
        <f>[1]!nefin_factors__1[[#This Row],[HML]]/F11-1</f>
        <v>-1.7246046518397005</v>
      </c>
      <c r="H12" s="3">
        <v>34094076185931</v>
      </c>
      <c r="I12" s="4">
        <f>[1]!nefin_factors__1[[#This Row],[Risk_Free]]/H11-1</f>
        <v>-0.89978582910210947</v>
      </c>
      <c r="J12">
        <v>51188</v>
      </c>
      <c r="K12">
        <v>51605</v>
      </c>
      <c r="L12">
        <v>51188</v>
      </c>
      <c r="M12">
        <v>51356</v>
      </c>
      <c r="N12">
        <v>2305800</v>
      </c>
      <c r="O12">
        <v>51356</v>
      </c>
      <c r="P12">
        <v>3.3212206462705E-3</v>
      </c>
      <c r="Q12">
        <v>3.31571757422453E-3</v>
      </c>
      <c r="R12" s="8">
        <v>12.115587234497101</v>
      </c>
      <c r="S12" s="8">
        <v>-6.7568736314297401E-3</v>
      </c>
      <c r="T12" s="9">
        <v>-6.7798046551244698E-3</v>
      </c>
      <c r="U12" s="12">
        <v>3.7468000000000001E-2</v>
      </c>
      <c r="V12" s="16">
        <v>2.3706</v>
      </c>
      <c r="W12" s="17">
        <f t="shared" si="0"/>
        <v>-4.6605365915102226E-3</v>
      </c>
    </row>
    <row r="13" spans="1:23" x14ac:dyDescent="0.2">
      <c r="A13" s="15">
        <v>41541</v>
      </c>
      <c r="B13" s="5">
        <v>-233238192652035</v>
      </c>
      <c r="C13" s="5">
        <f>[1]!nefin_factors__1[[#This Row],[Rm_minus_Rf]]/B12-1</f>
        <v>-1.3530604215322311</v>
      </c>
      <c r="D13" s="5">
        <v>-502253464446765</v>
      </c>
      <c r="E13" s="5">
        <f>[1]!nefin_factors__1[[#This Row],[SMB]]/D12-1</f>
        <v>-0.48064508695543662</v>
      </c>
      <c r="F13" s="5">
        <v>-754888091526088</v>
      </c>
      <c r="G13" s="5">
        <f>[1]!nefin_factors__1[[#This Row],[HML]]/F12-1</f>
        <v>-4.6662852000799582</v>
      </c>
      <c r="H13" s="5">
        <v>34094076185931</v>
      </c>
      <c r="I13" s="6">
        <f>[1]!nefin_factors__1[[#This Row],[Risk_Free]]/H12-1</f>
        <v>0</v>
      </c>
      <c r="J13">
        <v>51358</v>
      </c>
      <c r="K13">
        <v>51610</v>
      </c>
      <c r="L13">
        <v>51185</v>
      </c>
      <c r="M13">
        <v>51221</v>
      </c>
      <c r="N13">
        <v>1810000</v>
      </c>
      <c r="O13">
        <v>51221</v>
      </c>
      <c r="P13">
        <v>-2.62870940104365E-3</v>
      </c>
      <c r="Q13">
        <v>-2.6321705244568899E-3</v>
      </c>
      <c r="R13" s="8">
        <v>12.2804250717163</v>
      </c>
      <c r="S13" s="8">
        <v>1.36054967600121E-2</v>
      </c>
      <c r="T13" s="9">
        <v>1.35137730172031E-2</v>
      </c>
      <c r="U13" s="12">
        <v>3.7468000000000001E-2</v>
      </c>
      <c r="V13" s="16">
        <v>2.3553999999999999</v>
      </c>
      <c r="W13" s="17">
        <f t="shared" si="0"/>
        <v>-6.4118788492365519E-3</v>
      </c>
    </row>
    <row r="14" spans="1:23" x14ac:dyDescent="0.2">
      <c r="A14" s="14">
        <v>41542</v>
      </c>
      <c r="B14" s="3">
        <v>-901096328970398</v>
      </c>
      <c r="C14" s="3">
        <f>[1]!nefin_factors__1[[#This Row],[Rm_minus_Rf]]/B13-1</f>
        <v>2.8634167017180236</v>
      </c>
      <c r="D14" s="3">
        <v>35775872568525</v>
      </c>
      <c r="E14" s="3">
        <f>[1]!nefin_factors__1[[#This Row],[SMB]]/D13-1</f>
        <v>-1.0712307133768253</v>
      </c>
      <c r="F14" s="3">
        <v>762828039093895</v>
      </c>
      <c r="G14" s="3">
        <f>[1]!nefin_factors__1[[#This Row],[HML]]/F13-1</f>
        <v>-2.0105180458626064</v>
      </c>
      <c r="H14" s="3">
        <v>341305029593508</v>
      </c>
      <c r="I14" s="4">
        <f>[1]!nefin_factors__1[[#This Row],[Risk_Free]]/H13-1</f>
        <v>9.0106841942926241</v>
      </c>
      <c r="J14">
        <v>51239</v>
      </c>
      <c r="K14">
        <v>51395</v>
      </c>
      <c r="L14">
        <v>51207</v>
      </c>
      <c r="M14">
        <v>51267</v>
      </c>
      <c r="N14">
        <v>2002600</v>
      </c>
      <c r="O14">
        <v>51267</v>
      </c>
      <c r="P14">
        <v>8.9806915132473197E-4</v>
      </c>
      <c r="Q14">
        <v>8.97666128501312E-4</v>
      </c>
      <c r="R14" s="8">
        <v>12.362842559814499</v>
      </c>
      <c r="S14" s="8">
        <v>6.7114359597999504E-3</v>
      </c>
      <c r="T14" s="9">
        <v>6.6890145375308801E-3</v>
      </c>
      <c r="U14" s="12">
        <v>3.7468000000000001E-2</v>
      </c>
      <c r="V14" s="16">
        <v>2.3506999999999998</v>
      </c>
      <c r="W14" s="17">
        <f t="shared" si="0"/>
        <v>-1.9954147915428599E-3</v>
      </c>
    </row>
    <row r="15" spans="1:23" x14ac:dyDescent="0.2">
      <c r="A15" s="15">
        <v>41543</v>
      </c>
      <c r="B15" s="5">
        <v>-371888315243207</v>
      </c>
      <c r="C15" s="5">
        <f>[1]!nefin_factors__1[[#This Row],[Rm_minus_Rf]]/B14-1</f>
        <v>-0.58729349650316465</v>
      </c>
      <c r="D15" s="5">
        <v>226881319529037</v>
      </c>
      <c r="E15" s="5">
        <f>[1]!nefin_factors__1[[#This Row],[SMB]]/D14-1</f>
        <v>5.3417410461329542</v>
      </c>
      <c r="F15" s="5">
        <v>-242166048845537</v>
      </c>
      <c r="G15" s="5">
        <f>[1]!nefin_factors__1[[#This Row],[HML]]/F14-1</f>
        <v>-1.3174582427950439</v>
      </c>
      <c r="H15" s="5">
        <v>343489937100205</v>
      </c>
      <c r="I15" s="6">
        <f>[1]!nefin_factors__1[[#This Row],[Risk_Free]]/H14-1</f>
        <v>6.4016270410640619E-3</v>
      </c>
      <c r="J15">
        <v>51274</v>
      </c>
      <c r="K15">
        <v>51996</v>
      </c>
      <c r="L15">
        <v>51274</v>
      </c>
      <c r="M15">
        <v>51507</v>
      </c>
      <c r="N15">
        <v>2048600</v>
      </c>
      <c r="O15">
        <v>51507</v>
      </c>
      <c r="P15">
        <v>4.6813739832640699E-3</v>
      </c>
      <c r="Q15">
        <v>4.6704504303030896E-3</v>
      </c>
      <c r="R15" s="8">
        <v>12.610099792480501</v>
      </c>
      <c r="S15" s="8">
        <v>1.9999899922314799E-2</v>
      </c>
      <c r="T15" s="9">
        <v>1.9802529180797199E-2</v>
      </c>
      <c r="U15" s="12">
        <v>3.7468000000000001E-2</v>
      </c>
      <c r="V15" s="16">
        <v>2.3538000000000001</v>
      </c>
      <c r="W15" s="17">
        <f t="shared" si="0"/>
        <v>1.3187561151999372E-3</v>
      </c>
    </row>
    <row r="16" spans="1:23" x14ac:dyDescent="0.2">
      <c r="A16" s="14">
        <v>41544</v>
      </c>
      <c r="B16" s="3">
        <v>343603264964888</v>
      </c>
      <c r="C16" s="3">
        <f>[1]!nefin_factors__1[[#This Row],[Rm_minus_Rf]]/B15-1</f>
        <v>-1.9239420839027406</v>
      </c>
      <c r="D16" s="3">
        <v>21562867497154</v>
      </c>
      <c r="E16" s="3">
        <f>[1]!nefin_factors__1[[#This Row],[SMB]]/D15-1</f>
        <v>-0.90495970518016</v>
      </c>
      <c r="F16" s="3">
        <v>649386200235795</v>
      </c>
      <c r="G16" s="3">
        <f>[1]!nefin_factors__1[[#This Row],[HML]]/F15-1</f>
        <v>-3.6815740824594241</v>
      </c>
      <c r="H16" s="3">
        <v>344945876934011</v>
      </c>
      <c r="I16" s="4">
        <f>[1]!nefin_factors__1[[#This Row],[Risk_Free]]/H15-1</f>
        <v>4.2386680847108504E-3</v>
      </c>
      <c r="J16">
        <v>51522</v>
      </c>
      <c r="K16">
        <v>51656</v>
      </c>
      <c r="L16">
        <v>50246</v>
      </c>
      <c r="M16">
        <v>50341</v>
      </c>
      <c r="N16">
        <v>3476300</v>
      </c>
      <c r="O16">
        <v>50341</v>
      </c>
      <c r="P16">
        <v>-2.2637699730133701E-2</v>
      </c>
      <c r="Q16">
        <v>-2.2897866334765801E-2</v>
      </c>
      <c r="R16" s="8">
        <v>12.898567199706999</v>
      </c>
      <c r="S16" s="8">
        <v>2.28756901694778E-2</v>
      </c>
      <c r="T16" s="9">
        <v>2.2617964600097702E-2</v>
      </c>
      <c r="U16" s="12">
        <v>3.7468000000000001E-2</v>
      </c>
      <c r="V16" s="16">
        <v>2.3426</v>
      </c>
      <c r="W16" s="17">
        <f t="shared" si="0"/>
        <v>-4.7582632339197017E-3</v>
      </c>
    </row>
    <row r="17" spans="1:23" x14ac:dyDescent="0.2">
      <c r="A17" s="15">
        <v>41547</v>
      </c>
      <c r="B17" s="5">
        <v>-175133226265274</v>
      </c>
      <c r="C17" s="5">
        <f>[1]!nefin_factors__1[[#This Row],[Rm_minus_Rf]]/B16-1</f>
        <v>-1.5096960480953825</v>
      </c>
      <c r="D17" s="5">
        <v>52164689714154</v>
      </c>
      <c r="E17" s="5">
        <f>[1]!nefin_factors__1[[#This Row],[SMB]]/D16-1</f>
        <v>1.4191907556376266</v>
      </c>
      <c r="F17" s="5">
        <v>-627711880926768</v>
      </c>
      <c r="G17" s="5">
        <f>[1]!nefin_factors__1[[#This Row],[HML]]/F16-1</f>
        <v>-1.9666233755796521</v>
      </c>
      <c r="H17" s="5">
        <v>346401285085562</v>
      </c>
      <c r="I17" s="6">
        <f>[1]!nefin_factors__1[[#This Row],[Risk_Free]]/H16-1</f>
        <v>4.2192362595754318E-3</v>
      </c>
      <c r="J17">
        <v>50348</v>
      </c>
      <c r="K17">
        <v>50981</v>
      </c>
      <c r="L17">
        <v>50269</v>
      </c>
      <c r="M17">
        <v>50981</v>
      </c>
      <c r="N17">
        <v>7360400</v>
      </c>
      <c r="O17">
        <v>50981</v>
      </c>
      <c r="P17">
        <v>1.27132953258775E-2</v>
      </c>
      <c r="Q17">
        <v>1.26331598626726E-2</v>
      </c>
      <c r="R17" s="8">
        <v>13.1046142578125</v>
      </c>
      <c r="S17" s="8">
        <v>1.59744644261091E-2</v>
      </c>
      <c r="T17" s="9">
        <v>1.58482154015709E-2</v>
      </c>
      <c r="U17" s="12">
        <v>3.7468000000000001E-2</v>
      </c>
      <c r="V17" s="16">
        <v>2.3426</v>
      </c>
      <c r="W17" s="17">
        <f t="shared" si="0"/>
        <v>0</v>
      </c>
    </row>
    <row r="18" spans="1:23" x14ac:dyDescent="0.2">
      <c r="A18" s="14">
        <v>41548</v>
      </c>
      <c r="B18" s="3">
        <v>105135459671404</v>
      </c>
      <c r="C18" s="3">
        <f>[1]!nefin_factors__1[[#This Row],[Rm_minus_Rf]]/B17-1</f>
        <v>-1.6003170381396132</v>
      </c>
      <c r="D18" s="3">
        <v>-913596185202687</v>
      </c>
      <c r="E18" s="3">
        <f>[1]!nefin_factors__1[[#This Row],[SMB]]/D17-1</f>
        <v>-18.513689628154697</v>
      </c>
      <c r="F18" s="3">
        <v>506769206335801</v>
      </c>
      <c r="G18" s="3">
        <f>[1]!nefin_factors__1[[#This Row],[HML]]/F17-1</f>
        <v>-1.8073277274720299</v>
      </c>
      <c r="H18" s="3">
        <v>347128789901952</v>
      </c>
      <c r="I18" s="4">
        <f>[1]!nefin_factors__1[[#This Row],[Risk_Free]]/H17-1</f>
        <v>2.1001793229789012E-3</v>
      </c>
      <c r="J18">
        <v>50980</v>
      </c>
      <c r="K18">
        <v>51002</v>
      </c>
      <c r="L18">
        <v>50451</v>
      </c>
      <c r="M18">
        <v>50974</v>
      </c>
      <c r="N18">
        <v>3727800</v>
      </c>
      <c r="O18">
        <v>50974</v>
      </c>
      <c r="P18">
        <v>-1.37306055197017E-4</v>
      </c>
      <c r="Q18">
        <v>-1.3731548253637801E-4</v>
      </c>
      <c r="R18" s="8">
        <v>13.187032699585</v>
      </c>
      <c r="S18" s="8">
        <v>6.2892498572426599E-3</v>
      </c>
      <c r="T18" s="9">
        <v>6.2695550592286103E-3</v>
      </c>
      <c r="U18" s="12">
        <v>3.7468000000000001E-2</v>
      </c>
      <c r="V18" s="16">
        <v>2.3975</v>
      </c>
      <c r="W18" s="17">
        <f t="shared" si="0"/>
        <v>2.3435499018184869E-2</v>
      </c>
    </row>
    <row r="19" spans="1:23" x14ac:dyDescent="0.2">
      <c r="A19" s="15">
        <v>41549</v>
      </c>
      <c r="B19" s="5">
        <v>-150421336858137</v>
      </c>
      <c r="C19" s="5">
        <f>[1]!nefin_factors__1[[#This Row],[Rm_minus_Rf]]/B18-1</f>
        <v>-2.4307383762649817</v>
      </c>
      <c r="D19" s="5">
        <v>-565470513655998</v>
      </c>
      <c r="E19" s="5">
        <f>[1]!nefin_factors__1[[#This Row],[SMB]]/D18-1</f>
        <v>-0.38104983053257291</v>
      </c>
      <c r="F19" s="5">
        <v>12399460721245</v>
      </c>
      <c r="G19" s="5">
        <f>[1]!nefin_factors__1[[#This Row],[HML]]/F18-1</f>
        <v>-0.97553233194475375</v>
      </c>
      <c r="H19" s="5">
        <v>34785616194366</v>
      </c>
      <c r="I19" s="6">
        <f>[1]!nefin_factors__1[[#This Row],[Risk_Free]]/H18-1</f>
        <v>-0.89979046046802591</v>
      </c>
      <c r="J19">
        <v>50982</v>
      </c>
      <c r="K19">
        <v>51478</v>
      </c>
      <c r="L19">
        <v>50429</v>
      </c>
      <c r="M19">
        <v>50430</v>
      </c>
      <c r="N19">
        <v>3339500</v>
      </c>
      <c r="O19">
        <v>50430</v>
      </c>
      <c r="P19">
        <v>-1.06721073488445E-2</v>
      </c>
      <c r="Q19">
        <v>-1.0729462719921101E-2</v>
      </c>
      <c r="R19" s="8">
        <v>13.187032699585</v>
      </c>
      <c r="S19" s="8">
        <v>0</v>
      </c>
      <c r="T19" s="9">
        <v>0</v>
      </c>
      <c r="U19" s="12">
        <v>3.7468000000000001E-2</v>
      </c>
      <c r="V19" s="16">
        <v>2.3740999999999999</v>
      </c>
      <c r="W19" s="17">
        <f t="shared" si="0"/>
        <v>-9.7601668404588837E-3</v>
      </c>
    </row>
    <row r="20" spans="1:23" x14ac:dyDescent="0.2">
      <c r="A20" s="14">
        <v>41550</v>
      </c>
      <c r="B20" s="3">
        <v>-712747098621484</v>
      </c>
      <c r="C20" s="3">
        <f>[1]!nefin_factors__1[[#This Row],[Rm_minus_Rf]]/B19-1</f>
        <v>3.7383377485448008</v>
      </c>
      <c r="D20" s="3">
        <v>-290817269552389</v>
      </c>
      <c r="E20" s="3">
        <f>[1]!nefin_factors__1[[#This Row],[SMB]]/D19-1</f>
        <v>-0.48570745506757462</v>
      </c>
      <c r="F20" s="3">
        <v>-379739154209991</v>
      </c>
      <c r="G20" s="3">
        <f>[1]!nefin_factors__1[[#This Row],[HML]]/F19-1</f>
        <v>-31.62545724745538</v>
      </c>
      <c r="H20" s="3">
        <v>34821979818922</v>
      </c>
      <c r="I20" s="4">
        <f>[1]!nefin_factors__1[[#This Row],[Risk_Free]]/H19-1</f>
        <v>1.045363817987699E-3</v>
      </c>
      <c r="J20">
        <v>50431</v>
      </c>
      <c r="K20">
        <v>50793</v>
      </c>
      <c r="L20">
        <v>50424</v>
      </c>
      <c r="M20">
        <v>50577</v>
      </c>
      <c r="N20">
        <v>2916500</v>
      </c>
      <c r="O20">
        <v>50577</v>
      </c>
      <c r="P20">
        <v>2.91493158834033E-3</v>
      </c>
      <c r="Q20">
        <v>2.9106914131399502E-3</v>
      </c>
      <c r="R20" s="8">
        <v>13.0221948623657</v>
      </c>
      <c r="S20" s="8">
        <v>-1.24999685860979E-2</v>
      </c>
      <c r="T20" s="9">
        <v>-1.2578750395314199E-2</v>
      </c>
      <c r="U20" s="12">
        <v>3.7468000000000001E-2</v>
      </c>
      <c r="V20" s="16">
        <v>2.3788999999999998</v>
      </c>
      <c r="W20" s="17">
        <f t="shared" si="0"/>
        <v>2.021818794490482E-3</v>
      </c>
    </row>
    <row r="21" spans="1:23" x14ac:dyDescent="0.2">
      <c r="A21" s="15">
        <v>41551</v>
      </c>
      <c r="B21" s="5">
        <v>469759212694861</v>
      </c>
      <c r="C21" s="5">
        <f>[1]!nefin_factors__1[[#This Row],[Rm_minus_Rf]]/B20-1</f>
        <v>-1.6590826025155585</v>
      </c>
      <c r="D21" s="5">
        <v>-887055968417954</v>
      </c>
      <c r="E21" s="5">
        <f>[1]!nefin_factors__1[[#This Row],[SMB]]/D20-1</f>
        <v>2.0502176496714415</v>
      </c>
      <c r="F21" s="5">
        <v>131767948303581</v>
      </c>
      <c r="G21" s="5">
        <f>[1]!nefin_factors__1[[#This Row],[HML]]/F20-1</f>
        <v>-1.3469959493055461</v>
      </c>
      <c r="H21" s="5">
        <v>349310507897105</v>
      </c>
      <c r="I21" s="6">
        <f>[1]!nefin_factors__1[[#This Row],[Risk_Free]]/H20-1</f>
        <v>9.0313224496009941</v>
      </c>
      <c r="J21">
        <v>50576</v>
      </c>
      <c r="K21">
        <v>50576</v>
      </c>
      <c r="L21">
        <v>49259</v>
      </c>
      <c r="M21">
        <v>49322</v>
      </c>
      <c r="N21">
        <v>3702600</v>
      </c>
      <c r="O21">
        <v>49322</v>
      </c>
      <c r="P21">
        <v>-2.4813650473535499E-2</v>
      </c>
      <c r="Q21">
        <v>-2.5126698527414702E-2</v>
      </c>
      <c r="R21" s="8">
        <v>13.0634050369263</v>
      </c>
      <c r="S21" s="8">
        <v>3.1646125315603099E-3</v>
      </c>
      <c r="T21" s="9">
        <v>3.1596156846037402E-3</v>
      </c>
      <c r="U21" s="12">
        <v>3.7468000000000001E-2</v>
      </c>
      <c r="V21" s="16">
        <v>2.3633999999999999</v>
      </c>
      <c r="W21" s="17">
        <f t="shared" si="0"/>
        <v>-6.5156164613896506E-3</v>
      </c>
    </row>
    <row r="22" spans="1:23" x14ac:dyDescent="0.2">
      <c r="A22" s="14">
        <v>41554</v>
      </c>
      <c r="B22" s="3">
        <v>-282424519581349</v>
      </c>
      <c r="C22" s="3">
        <f>[1]!nefin_factors__1[[#This Row],[Rm_minus_Rf]]/B21-1</f>
        <v>-1.6012112417363107</v>
      </c>
      <c r="D22" s="3">
        <v>-503451321278561</v>
      </c>
      <c r="E22" s="3">
        <f>[1]!nefin_factors__1[[#This Row],[SMB]]/D21-1</f>
        <v>-0.43244694900542069</v>
      </c>
      <c r="F22" s="3">
        <v>-834751534950918</v>
      </c>
      <c r="G22" s="3">
        <f>[1]!nefin_factors__1[[#This Row],[HML]]/F21-1</f>
        <v>-7.3350120093524467</v>
      </c>
      <c r="H22" s="3">
        <v>350400919189475</v>
      </c>
      <c r="I22" s="4">
        <f>[1]!nefin_factors__1[[#This Row],[Risk_Free]]/H21-1</f>
        <v>3.1216103372739834E-3</v>
      </c>
      <c r="J22">
        <v>49322</v>
      </c>
      <c r="K22">
        <v>50145</v>
      </c>
      <c r="L22">
        <v>49267</v>
      </c>
      <c r="M22">
        <v>49696</v>
      </c>
      <c r="N22">
        <v>3509600</v>
      </c>
      <c r="O22">
        <v>49696</v>
      </c>
      <c r="P22">
        <v>7.5828230809780201E-3</v>
      </c>
      <c r="Q22">
        <v>7.5542179919173202E-3</v>
      </c>
      <c r="R22" s="8">
        <v>13.129340171814</v>
      </c>
      <c r="S22" s="8">
        <v>5.0474915263467599E-3</v>
      </c>
      <c r="T22" s="9">
        <v>5.0347956446411902E-3</v>
      </c>
      <c r="U22" s="12">
        <v>3.7468000000000001E-2</v>
      </c>
      <c r="V22" s="16">
        <v>2.3778999999999999</v>
      </c>
      <c r="W22" s="17">
        <f t="shared" si="0"/>
        <v>6.1352289075060629E-3</v>
      </c>
    </row>
    <row r="23" spans="1:23" x14ac:dyDescent="0.2">
      <c r="A23" s="15">
        <v>41555</v>
      </c>
      <c r="B23" s="5">
        <v>-621383836948752</v>
      </c>
      <c r="C23" s="5">
        <f>[1]!nefin_factors__1[[#This Row],[Rm_minus_Rf]]/B22-1</f>
        <v>1.2001766626702883</v>
      </c>
      <c r="D23" s="5">
        <v>-69241069708064</v>
      </c>
      <c r="E23" s="5">
        <f>[1]!nefin_factors__1[[#This Row],[SMB]]/D22-1</f>
        <v>-0.86246720033980662</v>
      </c>
      <c r="F23" s="5">
        <v>-46892289662937</v>
      </c>
      <c r="G23" s="5">
        <f>[1]!nefin_factors__1[[#This Row],[HML]]/F22-1</f>
        <v>-0.94382485362462476</v>
      </c>
      <c r="H23" s="5">
        <v>352217608641681</v>
      </c>
      <c r="I23" s="6">
        <f>[1]!nefin_factors__1[[#This Row],[Risk_Free]]/H22-1</f>
        <v>5.1846024160218107E-3</v>
      </c>
      <c r="J23">
        <v>49708</v>
      </c>
      <c r="K23">
        <v>50003</v>
      </c>
      <c r="L23">
        <v>49309</v>
      </c>
      <c r="M23">
        <v>49427</v>
      </c>
      <c r="N23">
        <v>2803000</v>
      </c>
      <c r="O23">
        <v>49427</v>
      </c>
      <c r="P23">
        <v>-5.4129104958146003E-3</v>
      </c>
      <c r="Q23">
        <v>-5.4276133767535203E-3</v>
      </c>
      <c r="R23" s="8">
        <v>13.0221948623657</v>
      </c>
      <c r="S23" s="8">
        <v>-8.1609286600684595E-3</v>
      </c>
      <c r="T23" s="9">
        <v>-8.1944113292448505E-3</v>
      </c>
      <c r="U23" s="12">
        <v>3.7468000000000001E-2</v>
      </c>
      <c r="V23" s="16">
        <v>2.3959999999999999</v>
      </c>
      <c r="W23" s="17">
        <f t="shared" si="0"/>
        <v>7.6117582741073164E-3</v>
      </c>
    </row>
    <row r="24" spans="1:23" x14ac:dyDescent="0.2">
      <c r="A24" s="14">
        <v>41556</v>
      </c>
      <c r="B24" s="3">
        <v>332765255764746</v>
      </c>
      <c r="C24" s="3">
        <f>[1]!nefin_factors__1[[#This Row],[Rm_minus_Rf]]/B23-1</f>
        <v>-1.5355228700488237</v>
      </c>
      <c r="D24" s="3">
        <v>299132773532937</v>
      </c>
      <c r="E24" s="3">
        <f>[1]!nefin_factors__1[[#This Row],[SMB]]/D23-1</f>
        <v>-5.3201639546319601</v>
      </c>
      <c r="F24" s="3">
        <v>-142165630946982</v>
      </c>
      <c r="G24" s="3">
        <f>[1]!nefin_factors__1[[#This Row],[HML]]/F23-1</f>
        <v>2.0317485447793713</v>
      </c>
      <c r="H24" s="3">
        <v>352944052618209</v>
      </c>
      <c r="I24" s="4">
        <f>[1]!nefin_factors__1[[#This Row],[Risk_Free]]/H23-1</f>
        <v>2.0624862548170864E-3</v>
      </c>
      <c r="J24">
        <v>49421</v>
      </c>
      <c r="K24">
        <v>49834</v>
      </c>
      <c r="L24">
        <v>49263</v>
      </c>
      <c r="M24">
        <v>49703</v>
      </c>
      <c r="N24">
        <v>2887800</v>
      </c>
      <c r="O24">
        <v>49703</v>
      </c>
      <c r="P24">
        <v>5.5839925546765602E-3</v>
      </c>
      <c r="Q24">
        <v>5.56845986437549E-3</v>
      </c>
      <c r="R24" s="8">
        <v>12.8573570251465</v>
      </c>
      <c r="S24" s="8">
        <v>-1.2658110803090501E-2</v>
      </c>
      <c r="T24" s="9">
        <v>-1.2738907231849001E-2</v>
      </c>
      <c r="U24" s="12">
        <v>3.7468000000000001E-2</v>
      </c>
      <c r="V24" s="16">
        <v>2.3818999999999999</v>
      </c>
      <c r="W24" s="17">
        <f t="shared" si="0"/>
        <v>-5.884808013355558E-3</v>
      </c>
    </row>
    <row r="25" spans="1:23" x14ac:dyDescent="0.2">
      <c r="A25" s="15">
        <v>41557</v>
      </c>
      <c r="B25" s="5">
        <v>78243221378445</v>
      </c>
      <c r="C25" s="5">
        <f>[1]!nefin_factors__1[[#This Row],[Rm_minus_Rf]]/B24-1</f>
        <v>-0.76486961897921113</v>
      </c>
      <c r="D25" s="5">
        <v>395365744677123</v>
      </c>
      <c r="E25" s="5">
        <f>[1]!nefin_factors__1[[#This Row],[SMB]]/D24-1</f>
        <v>0.3217065452495127</v>
      </c>
      <c r="F25" s="5">
        <v>132676076057853</v>
      </c>
      <c r="G25" s="5">
        <f>[1]!nefin_factors__1[[#This Row],[HML]]/F24-1</f>
        <v>-1.9332500068693259</v>
      </c>
      <c r="H25" s="5">
        <v>355122590418588</v>
      </c>
      <c r="I25" s="6">
        <f>[1]!nefin_factors__1[[#This Row],[Risk_Free]]/H24-1</f>
        <v>6.1724734677299775E-3</v>
      </c>
      <c r="J25">
        <v>49715</v>
      </c>
      <c r="K25">
        <v>50230</v>
      </c>
      <c r="L25">
        <v>49715</v>
      </c>
      <c r="M25">
        <v>50105</v>
      </c>
      <c r="N25">
        <v>2835600</v>
      </c>
      <c r="O25">
        <v>50105</v>
      </c>
      <c r="P25">
        <v>8.0880429752732096E-3</v>
      </c>
      <c r="Q25">
        <v>8.0555100563936607E-3</v>
      </c>
      <c r="R25" s="8">
        <v>12.939776420593301</v>
      </c>
      <c r="S25" s="8">
        <v>6.4102822959135599E-3</v>
      </c>
      <c r="T25" s="9">
        <v>6.3898238195510297E-3</v>
      </c>
      <c r="U25" s="12">
        <v>3.7468000000000001E-2</v>
      </c>
      <c r="V25" s="16">
        <v>2.3491</v>
      </c>
      <c r="W25" s="17">
        <f t="shared" si="0"/>
        <v>-1.3770519333305309E-2</v>
      </c>
    </row>
    <row r="26" spans="1:23" x14ac:dyDescent="0.2">
      <c r="A26" s="14">
        <v>41558</v>
      </c>
      <c r="B26" s="3">
        <v>374978144586442</v>
      </c>
      <c r="C26" s="3">
        <f>[1]!nefin_factors__1[[#This Row],[Rm_minus_Rf]]/B25-1</f>
        <v>3.7924681266988793</v>
      </c>
      <c r="D26" s="3">
        <v>-750719123309009</v>
      </c>
      <c r="E26" s="3">
        <f>[1]!nefin_factors__1[[#This Row],[SMB]]/D25-1</f>
        <v>-2.8987965786517158</v>
      </c>
      <c r="F26" s="3">
        <v>598283911098653</v>
      </c>
      <c r="G26" s="3">
        <f>[1]!nefin_factors__1[[#This Row],[HML]]/F25-1</f>
        <v>3.5093578953734896</v>
      </c>
      <c r="H26" s="3">
        <v>355122590418588</v>
      </c>
      <c r="I26" s="4">
        <f>[1]!nefin_factors__1[[#This Row],[Risk_Free]]/H25-1</f>
        <v>0</v>
      </c>
      <c r="J26">
        <v>50106</v>
      </c>
      <c r="K26">
        <v>50577</v>
      </c>
      <c r="L26">
        <v>49628</v>
      </c>
      <c r="M26">
        <v>49696</v>
      </c>
      <c r="N26">
        <v>2944500</v>
      </c>
      <c r="O26">
        <v>49696</v>
      </c>
      <c r="P26">
        <v>-8.1628579982038207E-3</v>
      </c>
      <c r="Q26">
        <v>-8.1963565440156694E-3</v>
      </c>
      <c r="R26" s="8">
        <v>12.651309967041</v>
      </c>
      <c r="S26" s="8">
        <v>-2.2292955023261101E-2</v>
      </c>
      <c r="T26" s="9">
        <v>-2.2545198833447799E-2</v>
      </c>
      <c r="U26" s="12">
        <v>3.7468000000000001E-2</v>
      </c>
      <c r="V26" s="16">
        <v>2.3616999999999999</v>
      </c>
      <c r="W26" s="17">
        <f t="shared" si="0"/>
        <v>5.3637563322124215E-3</v>
      </c>
    </row>
    <row r="27" spans="1:23" x14ac:dyDescent="0.2">
      <c r="A27" s="15">
        <v>41561</v>
      </c>
      <c r="B27" s="5">
        <v>110138653907652</v>
      </c>
      <c r="C27" s="5">
        <f>[1]!nefin_factors__1[[#This Row],[Rm_minus_Rf]]/B26-1</f>
        <v>-0.7062798045760178</v>
      </c>
      <c r="D27" s="5">
        <v>-788362303974505</v>
      </c>
      <c r="E27" s="5">
        <f>[1]!nefin_factors__1[[#This Row],[SMB]]/D26-1</f>
        <v>5.0142829051127658E-2</v>
      </c>
      <c r="F27" s="5">
        <v>781744727917182</v>
      </c>
      <c r="G27" s="5">
        <f>[1]!nefin_factors__1[[#This Row],[HML]]/F26-1</f>
        <v>0.3066450783903456</v>
      </c>
      <c r="H27" s="5">
        <v>354396543458257</v>
      </c>
      <c r="I27" s="6">
        <f>[1]!nefin_factors__1[[#This Row],[Risk_Free]]/H26-1</f>
        <v>-2.0444966890875715E-3</v>
      </c>
      <c r="J27">
        <v>49696</v>
      </c>
      <c r="K27">
        <v>49868</v>
      </c>
      <c r="L27">
        <v>49174</v>
      </c>
      <c r="M27">
        <v>49182</v>
      </c>
      <c r="N27">
        <v>2615000</v>
      </c>
      <c r="O27">
        <v>49182</v>
      </c>
      <c r="P27">
        <v>-1.03428847392144E-2</v>
      </c>
      <c r="Q27">
        <v>-1.0396744067328E-2</v>
      </c>
      <c r="R27" s="8">
        <v>12.2804250717163</v>
      </c>
      <c r="S27" s="8">
        <v>-2.9315946406511299E-2</v>
      </c>
      <c r="T27" s="9">
        <v>-2.9754246138165099E-2</v>
      </c>
      <c r="U27" s="12">
        <v>3.7468000000000001E-2</v>
      </c>
      <c r="V27" s="16">
        <v>2.347</v>
      </c>
      <c r="W27" s="17">
        <f t="shared" si="0"/>
        <v>-6.2243299318287537E-3</v>
      </c>
    </row>
    <row r="28" spans="1:23" x14ac:dyDescent="0.2">
      <c r="A28" s="14">
        <v>41562</v>
      </c>
      <c r="B28" s="3">
        <v>-4744833217</v>
      </c>
      <c r="C28" s="3">
        <f>[1]!nefin_factors__1[[#This Row],[Rm_minus_Rf]]/B27-1</f>
        <v>-1.0000430805448284</v>
      </c>
      <c r="D28" s="3">
        <v>-325032067895245</v>
      </c>
      <c r="E28" s="3">
        <f>[1]!nefin_factors__1[[#This Row],[SMB]]/D27-1</f>
        <v>-0.58771231671452884</v>
      </c>
      <c r="F28" s="3">
        <v>-259251999341736</v>
      </c>
      <c r="G28" s="3">
        <f>[1]!nefin_factors__1[[#This Row],[HML]]/F27-1</f>
        <v>-1.3316325522686494</v>
      </c>
      <c r="H28" s="3">
        <v>355122590418588</v>
      </c>
      <c r="I28" s="4">
        <f>[1]!nefin_factors__1[[#This Row],[Risk_Free]]/H27-1</f>
        <v>2.0486852192351801E-3</v>
      </c>
      <c r="J28">
        <v>49180</v>
      </c>
      <c r="K28">
        <v>49292</v>
      </c>
      <c r="L28">
        <v>48673</v>
      </c>
      <c r="M28">
        <v>48708</v>
      </c>
      <c r="N28">
        <v>1413000</v>
      </c>
      <c r="O28">
        <v>48708</v>
      </c>
      <c r="P28">
        <v>-9.6376723191411405E-3</v>
      </c>
      <c r="Q28">
        <v>-9.6844152541875998E-3</v>
      </c>
      <c r="R28" s="8">
        <v>12.362842559814499</v>
      </c>
      <c r="S28" s="8">
        <v>6.7114359597999504E-3</v>
      </c>
      <c r="T28" s="9">
        <v>6.6890145375308801E-3</v>
      </c>
      <c r="U28" s="12">
        <v>3.9269999999999999E-2</v>
      </c>
      <c r="V28" s="16">
        <v>2.3683000000000001</v>
      </c>
      <c r="W28" s="17">
        <f t="shared" si="0"/>
        <v>9.0754154239454099E-3</v>
      </c>
    </row>
    <row r="29" spans="1:23" x14ac:dyDescent="0.2">
      <c r="A29" s="15">
        <v>41563</v>
      </c>
      <c r="B29" s="5">
        <v>17120779600326</v>
      </c>
      <c r="C29" s="5">
        <f>[1]!nefin_factors__1[[#This Row],[Rm_minus_Rf]]/B28-1</f>
        <v>-3609.2995581351324</v>
      </c>
      <c r="D29" s="5">
        <v>-137977704887706</v>
      </c>
      <c r="E29" s="5">
        <f>[1]!nefin_factors__1[[#This Row],[SMB]]/D28-1</f>
        <v>-0.57549510181815355</v>
      </c>
      <c r="F29" s="5">
        <v>199000581575874</v>
      </c>
      <c r="G29" s="5">
        <f>[1]!nefin_factors__1[[#This Row],[HML]]/F28-1</f>
        <v>-1.7675951664062544</v>
      </c>
      <c r="H29" s="5">
        <v>355485564304869</v>
      </c>
      <c r="I29" s="6">
        <f>[1]!nefin_factors__1[[#This Row],[Risk_Free]]/H28-1</f>
        <v>1.0221086916863964E-3</v>
      </c>
      <c r="J29">
        <v>48728</v>
      </c>
      <c r="K29">
        <v>49124</v>
      </c>
      <c r="L29">
        <v>48440</v>
      </c>
      <c r="M29">
        <v>48542</v>
      </c>
      <c r="N29">
        <v>3104400</v>
      </c>
      <c r="O29">
        <v>48542</v>
      </c>
      <c r="P29">
        <v>-3.4080643836741399E-3</v>
      </c>
      <c r="Q29">
        <v>-3.4138850636933802E-3</v>
      </c>
      <c r="R29" s="8">
        <v>12.181522369384799</v>
      </c>
      <c r="S29" s="8">
        <v>-1.4666920911643301E-2</v>
      </c>
      <c r="T29" s="9">
        <v>-1.4775543611595599E-2</v>
      </c>
      <c r="U29" s="12">
        <v>3.9269999999999999E-2</v>
      </c>
      <c r="V29" s="16">
        <v>2.3601000000000001</v>
      </c>
      <c r="W29" s="17">
        <f t="shared" si="0"/>
        <v>-3.4623991892919204E-3</v>
      </c>
    </row>
    <row r="30" spans="1:23" x14ac:dyDescent="0.2">
      <c r="A30" s="14">
        <v>41564</v>
      </c>
      <c r="B30" s="3">
        <v>184710583685492</v>
      </c>
      <c r="C30" s="3">
        <f>[1]!nefin_factors__1[[#This Row],[Rm_minus_Rf]]/B29-1</f>
        <v>9.7886783194133802</v>
      </c>
      <c r="D30" s="3">
        <v>263256341830898</v>
      </c>
      <c r="E30" s="3">
        <f>[1]!nefin_factors__1[[#This Row],[SMB]]/D29-1</f>
        <v>-2.9079628991158448</v>
      </c>
      <c r="F30" s="3">
        <v>-111975960395685</v>
      </c>
      <c r="G30" s="3">
        <f>[1]!nefin_factors__1[[#This Row],[HML]]/F29-1</f>
        <v>-1.5626916238583521</v>
      </c>
      <c r="H30" s="3">
        <v>355848505136702</v>
      </c>
      <c r="I30" s="4">
        <f>[1]!nefin_factors__1[[#This Row],[Risk_Free]]/H29-1</f>
        <v>1.0209720682827772E-3</v>
      </c>
      <c r="J30">
        <v>48543</v>
      </c>
      <c r="K30">
        <v>49487</v>
      </c>
      <c r="L30">
        <v>48543</v>
      </c>
      <c r="M30">
        <v>49300</v>
      </c>
      <c r="N30">
        <v>3873300</v>
      </c>
      <c r="O30">
        <v>49300</v>
      </c>
      <c r="P30">
        <v>1.5615343413950799E-2</v>
      </c>
      <c r="Q30">
        <v>1.54946784675768E-2</v>
      </c>
      <c r="R30" s="8">
        <v>12.2804250717163</v>
      </c>
      <c r="S30" s="8">
        <v>8.1193133610781808E-3</v>
      </c>
      <c r="T30" s="9">
        <v>8.0865290740648396E-3</v>
      </c>
      <c r="U30" s="12">
        <v>3.9269999999999999E-2</v>
      </c>
      <c r="V30" s="16">
        <v>2.3334999999999999</v>
      </c>
      <c r="W30" s="17">
        <f t="shared" si="0"/>
        <v>-1.127070886826842E-2</v>
      </c>
    </row>
    <row r="31" spans="1:23" x14ac:dyDescent="0.2">
      <c r="A31" s="15">
        <v>41565</v>
      </c>
      <c r="B31" s="5">
        <v>218373560523999</v>
      </c>
      <c r="C31" s="5">
        <f>[1]!nefin_factors__1[[#This Row],[Rm_minus_Rf]]/B30-1</f>
        <v>0.18224714668123831</v>
      </c>
      <c r="D31" s="5">
        <v>-159795327798176</v>
      </c>
      <c r="E31" s="5">
        <f>[1]!nefin_factors__1[[#This Row],[SMB]]/D30-1</f>
        <v>-1.606995169373052</v>
      </c>
      <c r="F31" s="5">
        <v>-563396572280317</v>
      </c>
      <c r="G31" s="5">
        <f>[1]!nefin_factors__1[[#This Row],[HML]]/F30-1</f>
        <v>4.0314064759030863</v>
      </c>
      <c r="H31" s="5">
        <v>355848505136702</v>
      </c>
      <c r="I31" s="6">
        <f>[1]!nefin_factors__1[[#This Row],[Risk_Free]]/H30-1</f>
        <v>0</v>
      </c>
      <c r="J31">
        <v>49294</v>
      </c>
      <c r="K31">
        <v>49598</v>
      </c>
      <c r="L31">
        <v>48321</v>
      </c>
      <c r="M31">
        <v>48321</v>
      </c>
      <c r="N31">
        <v>3881700</v>
      </c>
      <c r="O31">
        <v>48321</v>
      </c>
      <c r="P31">
        <v>-1.9858012170385402E-2</v>
      </c>
      <c r="Q31">
        <v>-2.00578322719926E-2</v>
      </c>
      <c r="R31" s="8">
        <v>12.255699157714799</v>
      </c>
      <c r="S31" s="8">
        <v>-2.0133678195960502E-3</v>
      </c>
      <c r="T31" s="9">
        <v>-2.0153973691953201E-3</v>
      </c>
      <c r="U31" s="12">
        <v>3.9269999999999999E-2</v>
      </c>
      <c r="V31" s="16">
        <v>2.3607999999999998</v>
      </c>
      <c r="W31" s="17">
        <f t="shared" si="0"/>
        <v>1.1699164345403856E-2</v>
      </c>
    </row>
    <row r="32" spans="1:23" x14ac:dyDescent="0.2">
      <c r="A32" s="14">
        <v>41568</v>
      </c>
      <c r="B32" s="3">
        <v>698217737705235</v>
      </c>
      <c r="C32" s="3">
        <f>[1]!nefin_factors__1[[#This Row],[Rm_minus_Rf]]/B31-1</f>
        <v>2.1973547348398053</v>
      </c>
      <c r="D32" s="3">
        <v>-961976386906788</v>
      </c>
      <c r="E32" s="3">
        <f>[1]!nefin_factors__1[[#This Row],[SMB]]/D31-1</f>
        <v>5.0200532779142284</v>
      </c>
      <c r="F32" s="3">
        <v>-571926929670167</v>
      </c>
      <c r="G32" s="3">
        <f>[1]!nefin_factors__1[[#This Row],[HML]]/F31-1</f>
        <v>1.5140946554438317E-2</v>
      </c>
      <c r="H32" s="3">
        <v>355848505136702</v>
      </c>
      <c r="I32" s="4">
        <f>[1]!nefin_factors__1[[#This Row],[Risk_Free]]/H31-1</f>
        <v>0</v>
      </c>
      <c r="J32">
        <v>48325</v>
      </c>
      <c r="K32">
        <v>48327</v>
      </c>
      <c r="L32">
        <v>47493</v>
      </c>
      <c r="M32">
        <v>47787</v>
      </c>
      <c r="N32">
        <v>3535000</v>
      </c>
      <c r="O32">
        <v>47787</v>
      </c>
      <c r="P32">
        <v>-1.10510957968585E-2</v>
      </c>
      <c r="Q32">
        <v>-1.1112612796040901E-2</v>
      </c>
      <c r="R32" s="8">
        <v>12.156796455383301</v>
      </c>
      <c r="S32" s="8">
        <v>-8.0698988626156706E-3</v>
      </c>
      <c r="T32" s="9">
        <v>-8.1026367429879106E-3</v>
      </c>
      <c r="U32" s="12">
        <v>3.9269999999999999E-2</v>
      </c>
      <c r="V32" s="16">
        <v>2.3601000000000001</v>
      </c>
      <c r="W32" s="17">
        <f t="shared" si="0"/>
        <v>-2.9650965774297156E-4</v>
      </c>
    </row>
    <row r="33" spans="1:23" x14ac:dyDescent="0.2">
      <c r="A33" s="15">
        <v>41569</v>
      </c>
      <c r="B33" s="5">
        <v>533966337833079</v>
      </c>
      <c r="C33" s="5">
        <f>[1]!nefin_factors__1[[#This Row],[Rm_minus_Rf]]/B32-1</f>
        <v>-0.2352438086319395</v>
      </c>
      <c r="D33" s="5">
        <v>-177718754145359</v>
      </c>
      <c r="E33" s="5">
        <f>[1]!nefin_factors__1[[#This Row],[SMB]]/D32-1</f>
        <v>-0.81525663564694206</v>
      </c>
      <c r="F33" s="5">
        <v>233457749461393</v>
      </c>
      <c r="G33" s="5">
        <f>[1]!nefin_factors__1[[#This Row],[HML]]/F32-1</f>
        <v>-1.4081950636526754</v>
      </c>
      <c r="H33" s="5">
        <v>355848505136702</v>
      </c>
      <c r="I33" s="6">
        <f>[1]!nefin_factors__1[[#This Row],[Risk_Free]]/H32-1</f>
        <v>0</v>
      </c>
      <c r="J33">
        <v>47782</v>
      </c>
      <c r="K33">
        <v>48147</v>
      </c>
      <c r="L33">
        <v>47493</v>
      </c>
      <c r="M33">
        <v>47701</v>
      </c>
      <c r="N33">
        <v>2936000</v>
      </c>
      <c r="O33">
        <v>47701</v>
      </c>
      <c r="P33">
        <v>-1.799652625191E-3</v>
      </c>
      <c r="Q33">
        <v>-1.8012739454775499E-3</v>
      </c>
      <c r="R33" s="8">
        <v>12.0331678390503</v>
      </c>
      <c r="S33" s="8">
        <v>-1.0169576234338101E-2</v>
      </c>
      <c r="T33" s="9">
        <v>-1.0221639650753201E-2</v>
      </c>
      <c r="U33" s="12">
        <v>3.9269999999999999E-2</v>
      </c>
      <c r="V33" s="16">
        <v>2.3761000000000001</v>
      </c>
      <c r="W33" s="17">
        <f t="shared" si="0"/>
        <v>6.7793737553494271E-3</v>
      </c>
    </row>
    <row r="34" spans="1:23" x14ac:dyDescent="0.2">
      <c r="A34" s="14">
        <v>41570</v>
      </c>
      <c r="B34" s="3">
        <v>-135727323194588</v>
      </c>
      <c r="C34" s="3">
        <f>[1]!nefin_factors__1[[#This Row],[Rm_minus_Rf]]/B33-1</f>
        <v>-1.2541870406014568</v>
      </c>
      <c r="D34" s="3">
        <v>-259205983677135</v>
      </c>
      <c r="E34" s="3">
        <f>[1]!nefin_factors__1[[#This Row],[SMB]]/D33-1</f>
        <v>0.45851789769540185</v>
      </c>
      <c r="F34" s="3">
        <v>420479176392549</v>
      </c>
      <c r="G34" s="3">
        <f>[1]!nefin_factors__1[[#This Row],[HML]]/F33-1</f>
        <v>0.8010932486183493</v>
      </c>
      <c r="H34" s="3">
        <v>355848505136702</v>
      </c>
      <c r="I34" s="4">
        <f>[1]!nefin_factors__1[[#This Row],[Risk_Free]]/H33-1</f>
        <v>0</v>
      </c>
      <c r="J34">
        <v>47750</v>
      </c>
      <c r="K34">
        <v>48488</v>
      </c>
      <c r="L34">
        <v>47750</v>
      </c>
      <c r="M34">
        <v>47841</v>
      </c>
      <c r="N34">
        <v>2694500</v>
      </c>
      <c r="O34">
        <v>47841</v>
      </c>
      <c r="P34">
        <v>2.93494895285207E-3</v>
      </c>
      <c r="Q34">
        <v>2.9306503988114001E-3</v>
      </c>
      <c r="R34" s="8">
        <v>11.7859106063843</v>
      </c>
      <c r="S34" s="8">
        <v>-2.0547842712908299E-2</v>
      </c>
      <c r="T34" s="9">
        <v>-2.0761886805669701E-2</v>
      </c>
      <c r="U34" s="12">
        <v>3.9269999999999999E-2</v>
      </c>
      <c r="V34" s="16">
        <v>2.4129</v>
      </c>
      <c r="W34" s="17">
        <f t="shared" si="0"/>
        <v>1.5487563654728254E-2</v>
      </c>
    </row>
    <row r="35" spans="1:23" x14ac:dyDescent="0.2">
      <c r="A35" s="15">
        <v>41571</v>
      </c>
      <c r="B35" s="5">
        <v>-295462087259508</v>
      </c>
      <c r="C35" s="5">
        <f>[1]!nefin_factors__1[[#This Row],[Rm_minus_Rf]]/B34-1</f>
        <v>1.1768799406432948</v>
      </c>
      <c r="D35" s="5">
        <v>-937835876306221</v>
      </c>
      <c r="E35" s="5">
        <f>[1]!nefin_factors__1[[#This Row],[SMB]]/D34-1</f>
        <v>2.6181104425211967</v>
      </c>
      <c r="F35" s="5">
        <v>-611339203545998</v>
      </c>
      <c r="G35" s="5">
        <f>[1]!nefin_factors__1[[#This Row],[HML]]/F34-1</f>
        <v>-2.4539107710182222</v>
      </c>
      <c r="H35" s="5">
        <v>355485564304869</v>
      </c>
      <c r="I35" s="6">
        <f>[1]!nefin_factors__1[[#This Row],[Risk_Free]]/H34-1</f>
        <v>-1.0199307474779706E-3</v>
      </c>
      <c r="J35">
        <v>47839</v>
      </c>
      <c r="K35">
        <v>47884</v>
      </c>
      <c r="L35">
        <v>47154</v>
      </c>
      <c r="M35">
        <v>47557</v>
      </c>
      <c r="N35">
        <v>3324900</v>
      </c>
      <c r="O35">
        <v>47557</v>
      </c>
      <c r="P35">
        <v>-5.9363307623168096E-3</v>
      </c>
      <c r="Q35">
        <v>-5.9540208178672201E-3</v>
      </c>
      <c r="R35" s="8">
        <v>11.456234931945801</v>
      </c>
      <c r="S35" s="8">
        <v>-2.79720417364402E-2</v>
      </c>
      <c r="T35" s="9">
        <v>-2.8370711289726E-2</v>
      </c>
      <c r="U35" s="12">
        <v>3.9269999999999999E-2</v>
      </c>
      <c r="V35" s="16">
        <v>2.4043999999999999</v>
      </c>
      <c r="W35" s="17">
        <f t="shared" si="0"/>
        <v>-3.5227319822620506E-3</v>
      </c>
    </row>
    <row r="36" spans="1:23" x14ac:dyDescent="0.2">
      <c r="A36" s="14">
        <v>41572</v>
      </c>
      <c r="B36" s="3">
        <v>-130510172287717</v>
      </c>
      <c r="C36" s="3">
        <f>[1]!nefin_factors__1[[#This Row],[Rm_minus_Rf]]/B35-1</f>
        <v>-0.55828453830325686</v>
      </c>
      <c r="D36" s="3">
        <v>108951370260655</v>
      </c>
      <c r="E36" s="3">
        <f>[1]!nefin_factors__1[[#This Row],[SMB]]/D35-1</f>
        <v>-1.1161731738070984</v>
      </c>
      <c r="F36" s="3">
        <v>-936750010645653</v>
      </c>
      <c r="G36" s="3">
        <f>[1]!nefin_factors__1[[#This Row],[HML]]/F35-1</f>
        <v>0.53229173789632589</v>
      </c>
      <c r="H36" s="3">
        <v>355848505136702</v>
      </c>
      <c r="I36" s="4">
        <f>[1]!nefin_factors__1[[#This Row],[Risk_Free]]/H35-1</f>
        <v>1.0209720682827772E-3</v>
      </c>
      <c r="J36">
        <v>47554</v>
      </c>
      <c r="K36">
        <v>48034</v>
      </c>
      <c r="L36">
        <v>47115</v>
      </c>
      <c r="M36">
        <v>47244</v>
      </c>
      <c r="N36">
        <v>3108300</v>
      </c>
      <c r="O36">
        <v>47244</v>
      </c>
      <c r="P36">
        <v>-6.5815757932585796E-3</v>
      </c>
      <c r="Q36">
        <v>-6.6033298664767998E-3</v>
      </c>
      <c r="R36" s="8">
        <v>11.497444152831999</v>
      </c>
      <c r="S36" s="8">
        <v>3.5969915369500299E-3</v>
      </c>
      <c r="T36" s="9">
        <v>3.5905378342043401E-3</v>
      </c>
      <c r="U36" s="12">
        <v>3.9269999999999999E-2</v>
      </c>
      <c r="V36" s="16">
        <v>2.4165000000000001</v>
      </c>
      <c r="W36" s="17">
        <f t="shared" si="0"/>
        <v>5.0324405257029525E-3</v>
      </c>
    </row>
    <row r="37" spans="1:23" x14ac:dyDescent="0.2">
      <c r="A37" s="15">
        <v>41575</v>
      </c>
      <c r="B37" s="5">
        <v>120449725514826</v>
      </c>
      <c r="C37" s="5">
        <f>[1]!nefin_factors__1[[#This Row],[Rm_minus_Rf]]/B36-1</f>
        <v>-1.9229144625545955</v>
      </c>
      <c r="D37" s="5">
        <v>-376794577387357</v>
      </c>
      <c r="E37" s="5">
        <f>[1]!nefin_factors__1[[#This Row],[SMB]]/D36-1</f>
        <v>-4.458373919354246</v>
      </c>
      <c r="F37" s="5">
        <v>265517544562957</v>
      </c>
      <c r="G37" s="5">
        <f>[1]!nefin_factors__1[[#This Row],[HML]]/F36-1</f>
        <v>-1.2834454673557458</v>
      </c>
      <c r="H37" s="5">
        <v>355122590418588</v>
      </c>
      <c r="I37" s="6">
        <f>[1]!nefin_factors__1[[#This Row],[Risk_Free]]/H36-1</f>
        <v>-2.039954384057685E-3</v>
      </c>
      <c r="J37">
        <v>47234</v>
      </c>
      <c r="K37">
        <v>47652</v>
      </c>
      <c r="L37">
        <v>46814</v>
      </c>
      <c r="M37">
        <v>47639</v>
      </c>
      <c r="N37">
        <v>3718700</v>
      </c>
      <c r="O37">
        <v>47639</v>
      </c>
      <c r="P37">
        <v>8.3608500550333992E-3</v>
      </c>
      <c r="Q37">
        <v>8.3260917531255505E-3</v>
      </c>
      <c r="R37" s="8">
        <v>11.744701385498001</v>
      </c>
      <c r="S37" s="8">
        <v>2.1505462093556901E-2</v>
      </c>
      <c r="T37" s="9">
        <v>2.1277482391500201E-2</v>
      </c>
      <c r="U37" s="12">
        <v>3.9269999999999999E-2</v>
      </c>
      <c r="V37" s="16">
        <v>2.4397000000000002</v>
      </c>
      <c r="W37" s="17">
        <f t="shared" si="0"/>
        <v>9.600662114628733E-3</v>
      </c>
    </row>
    <row r="38" spans="1:23" x14ac:dyDescent="0.2">
      <c r="A38" s="14">
        <v>41576</v>
      </c>
      <c r="B38" s="3">
        <v>-174274870870808</v>
      </c>
      <c r="C38" s="3">
        <f>[1]!nefin_factors__1[[#This Row],[Rm_minus_Rf]]/B37-1</f>
        <v>-2.4468681445800118</v>
      </c>
      <c r="D38" s="3">
        <v>820546926779093</v>
      </c>
      <c r="E38" s="3">
        <f>[1]!nefin_factors__1[[#This Row],[SMB]]/D37-1</f>
        <v>-3.1777036508026608</v>
      </c>
      <c r="F38" s="3">
        <v>289140357486369</v>
      </c>
      <c r="G38" s="3">
        <f>[1]!nefin_factors__1[[#This Row],[HML]]/F37-1</f>
        <v>8.8968934095467134E-2</v>
      </c>
      <c r="H38" s="3">
        <v>355848505136702</v>
      </c>
      <c r="I38" s="4">
        <f>[1]!nefin_factors__1[[#This Row],[Risk_Free]]/H37-1</f>
        <v>2.044124304394046E-3</v>
      </c>
      <c r="J38">
        <v>47623</v>
      </c>
      <c r="K38">
        <v>47623</v>
      </c>
      <c r="L38">
        <v>46109</v>
      </c>
      <c r="M38">
        <v>46148</v>
      </c>
      <c r="N38">
        <v>3622100</v>
      </c>
      <c r="O38">
        <v>46148</v>
      </c>
      <c r="P38">
        <v>-3.1297886185688198E-2</v>
      </c>
      <c r="Q38">
        <v>-3.1798130437683099E-2</v>
      </c>
      <c r="R38" s="8">
        <v>11.283155441284199</v>
      </c>
      <c r="S38" s="8">
        <v>-3.9298361387847897E-2</v>
      </c>
      <c r="T38" s="9">
        <v>-4.0091387923939098E-2</v>
      </c>
      <c r="U38" s="12">
        <v>3.9269999999999999E-2</v>
      </c>
      <c r="V38" s="16">
        <v>2.4224000000000001</v>
      </c>
      <c r="W38" s="17">
        <f t="shared" si="0"/>
        <v>-7.0910357830881177E-3</v>
      </c>
    </row>
    <row r="39" spans="1:23" x14ac:dyDescent="0.2">
      <c r="A39" s="15">
        <v>41577</v>
      </c>
      <c r="B39" s="5">
        <v>156029083445059</v>
      </c>
      <c r="C39" s="5">
        <f>[1]!nefin_factors__1[[#This Row],[Rm_minus_Rf]]/B38-1</f>
        <v>-1.8953045419883008</v>
      </c>
      <c r="D39" s="5">
        <v>-432291260454617</v>
      </c>
      <c r="E39" s="5">
        <f>[1]!nefin_factors__1[[#This Row],[SMB]]/D38-1</f>
        <v>-1.5268330748023118</v>
      </c>
      <c r="F39" s="5">
        <v>-772542925370472</v>
      </c>
      <c r="G39" s="5">
        <f>[1]!nefin_factors__1[[#This Row],[HML]]/F38-1</f>
        <v>-3.6718612790222207</v>
      </c>
      <c r="H39" s="5">
        <v>355848505136702</v>
      </c>
      <c r="I39" s="6">
        <f>[1]!nefin_factors__1[[#This Row],[Risk_Free]]/H38-1</f>
        <v>0</v>
      </c>
      <c r="J39">
        <v>46148</v>
      </c>
      <c r="K39">
        <v>47132</v>
      </c>
      <c r="L39">
        <v>46146</v>
      </c>
      <c r="M39">
        <v>46964</v>
      </c>
      <c r="N39">
        <v>3471600</v>
      </c>
      <c r="O39">
        <v>46964</v>
      </c>
      <c r="P39">
        <v>1.7682239750368402E-2</v>
      </c>
      <c r="Q39">
        <v>1.75277277029222E-2</v>
      </c>
      <c r="R39" s="8">
        <v>11.456234931945801</v>
      </c>
      <c r="S39" s="8">
        <v>1.53398334098791E-2</v>
      </c>
      <c r="T39" s="9">
        <v>1.5223367698234701E-2</v>
      </c>
      <c r="U39" s="12">
        <v>3.9269999999999999E-2</v>
      </c>
      <c r="V39" s="16">
        <v>2.4262999999999999</v>
      </c>
      <c r="W39" s="17">
        <f t="shared" si="0"/>
        <v>1.6099735799206538E-3</v>
      </c>
    </row>
    <row r="40" spans="1:23" x14ac:dyDescent="0.2">
      <c r="A40" s="14">
        <v>41578</v>
      </c>
      <c r="B40" s="3">
        <v>547774958401449</v>
      </c>
      <c r="C40" s="3">
        <f>[1]!nefin_factors__1[[#This Row],[Rm_minus_Rf]]/B39-1</f>
        <v>2.5107234260869813</v>
      </c>
      <c r="D40" s="3">
        <v>183269094124464</v>
      </c>
      <c r="E40" s="3">
        <f>[1]!nefin_factors__1[[#This Row],[SMB]]/D39-1</f>
        <v>-1.4239481823706774</v>
      </c>
      <c r="F40" s="3">
        <v>-203727943640947</v>
      </c>
      <c r="G40" s="3">
        <f>[1]!nefin_factors__1[[#This Row],[HML]]/F39-1</f>
        <v>-0.7362891601871191</v>
      </c>
      <c r="H40" s="3">
        <v>355848505136702</v>
      </c>
      <c r="I40" s="4">
        <f>[1]!nefin_factors__1[[#This Row],[Risk_Free]]/H39-1</f>
        <v>0</v>
      </c>
      <c r="J40">
        <v>46964</v>
      </c>
      <c r="K40">
        <v>47148</v>
      </c>
      <c r="L40">
        <v>46224</v>
      </c>
      <c r="M40">
        <v>46624</v>
      </c>
      <c r="N40">
        <v>3358900</v>
      </c>
      <c r="O40">
        <v>46624</v>
      </c>
      <c r="P40">
        <v>-7.23958776935529E-3</v>
      </c>
      <c r="Q40">
        <v>-7.26592075517113E-3</v>
      </c>
      <c r="R40" s="8">
        <v>11.538654327392599</v>
      </c>
      <c r="S40" s="8">
        <v>7.1941759265679002E-3</v>
      </c>
      <c r="T40" s="9">
        <v>7.1684212914169196E-3</v>
      </c>
      <c r="U40" s="12">
        <v>3.9269999999999999E-2</v>
      </c>
      <c r="V40" s="16">
        <v>2.4089999999999998</v>
      </c>
      <c r="W40" s="17">
        <f t="shared" si="0"/>
        <v>-7.1301982442402156E-3</v>
      </c>
    </row>
    <row r="41" spans="1:23" x14ac:dyDescent="0.2">
      <c r="A41" s="15">
        <v>41579</v>
      </c>
      <c r="B41" s="5">
        <v>-40304444363244</v>
      </c>
      <c r="C41" s="5">
        <f>[1]!nefin_factors__1[[#This Row],[Rm_minus_Rf]]/B40-1</f>
        <v>-1.0735784718616252</v>
      </c>
      <c r="D41" s="5">
        <v>-920058260465009</v>
      </c>
      <c r="E41" s="5">
        <f>[1]!nefin_factors__1[[#This Row],[SMB]]/D40-1</f>
        <v>-6.0202586795140025</v>
      </c>
      <c r="F41" s="5">
        <v>68081998750896</v>
      </c>
      <c r="G41" s="5">
        <f>[1]!nefin_factors__1[[#This Row],[HML]]/F40-1</f>
        <v>-1.3341809549252834</v>
      </c>
      <c r="H41" s="5">
        <v>356937129365464</v>
      </c>
      <c r="I41" s="6">
        <f>[1]!nefin_factors__1[[#This Row],[Risk_Free]]/H40-1</f>
        <v>3.0592350762967957E-3</v>
      </c>
      <c r="J41">
        <v>46988</v>
      </c>
      <c r="K41">
        <v>48034</v>
      </c>
      <c r="L41">
        <v>46632</v>
      </c>
      <c r="M41">
        <v>47738</v>
      </c>
      <c r="N41">
        <v>3632200</v>
      </c>
      <c r="O41">
        <v>47738</v>
      </c>
      <c r="P41">
        <v>2.38932738503774E-2</v>
      </c>
      <c r="Q41">
        <v>2.3612296430047999E-2</v>
      </c>
      <c r="R41" s="8">
        <v>11.538654327392599</v>
      </c>
      <c r="S41" s="8">
        <v>0</v>
      </c>
      <c r="T41" s="9">
        <v>0</v>
      </c>
      <c r="U41" s="12">
        <v>3.9269999999999999E-2</v>
      </c>
      <c r="V41" s="16">
        <v>2.4177</v>
      </c>
      <c r="W41" s="17">
        <f t="shared" si="0"/>
        <v>3.6114570361145404E-3</v>
      </c>
    </row>
    <row r="42" spans="1:23" x14ac:dyDescent="0.2">
      <c r="A42" s="14">
        <v>41582</v>
      </c>
      <c r="B42" s="3">
        <v>624675151212932</v>
      </c>
      <c r="C42" s="3">
        <f>[1]!nefin_factors__1[[#This Row],[Rm_minus_Rf]]/B41-1</f>
        <v>-16.498914848770625</v>
      </c>
      <c r="D42" s="3">
        <v>-121339176394027</v>
      </c>
      <c r="E42" s="3">
        <f>[1]!nefin_factors__1[[#This Row],[SMB]]/D41-1</f>
        <v>-0.86811794251735686</v>
      </c>
      <c r="F42" s="3">
        <v>-63940699272628</v>
      </c>
      <c r="G42" s="3">
        <f>[1]!nefin_factors__1[[#This Row],[HML]]/F41-1</f>
        <v>-1.9391718875143411</v>
      </c>
      <c r="H42" s="3">
        <v>35802545632091</v>
      </c>
      <c r="I42" s="4">
        <f>[1]!nefin_factors__1[[#This Row],[Risk_Free]]/H41-1</f>
        <v>-0.89969509281441784</v>
      </c>
      <c r="J42">
        <v>47739</v>
      </c>
      <c r="K42">
        <v>48253</v>
      </c>
      <c r="L42">
        <v>47557</v>
      </c>
      <c r="M42">
        <v>48074</v>
      </c>
      <c r="N42">
        <v>3195800</v>
      </c>
      <c r="O42">
        <v>48074</v>
      </c>
      <c r="P42">
        <v>7.0384180317566401E-3</v>
      </c>
      <c r="Q42">
        <v>7.0137639836274296E-3</v>
      </c>
      <c r="R42" s="8">
        <v>11.4150247573853</v>
      </c>
      <c r="S42" s="8">
        <v>-1.0714375639227801E-2</v>
      </c>
      <c r="T42" s="9">
        <v>-1.07721878807737E-2</v>
      </c>
      <c r="U42" s="12">
        <v>3.9269999999999999E-2</v>
      </c>
      <c r="V42" s="16">
        <v>2.4106000000000001</v>
      </c>
      <c r="W42" s="17">
        <f t="shared" si="0"/>
        <v>-2.936675352607776E-3</v>
      </c>
    </row>
    <row r="43" spans="1:23" x14ac:dyDescent="0.2">
      <c r="A43" s="15">
        <v>41583</v>
      </c>
      <c r="B43" s="5">
        <v>-890696645239773</v>
      </c>
      <c r="C43" s="5">
        <f>[1]!nefin_factors__1[[#This Row],[Rm_minus_Rf]]/B42-1</f>
        <v>-2.425855732391959</v>
      </c>
      <c r="D43" s="5">
        <v>-932222806749842</v>
      </c>
      <c r="E43" s="5">
        <f>[1]!nefin_factors__1[[#This Row],[SMB]]/D42-1</f>
        <v>6.6827850200879659</v>
      </c>
      <c r="F43" s="5">
        <v>180650471988485</v>
      </c>
      <c r="G43" s="5">
        <f>[1]!nefin_factors__1[[#This Row],[HML]]/F42-1</f>
        <v>-3.8252814567797291</v>
      </c>
      <c r="H43" s="5">
        <v>357662713689422</v>
      </c>
      <c r="I43" s="6">
        <f>[1]!nefin_factors__1[[#This Row],[Risk_Free]]/H42-1</f>
        <v>8.9898682446992577</v>
      </c>
      <c r="J43">
        <v>48070</v>
      </c>
      <c r="K43">
        <v>48136</v>
      </c>
      <c r="L43">
        <v>47465</v>
      </c>
      <c r="M43">
        <v>47711</v>
      </c>
      <c r="N43">
        <v>2634500</v>
      </c>
      <c r="O43">
        <v>47711</v>
      </c>
      <c r="P43">
        <v>-7.5508590922328499E-3</v>
      </c>
      <c r="Q43">
        <v>-7.5795111516472197E-3</v>
      </c>
      <c r="R43" s="8">
        <v>10.8793020248413</v>
      </c>
      <c r="S43" s="8">
        <v>-4.69314512636567E-2</v>
      </c>
      <c r="T43" s="9">
        <v>-4.80684484956935E-2</v>
      </c>
      <c r="U43" s="12">
        <v>3.9269999999999999E-2</v>
      </c>
      <c r="V43" s="16">
        <v>2.4041000000000001</v>
      </c>
      <c r="W43" s="17">
        <f t="shared" si="0"/>
        <v>-2.6964241267734002E-3</v>
      </c>
    </row>
    <row r="44" spans="1:23" x14ac:dyDescent="0.2">
      <c r="A44" s="14">
        <v>41584</v>
      </c>
      <c r="B44" s="3">
        <v>-31053226358091</v>
      </c>
      <c r="C44" s="3">
        <f>[1]!nefin_factors__1[[#This Row],[Rm_minus_Rf]]/B43-1</f>
        <v>-0.96513602411769317</v>
      </c>
      <c r="D44" s="3">
        <v>-137631570558251</v>
      </c>
      <c r="E44" s="3">
        <f>[1]!nefin_factors__1[[#This Row],[SMB]]/D43-1</f>
        <v>-0.85236193583581366</v>
      </c>
      <c r="F44" s="3">
        <v>-106686341004635</v>
      </c>
      <c r="G44" s="3">
        <f>[1]!nefin_factors__1[[#This Row],[HML]]/F43-1</f>
        <v>-1.5905677401796958</v>
      </c>
      <c r="H44" s="3">
        <v>35802545632091</v>
      </c>
      <c r="I44" s="4">
        <f>[1]!nefin_factors__1[[#This Row],[Risk_Free]]/H43-1</f>
        <v>-0.89989857969041664</v>
      </c>
      <c r="J44">
        <v>47715</v>
      </c>
      <c r="K44">
        <v>48604</v>
      </c>
      <c r="L44">
        <v>47589</v>
      </c>
      <c r="M44">
        <v>48463</v>
      </c>
      <c r="N44">
        <v>3379300</v>
      </c>
      <c r="O44">
        <v>48463</v>
      </c>
      <c r="P44">
        <v>1.5761564419106699E-2</v>
      </c>
      <c r="Q44">
        <v>1.5638640924612299E-2</v>
      </c>
      <c r="R44" s="8">
        <v>10.9205121994019</v>
      </c>
      <c r="S44" s="8">
        <v>3.78794494264412E-3</v>
      </c>
      <c r="T44" s="9">
        <v>3.7807887450285798E-3</v>
      </c>
      <c r="U44" s="12">
        <v>3.9269999999999999E-2</v>
      </c>
      <c r="V44" s="16">
        <v>2.3816999999999999</v>
      </c>
      <c r="W44" s="17">
        <f t="shared" si="0"/>
        <v>-9.3174160808618955E-3</v>
      </c>
    </row>
    <row r="45" spans="1:23" x14ac:dyDescent="0.2">
      <c r="A45" s="15">
        <v>41585</v>
      </c>
      <c r="B45" s="5">
        <v>-937732011499159</v>
      </c>
      <c r="C45" s="5">
        <f>[1]!nefin_factors__1[[#This Row],[Rm_minus_Rf]]/B44-1</f>
        <v>29.197571121457091</v>
      </c>
      <c r="D45" s="5">
        <v>858770673937926</v>
      </c>
      <c r="E45" s="5">
        <f>[1]!nefin_factors__1[[#This Row],[SMB]]/D44-1</f>
        <v>-7.2396343401055727</v>
      </c>
      <c r="F45" s="5">
        <v>-421244040515332</v>
      </c>
      <c r="G45" s="5">
        <f>[1]!nefin_factors__1[[#This Row],[HML]]/F44-1</f>
        <v>2.948434603235957</v>
      </c>
      <c r="H45" s="5">
        <v>35875084255288</v>
      </c>
      <c r="I45" s="6">
        <f>[1]!nefin_factors__1[[#This Row],[Risk_Free]]/H44-1</f>
        <v>2.0260744568951772E-3</v>
      </c>
      <c r="J45">
        <v>48467</v>
      </c>
      <c r="K45">
        <v>48669</v>
      </c>
      <c r="L45">
        <v>48044</v>
      </c>
      <c r="M45">
        <v>48217</v>
      </c>
      <c r="N45">
        <v>2766300</v>
      </c>
      <c r="O45">
        <v>48217</v>
      </c>
      <c r="P45">
        <v>-5.0760373893485901E-3</v>
      </c>
      <c r="Q45">
        <v>-5.0889642304445303E-3</v>
      </c>
      <c r="R45" s="8">
        <v>10.8793020248413</v>
      </c>
      <c r="S45" s="8">
        <v>-3.7736505620822301E-3</v>
      </c>
      <c r="T45" s="9">
        <v>-3.7807887450286401E-3</v>
      </c>
      <c r="U45" s="12">
        <v>3.9269999999999999E-2</v>
      </c>
      <c r="V45" s="16">
        <v>2.3936000000000002</v>
      </c>
      <c r="W45" s="17">
        <f t="shared" si="0"/>
        <v>4.9964311206283085E-3</v>
      </c>
    </row>
    <row r="46" spans="1:23" x14ac:dyDescent="0.2">
      <c r="A46" s="14">
        <v>41586</v>
      </c>
      <c r="B46" s="3">
        <v>-982011006567304</v>
      </c>
      <c r="C46" s="3">
        <f>[1]!nefin_factors__1[[#This Row],[Rm_minus_Rf]]/B45-1</f>
        <v>4.7219242305011955E-2</v>
      </c>
      <c r="D46" s="3">
        <v>12605827062786</v>
      </c>
      <c r="E46" s="3">
        <f>[1]!nefin_factors__1[[#This Row],[SMB]]/D45-1</f>
        <v>-0.98532107878698105</v>
      </c>
      <c r="F46" s="3">
        <v>164778550384356</v>
      </c>
      <c r="G46" s="3">
        <f>[1]!nefin_factors__1[[#This Row],[HML]]/F45-1</f>
        <v>-1.3911712321977847</v>
      </c>
      <c r="H46" s="3">
        <v>359476096783773</v>
      </c>
      <c r="I46" s="4">
        <f>[1]!nefin_factors__1[[#This Row],[Risk_Free]]/H45-1</f>
        <v>9.020216098329751</v>
      </c>
      <c r="J46">
        <v>48211</v>
      </c>
      <c r="K46">
        <v>48211</v>
      </c>
      <c r="L46">
        <v>47129</v>
      </c>
      <c r="M46">
        <v>47813</v>
      </c>
      <c r="N46">
        <v>3167100</v>
      </c>
      <c r="O46">
        <v>47813</v>
      </c>
      <c r="P46">
        <v>-8.3787875645519004E-3</v>
      </c>
      <c r="Q46">
        <v>-8.41408692057544E-3</v>
      </c>
      <c r="R46" s="8">
        <v>11.2913970947266</v>
      </c>
      <c r="S46" s="8">
        <v>3.78789417270795E-2</v>
      </c>
      <c r="T46" s="9">
        <v>3.71791514751336E-2</v>
      </c>
      <c r="U46" s="12">
        <v>3.9269999999999999E-2</v>
      </c>
      <c r="V46" s="16">
        <v>2.4076</v>
      </c>
      <c r="W46" s="17">
        <f t="shared" si="0"/>
        <v>5.848930481283432E-3</v>
      </c>
    </row>
    <row r="47" spans="1:23" x14ac:dyDescent="0.2">
      <c r="A47" s="15">
        <v>41589</v>
      </c>
      <c r="B47" s="5">
        <v>575244375579908</v>
      </c>
      <c r="C47" s="5">
        <f>[1]!nefin_factors__1[[#This Row],[Rm_minus_Rf]]/B46-1</f>
        <v>-1.5857820042065716</v>
      </c>
      <c r="D47" s="5">
        <v>-117481456684033</v>
      </c>
      <c r="E47" s="5">
        <f>[1]!nefin_factors__1[[#This Row],[SMB]]/D46-1</f>
        <v>-10.319615135039664</v>
      </c>
      <c r="F47" s="5">
        <v>203695532939277</v>
      </c>
      <c r="G47" s="5">
        <f>[1]!nefin_factors__1[[#This Row],[HML]]/F46-1</f>
        <v>0.23617747858653182</v>
      </c>
      <c r="H47" s="5">
        <v>361288655172043</v>
      </c>
      <c r="I47" s="6">
        <f>[1]!nefin_factors__1[[#This Row],[Risk_Free]]/H46-1</f>
        <v>5.0422222909587422E-3</v>
      </c>
      <c r="J47">
        <v>47816</v>
      </c>
      <c r="K47">
        <v>48314</v>
      </c>
      <c r="L47">
        <v>47756</v>
      </c>
      <c r="M47">
        <v>48201</v>
      </c>
      <c r="N47">
        <v>3192200</v>
      </c>
      <c r="O47">
        <v>48201</v>
      </c>
      <c r="P47">
        <v>8.1149478175390807E-3</v>
      </c>
      <c r="Q47">
        <v>8.0821986808926102E-3</v>
      </c>
      <c r="R47" s="8">
        <v>11.2172203063965</v>
      </c>
      <c r="S47" s="8">
        <v>-6.56945682452481E-3</v>
      </c>
      <c r="T47" s="9">
        <v>-6.5911306818051303E-3</v>
      </c>
      <c r="U47" s="12">
        <v>3.9269999999999999E-2</v>
      </c>
      <c r="V47" s="16">
        <v>2.4085999999999999</v>
      </c>
      <c r="W47" s="17">
        <f t="shared" si="0"/>
        <v>4.1535138727355481E-4</v>
      </c>
    </row>
    <row r="48" spans="1:23" x14ac:dyDescent="0.2">
      <c r="A48" s="14">
        <v>41590</v>
      </c>
      <c r="B48" s="3">
        <v>-11695936694369</v>
      </c>
      <c r="C48" s="3">
        <f>[1]!nefin_factors__1[[#This Row],[Rm_minus_Rf]]/B47-1</f>
        <v>-1.0203321182976857</v>
      </c>
      <c r="D48" s="3">
        <v>106638747393603</v>
      </c>
      <c r="E48" s="3">
        <f>[1]!nefin_factors__1[[#This Row],[SMB]]/D47-1</f>
        <v>-1.9077070578075013</v>
      </c>
      <c r="F48" s="3">
        <v>577418348982633</v>
      </c>
      <c r="G48" s="3">
        <f>[1]!nefin_factors__1[[#This Row],[HML]]/F47-1</f>
        <v>1.8347128709728029</v>
      </c>
      <c r="H48" s="3">
        <v>361651067950941</v>
      </c>
      <c r="I48" s="4">
        <f>[1]!nefin_factors__1[[#This Row],[Risk_Free]]/H47-1</f>
        <v>1.0031114282440523E-3</v>
      </c>
      <c r="J48">
        <v>48199</v>
      </c>
      <c r="K48">
        <v>48297</v>
      </c>
      <c r="L48">
        <v>47540</v>
      </c>
      <c r="M48">
        <v>47576</v>
      </c>
      <c r="N48">
        <v>1884200</v>
      </c>
      <c r="O48">
        <v>47576</v>
      </c>
      <c r="P48">
        <v>-1.29665359639841E-2</v>
      </c>
      <c r="Q48">
        <v>-1.3051335325015101E-2</v>
      </c>
      <c r="R48" s="8">
        <v>11.192494392395</v>
      </c>
      <c r="S48" s="8">
        <v>-2.2042015141648902E-3</v>
      </c>
      <c r="T48" s="9">
        <v>-2.2066343419416298E-3</v>
      </c>
      <c r="U48" s="12">
        <v>3.9269999999999999E-2</v>
      </c>
      <c r="V48" s="16">
        <v>2.4238</v>
      </c>
      <c r="W48" s="17">
        <f t="shared" si="0"/>
        <v>6.3107199202856457E-3</v>
      </c>
    </row>
    <row r="49" spans="1:23" x14ac:dyDescent="0.2">
      <c r="A49" s="15">
        <v>41591</v>
      </c>
      <c r="B49" s="5">
        <v>556609217516395</v>
      </c>
      <c r="C49" s="5">
        <f>[1]!nefin_factors__1[[#This Row],[Rm_minus_Rf]]/B48-1</f>
        <v>-48.589964964873154</v>
      </c>
      <c r="D49" s="5">
        <v>-103979236297131</v>
      </c>
      <c r="E49" s="5">
        <f>[1]!nefin_factors__1[[#This Row],[SMB]]/D48-1</f>
        <v>-1.9750605557410033</v>
      </c>
      <c r="F49" s="5">
        <v>635092539831017</v>
      </c>
      <c r="G49" s="5">
        <f>[1]!nefin_factors__1[[#This Row],[HML]]/F48-1</f>
        <v>9.9882850882729191E-2</v>
      </c>
      <c r="H49" s="5">
        <v>362375794658476</v>
      </c>
      <c r="I49" s="6">
        <f>[1]!nefin_factors__1[[#This Row],[Risk_Free]]/H48-1</f>
        <v>2.003939077634076E-3</v>
      </c>
      <c r="J49">
        <v>47575</v>
      </c>
      <c r="K49">
        <v>47712</v>
      </c>
      <c r="L49">
        <v>46600</v>
      </c>
      <c r="M49">
        <v>46600</v>
      </c>
      <c r="N49">
        <v>3860000</v>
      </c>
      <c r="O49">
        <v>46600</v>
      </c>
      <c r="P49">
        <v>-2.0514545148814602E-2</v>
      </c>
      <c r="Q49">
        <v>-2.0727891272692402E-2</v>
      </c>
      <c r="R49" s="8">
        <v>10.615562438964799</v>
      </c>
      <c r="S49" s="8">
        <v>-5.1546497573693797E-2</v>
      </c>
      <c r="T49" s="9">
        <v>-5.29225130266128E-2</v>
      </c>
      <c r="U49" s="12">
        <v>3.9269999999999999E-2</v>
      </c>
      <c r="V49" s="16">
        <v>2.3923999999999999</v>
      </c>
      <c r="W49" s="17">
        <f t="shared" si="0"/>
        <v>-1.2954864262727961E-2</v>
      </c>
    </row>
    <row r="50" spans="1:23" x14ac:dyDescent="0.2">
      <c r="A50" s="14">
        <v>41592</v>
      </c>
      <c r="B50" s="3">
        <v>161443632810363</v>
      </c>
      <c r="C50" s="3">
        <f>[1]!nefin_factors__1[[#This Row],[Rm_minus_Rf]]/B49-1</f>
        <v>-0.70995156434755291</v>
      </c>
      <c r="D50" s="3">
        <v>112271709942227</v>
      </c>
      <c r="E50" s="3">
        <f>[1]!nefin_factors__1[[#This Row],[SMB]]/D49-1</f>
        <v>-2.0797512459256717</v>
      </c>
      <c r="F50" s="3">
        <v>763991828535341</v>
      </c>
      <c r="G50" s="3">
        <f>[1]!nefin_factors__1[[#This Row],[HML]]/F49-1</f>
        <v>0.20296142785525562</v>
      </c>
      <c r="H50" s="3">
        <v>363100389605409</v>
      </c>
      <c r="I50" s="4">
        <f>[1]!nefin_factors__1[[#This Row],[Risk_Free]]/H49-1</f>
        <v>1.999567734969343E-3</v>
      </c>
      <c r="J50">
        <v>46597</v>
      </c>
      <c r="K50">
        <v>47155</v>
      </c>
      <c r="L50">
        <v>46134</v>
      </c>
      <c r="M50">
        <v>47151</v>
      </c>
      <c r="N50">
        <v>3995400</v>
      </c>
      <c r="O50">
        <v>47151</v>
      </c>
      <c r="P50">
        <v>1.1824034334764E-2</v>
      </c>
      <c r="Q50">
        <v>1.1754676630701901E-2</v>
      </c>
      <c r="R50" s="8">
        <v>10.228192329406699</v>
      </c>
      <c r="S50" s="8">
        <v>-3.6490592740592701E-2</v>
      </c>
      <c r="T50" s="9">
        <v>-3.7173027543405603E-2</v>
      </c>
      <c r="U50" s="12">
        <v>3.9269999999999999E-2</v>
      </c>
      <c r="V50" s="16">
        <v>2.387</v>
      </c>
      <c r="W50" s="17">
        <f t="shared" si="0"/>
        <v>-2.2571476341748387E-3</v>
      </c>
    </row>
    <row r="51" spans="1:23" x14ac:dyDescent="0.2">
      <c r="A51" s="15">
        <v>41596</v>
      </c>
      <c r="B51" s="5">
        <v>127394254790986</v>
      </c>
      <c r="C51" s="5">
        <f>[1]!nefin_factors__1[[#This Row],[Rm_minus_Rf]]/B50-1</f>
        <v>-0.21090567293770279</v>
      </c>
      <c r="D51" s="5">
        <v>-209907980504537</v>
      </c>
      <c r="E51" s="5">
        <f>[1]!nefin_factors__1[[#This Row],[SMB]]/D50-1</f>
        <v>-2.8696426785746105</v>
      </c>
      <c r="F51" s="5">
        <v>594927623998668</v>
      </c>
      <c r="G51" s="5">
        <f>[1]!nefin_factors__1[[#This Row],[HML]]/F50-1</f>
        <v>-0.22129059267661055</v>
      </c>
      <c r="H51" s="5">
        <v>363824852839478</v>
      </c>
      <c r="I51" s="6">
        <f>[1]!nefin_factors__1[[#This Row],[Risk_Free]]/H50-1</f>
        <v>1.995214697666059E-3</v>
      </c>
      <c r="J51">
        <v>47127</v>
      </c>
      <c r="K51">
        <v>47600</v>
      </c>
      <c r="L51">
        <v>46634</v>
      </c>
      <c r="M51">
        <v>47289</v>
      </c>
      <c r="N51">
        <v>2996900</v>
      </c>
      <c r="O51">
        <v>47289</v>
      </c>
      <c r="P51">
        <v>2.9267671947572601E-3</v>
      </c>
      <c r="Q51">
        <v>2.9224925502129798E-3</v>
      </c>
      <c r="R51" s="8">
        <v>9.9974193572997994</v>
      </c>
      <c r="S51" s="8">
        <v>-2.2562517955619098E-2</v>
      </c>
      <c r="T51" s="9">
        <v>-2.28209461557972E-2</v>
      </c>
      <c r="U51" s="12">
        <v>3.9269999999999999E-2</v>
      </c>
      <c r="V51" s="16">
        <v>2.3982999999999999</v>
      </c>
      <c r="W51" s="17">
        <f t="shared" si="0"/>
        <v>4.7339757017175188E-3</v>
      </c>
    </row>
    <row r="52" spans="1:23" x14ac:dyDescent="0.2">
      <c r="A52" s="14">
        <v>41597</v>
      </c>
      <c r="B52" s="3">
        <v>-169108421158763</v>
      </c>
      <c r="C52" s="3">
        <f>[1]!nefin_factors__1[[#This Row],[Rm_minus_Rf]]/B51-1</f>
        <v>-2.3274415038277576</v>
      </c>
      <c r="D52" s="3">
        <v>-814495657477525</v>
      </c>
      <c r="E52" s="3">
        <f>[1]!nefin_factors__1[[#This Row],[SMB]]/D51-1</f>
        <v>2.8802510296168577</v>
      </c>
      <c r="F52" s="3">
        <v>-179222164378696</v>
      </c>
      <c r="G52" s="3">
        <f>[1]!nefin_factors__1[[#This Row],[HML]]/F51-1</f>
        <v>-1.3012503658413033</v>
      </c>
      <c r="H52" s="3">
        <v>364911300834159</v>
      </c>
      <c r="I52" s="4">
        <f>[1]!nefin_factors__1[[#This Row],[Risk_Free]]/H51-1</f>
        <v>2.9861841108482778E-3</v>
      </c>
      <c r="J52">
        <v>47290</v>
      </c>
      <c r="K52">
        <v>47816</v>
      </c>
      <c r="L52">
        <v>47075</v>
      </c>
      <c r="M52">
        <v>47380</v>
      </c>
      <c r="N52">
        <v>2605800</v>
      </c>
      <c r="O52">
        <v>47380</v>
      </c>
      <c r="P52">
        <v>1.92433758379318E-3</v>
      </c>
      <c r="Q52">
        <v>1.92248841812428E-3</v>
      </c>
      <c r="R52" s="8">
        <v>10.1375322341919</v>
      </c>
      <c r="S52" s="8">
        <v>1.40149734227548E-2</v>
      </c>
      <c r="T52" s="9">
        <v>1.39176717490723E-2</v>
      </c>
      <c r="U52" s="12">
        <v>3.9269999999999999E-2</v>
      </c>
      <c r="V52" s="16">
        <v>2.3986000000000001</v>
      </c>
      <c r="W52" s="17">
        <f t="shared" si="0"/>
        <v>1.250886044281696E-4</v>
      </c>
    </row>
    <row r="53" spans="1:23" x14ac:dyDescent="0.2">
      <c r="A53" s="15">
        <v>41599</v>
      </c>
      <c r="B53" s="5">
        <v>-574843280182067</v>
      </c>
      <c r="C53" s="5">
        <f>[1]!nefin_factors__1[[#This Row],[Rm_minus_Rf]]/B52-1</f>
        <v>2.3992587491689163</v>
      </c>
      <c r="D53" s="5">
        <v>-449246905820818</v>
      </c>
      <c r="E53" s="5">
        <f>[1]!nefin_factors__1[[#This Row],[SMB]]/D52-1</f>
        <v>-0.44843548066035643</v>
      </c>
      <c r="F53" s="5">
        <v>-164499336541992</v>
      </c>
      <c r="G53" s="5">
        <f>[1]!nefin_factors__1[[#This Row],[HML]]/F52-1</f>
        <v>-8.2148476934999493E-2</v>
      </c>
      <c r="H53" s="5">
        <v>366721389607694</v>
      </c>
      <c r="I53" s="6">
        <f>[1]!nefin_factors__1[[#This Row],[Risk_Free]]/H52-1</f>
        <v>4.9603527470847286E-3</v>
      </c>
      <c r="J53">
        <v>47375</v>
      </c>
      <c r="K53">
        <v>47538</v>
      </c>
      <c r="L53">
        <v>46991</v>
      </c>
      <c r="M53">
        <v>47393</v>
      </c>
      <c r="N53">
        <v>2990700</v>
      </c>
      <c r="O53">
        <v>47393</v>
      </c>
      <c r="P53">
        <v>2.7437737441959902E-4</v>
      </c>
      <c r="Q53">
        <v>2.7433973983169798E-4</v>
      </c>
      <c r="R53" s="8">
        <v>10.1375322341919</v>
      </c>
      <c r="S53" s="8">
        <v>0</v>
      </c>
      <c r="T53" s="9">
        <v>0</v>
      </c>
      <c r="U53" s="12">
        <v>3.9269999999999999E-2</v>
      </c>
      <c r="V53" s="16">
        <v>2.3799000000000001</v>
      </c>
      <c r="W53" s="17">
        <f t="shared" si="0"/>
        <v>-7.7962144584340365E-3</v>
      </c>
    </row>
    <row r="54" spans="1:23" x14ac:dyDescent="0.2">
      <c r="A54" s="14">
        <v>41600</v>
      </c>
      <c r="B54" s="3">
        <v>-247125872628127</v>
      </c>
      <c r="C54" s="3">
        <f>[1]!nefin_factors__1[[#This Row],[Rm_minus_Rf]]/B53-1</f>
        <v>-0.570098701423706</v>
      </c>
      <c r="D54" s="3">
        <v>135770962295395</v>
      </c>
      <c r="E54" s="3">
        <f>[1]!nefin_factors__1[[#This Row],[SMB]]/D53-1</f>
        <v>-1.3022190259659734</v>
      </c>
      <c r="F54" s="3">
        <v>320613896706801</v>
      </c>
      <c r="G54" s="3">
        <f>[1]!nefin_factors__1[[#This Row],[HML]]/F53-1</f>
        <v>-2.9490285094551574</v>
      </c>
      <c r="H54" s="3">
        <v>367083308733696</v>
      </c>
      <c r="I54" s="4">
        <f>[1]!nefin_factors__1[[#This Row],[Risk_Free]]/H53-1</f>
        <v>9.8690487181340991E-4</v>
      </c>
      <c r="J54">
        <v>47388</v>
      </c>
      <c r="K54">
        <v>47388</v>
      </c>
      <c r="L54">
        <v>46614</v>
      </c>
      <c r="M54">
        <v>46716</v>
      </c>
      <c r="N54">
        <v>2924800</v>
      </c>
      <c r="O54">
        <v>46716</v>
      </c>
      <c r="P54">
        <v>-1.42848099930369E-2</v>
      </c>
      <c r="Q54">
        <v>-1.43878200541521E-2</v>
      </c>
      <c r="R54" s="8">
        <v>10.285885810851999</v>
      </c>
      <c r="S54" s="8">
        <v>1.4634181955919499E-2</v>
      </c>
      <c r="T54" s="9">
        <v>1.4528135663695201E-2</v>
      </c>
      <c r="U54" s="12">
        <v>3.9269999999999999E-2</v>
      </c>
      <c r="V54" s="16">
        <v>2.3624999999999998</v>
      </c>
      <c r="W54" s="17">
        <f t="shared" si="0"/>
        <v>-7.3112315643515391E-3</v>
      </c>
    </row>
    <row r="55" spans="1:23" x14ac:dyDescent="0.2">
      <c r="A55" s="15">
        <v>41603</v>
      </c>
      <c r="B55" s="5">
        <v>-868550998126797</v>
      </c>
      <c r="C55" s="5">
        <f>[1]!nefin_factors__1[[#This Row],[Rm_minus_Rf]]/B54-1</f>
        <v>2.514609736689875</v>
      </c>
      <c r="D55" s="5">
        <v>-696028124938187</v>
      </c>
      <c r="E55" s="5">
        <f>[1]!nefin_factors__1[[#This Row],[SMB]]/D54-1</f>
        <v>-6.1264873811813185</v>
      </c>
      <c r="F55" s="5">
        <v>-432911449925384</v>
      </c>
      <c r="G55" s="5">
        <f>[1]!nefin_factors__1[[#This Row],[HML]]/F54-1</f>
        <v>-2.3502579095043976</v>
      </c>
      <c r="H55" s="5">
        <v>368168868961405</v>
      </c>
      <c r="I55" s="6">
        <f>[1]!nefin_factors__1[[#This Row],[Risk_Free]]/H54-1</f>
        <v>2.95725848024464E-3</v>
      </c>
      <c r="J55">
        <v>46718</v>
      </c>
      <c r="K55">
        <v>47010</v>
      </c>
      <c r="L55">
        <v>46403</v>
      </c>
      <c r="M55">
        <v>46599</v>
      </c>
      <c r="N55">
        <v>3225700</v>
      </c>
      <c r="O55">
        <v>46599</v>
      </c>
      <c r="P55">
        <v>-2.50449524788077E-3</v>
      </c>
      <c r="Q55">
        <v>-2.50763674243908E-3</v>
      </c>
      <c r="R55" s="8">
        <v>10.755674362182599</v>
      </c>
      <c r="S55" s="8">
        <v>4.5673114873785399E-2</v>
      </c>
      <c r="T55" s="9">
        <v>4.46608071205115E-2</v>
      </c>
      <c r="U55" s="12">
        <v>3.9269999999999999E-2</v>
      </c>
      <c r="V55" s="16">
        <v>2.3391000000000002</v>
      </c>
      <c r="W55" s="17">
        <f t="shared" si="0"/>
        <v>-9.9047619047617497E-3</v>
      </c>
    </row>
    <row r="56" spans="1:23" x14ac:dyDescent="0.2">
      <c r="A56" s="14">
        <v>41604</v>
      </c>
      <c r="B56" s="3">
        <v>-109899247995056</v>
      </c>
      <c r="C56" s="3">
        <f>[1]!nefin_factors__1[[#This Row],[Rm_minus_Rf]]/B55-1</f>
        <v>-0.87346828426646728</v>
      </c>
      <c r="D56" s="3">
        <v>-284509792992126</v>
      </c>
      <c r="E56" s="3">
        <f>[1]!nefin_factors__1[[#This Row],[SMB]]/D55-1</f>
        <v>-0.59123807961439367</v>
      </c>
      <c r="F56" s="3">
        <v>-194410130978496</v>
      </c>
      <c r="G56" s="3">
        <f>[1]!nefin_factors__1[[#This Row],[HML]]/F55-1</f>
        <v>-0.55092402612126734</v>
      </c>
      <c r="H56" s="3">
        <v>368530656674082</v>
      </c>
      <c r="I56" s="4">
        <f>[1]!nefin_factors__1[[#This Row],[Risk_Free]]/H55-1</f>
        <v>9.8266785482858943E-4</v>
      </c>
      <c r="J56">
        <v>46622</v>
      </c>
      <c r="K56">
        <v>47781</v>
      </c>
      <c r="L56">
        <v>46622</v>
      </c>
      <c r="M56">
        <v>47607</v>
      </c>
      <c r="N56">
        <v>3046300</v>
      </c>
      <c r="O56">
        <v>47607</v>
      </c>
      <c r="P56">
        <v>2.1631365479945801E-2</v>
      </c>
      <c r="Q56">
        <v>2.1400727574935E-2</v>
      </c>
      <c r="R56" s="8">
        <v>11.744701385498001</v>
      </c>
      <c r="S56" s="8">
        <v>9.1953966322588093E-2</v>
      </c>
      <c r="T56" s="9">
        <v>8.7968721051904897E-2</v>
      </c>
      <c r="U56" s="12">
        <v>3.9269999999999999E-2</v>
      </c>
      <c r="V56" s="16">
        <v>2.3367</v>
      </c>
      <c r="W56" s="17">
        <f t="shared" si="0"/>
        <v>-1.0260356547391325E-3</v>
      </c>
    </row>
    <row r="57" spans="1:23" x14ac:dyDescent="0.2">
      <c r="A57" s="15">
        <v>41605</v>
      </c>
      <c r="B57" s="5">
        <v>701296356225832</v>
      </c>
      <c r="C57" s="5">
        <f>[1]!nefin_factors__1[[#This Row],[Rm_minus_Rf]]/B56-1</f>
        <v>-7.3812661962653374</v>
      </c>
      <c r="D57" s="5">
        <v>-123748489064418</v>
      </c>
      <c r="E57" s="5">
        <f>[1]!nefin_factors__1[[#This Row],[SMB]]/D56-1</f>
        <v>-0.56504664474645061</v>
      </c>
      <c r="F57" s="5">
        <v>6383164763.6096096</v>
      </c>
      <c r="G57" s="5">
        <f>[1]!nefin_factors__1[[#This Row],[HML]]/F56-1</f>
        <v>-1.0000328334986015</v>
      </c>
      <c r="H57" s="5">
        <v>369254133590013</v>
      </c>
      <c r="I57" s="6">
        <f>[1]!nefin_factors__1[[#This Row],[Risk_Free]]/H56-1</f>
        <v>1.9631390301697582E-3</v>
      </c>
      <c r="J57">
        <v>47613</v>
      </c>
      <c r="K57">
        <v>47813</v>
      </c>
      <c r="L57">
        <v>47043</v>
      </c>
      <c r="M57">
        <v>47094</v>
      </c>
      <c r="N57">
        <v>4088300</v>
      </c>
      <c r="O57">
        <v>47094</v>
      </c>
      <c r="P57">
        <v>-1.07757262587435E-2</v>
      </c>
      <c r="Q57">
        <v>-1.08342048760833E-2</v>
      </c>
      <c r="R57" s="8">
        <v>11.794153213501</v>
      </c>
      <c r="S57" s="8">
        <v>4.2103170120491003E-3</v>
      </c>
      <c r="T57" s="9">
        <v>4.2014784275217296E-3</v>
      </c>
      <c r="U57" s="12">
        <v>3.9269999999999999E-2</v>
      </c>
      <c r="V57" s="16">
        <v>2.3454000000000002</v>
      </c>
      <c r="W57" s="17">
        <f t="shared" si="0"/>
        <v>3.7231993837463229E-3</v>
      </c>
    </row>
    <row r="58" spans="1:23" x14ac:dyDescent="0.2">
      <c r="A58" s="14">
        <v>41606</v>
      </c>
      <c r="B58" s="3">
        <v>-390450626708605</v>
      </c>
      <c r="C58" s="3">
        <f>[1]!nefin_factors__1[[#This Row],[Rm_minus_Rf]]/B57-1</f>
        <v>-1.5567555331527658</v>
      </c>
      <c r="D58" s="3">
        <v>416177585175864</v>
      </c>
      <c r="E58" s="3">
        <f>[1]!nefin_factors__1[[#This Row],[SMB]]/D57-1</f>
        <v>-4.3630922552858031</v>
      </c>
      <c r="F58" s="3">
        <v>-245891634491562</v>
      </c>
      <c r="G58" s="3">
        <f>[1]!nefin_factors__1[[#This Row],[HML]]/F57-1</f>
        <v>-38522.899966203127</v>
      </c>
      <c r="H58" s="3">
        <v>370339102780504</v>
      </c>
      <c r="I58" s="4">
        <f>[1]!nefin_factors__1[[#This Row],[Risk_Free]]/H57-1</f>
        <v>2.9382722948625428E-3</v>
      </c>
      <c r="J58">
        <v>47092</v>
      </c>
      <c r="K58">
        <v>47154</v>
      </c>
      <c r="L58">
        <v>46473</v>
      </c>
      <c r="M58">
        <v>46589</v>
      </c>
      <c r="N58">
        <v>2293000</v>
      </c>
      <c r="O58">
        <v>46589</v>
      </c>
      <c r="P58">
        <v>-1.07232343822993E-2</v>
      </c>
      <c r="Q58">
        <v>-1.07811426078183E-2</v>
      </c>
      <c r="R58" s="8">
        <v>11.868330001831101</v>
      </c>
      <c r="S58" s="8">
        <v>6.2896056611789798E-3</v>
      </c>
      <c r="T58" s="9">
        <v>6.2699086393483098E-3</v>
      </c>
      <c r="U58" s="12">
        <v>4.0168000000000002E-2</v>
      </c>
      <c r="V58" s="16">
        <v>2.3435999999999999</v>
      </c>
      <c r="W58" s="17">
        <f t="shared" si="0"/>
        <v>-7.6745970836544775E-4</v>
      </c>
    </row>
    <row r="59" spans="1:23" x14ac:dyDescent="0.2">
      <c r="A59" s="15">
        <v>41607</v>
      </c>
      <c r="B59" s="5">
        <v>980181544621591</v>
      </c>
      <c r="C59" s="5">
        <f>[1]!nefin_factors__1[[#This Row],[Rm_minus_Rf]]/B58-1</f>
        <v>-3.5103853792840876</v>
      </c>
      <c r="D59" s="5">
        <v>-681852246713709</v>
      </c>
      <c r="E59" s="5">
        <f>[1]!nefin_factors__1[[#This Row],[SMB]]/D58-1</f>
        <v>-2.6383685018153464</v>
      </c>
      <c r="F59" s="5">
        <v>196111193577299</v>
      </c>
      <c r="G59" s="5">
        <f>[1]!nefin_factors__1[[#This Row],[HML]]/F58-1</f>
        <v>-1.7975513033731481</v>
      </c>
      <c r="H59" s="5">
        <v>370339102780504</v>
      </c>
      <c r="I59" s="6">
        <f>[1]!nefin_factors__1[[#This Row],[Risk_Free]]/H58-1</f>
        <v>0</v>
      </c>
      <c r="J59">
        <v>46592</v>
      </c>
      <c r="K59">
        <v>47400</v>
      </c>
      <c r="L59">
        <v>46502</v>
      </c>
      <c r="M59">
        <v>47093</v>
      </c>
      <c r="N59">
        <v>3164900</v>
      </c>
      <c r="O59">
        <v>47093</v>
      </c>
      <c r="P59">
        <v>1.0818004249930201E-2</v>
      </c>
      <c r="Q59">
        <v>1.07599082548812E-2</v>
      </c>
      <c r="R59" s="8">
        <v>12.346360206604</v>
      </c>
      <c r="S59" s="8">
        <v>4.0277540557659398E-2</v>
      </c>
      <c r="T59" s="9">
        <v>3.9487543471731702E-2</v>
      </c>
      <c r="U59" s="12">
        <v>4.0168000000000002E-2</v>
      </c>
      <c r="V59" s="16">
        <v>2.3334000000000001</v>
      </c>
      <c r="W59" s="17">
        <f t="shared" si="0"/>
        <v>-4.3522785458268709E-3</v>
      </c>
    </row>
    <row r="60" spans="1:23" x14ac:dyDescent="0.2">
      <c r="A60" s="14">
        <v>41610</v>
      </c>
      <c r="B60" s="3">
        <v>-215468934154504</v>
      </c>
      <c r="C60" s="3">
        <f>[1]!nefin_factors__1[[#This Row],[Rm_minus_Rf]]/B59-1</f>
        <v>-1.2198255367455302</v>
      </c>
      <c r="D60" s="3">
        <v>-589328126152443</v>
      </c>
      <c r="E60" s="3">
        <f>[1]!nefin_factors__1[[#This Row],[SMB]]/D59-1</f>
        <v>-0.13569526390387376</v>
      </c>
      <c r="F60" s="3">
        <v>-891272243526171</v>
      </c>
      <c r="G60" s="3">
        <f>[1]!nefin_factors__1[[#This Row],[HML]]/F59-1</f>
        <v>-5.54472907572646</v>
      </c>
      <c r="H60" s="3">
        <v>370700693552273</v>
      </c>
      <c r="I60" s="4">
        <f>[1]!nefin_factors__1[[#This Row],[Risk_Free]]/H59-1</f>
        <v>9.763775119995266E-4</v>
      </c>
      <c r="J60">
        <v>47093</v>
      </c>
      <c r="K60">
        <v>47218</v>
      </c>
      <c r="L60">
        <v>46086</v>
      </c>
      <c r="M60">
        <v>46244</v>
      </c>
      <c r="N60">
        <v>3982800</v>
      </c>
      <c r="O60">
        <v>46244</v>
      </c>
      <c r="P60">
        <v>-1.8028157050941698E-2</v>
      </c>
      <c r="Q60">
        <v>-1.8192644206719399E-2</v>
      </c>
      <c r="R60" s="8">
        <v>12.329875946044901</v>
      </c>
      <c r="S60" s="8">
        <v>-1.3349578302748199E-3</v>
      </c>
      <c r="T60" s="9">
        <v>-1.3358496802889301E-3</v>
      </c>
      <c r="U60" s="12">
        <v>4.0168000000000002E-2</v>
      </c>
      <c r="V60" s="16">
        <v>2.3239999999999998</v>
      </c>
      <c r="W60" s="17">
        <f t="shared" si="0"/>
        <v>-4.0284563298192966E-3</v>
      </c>
    </row>
    <row r="61" spans="1:23" x14ac:dyDescent="0.2">
      <c r="A61" s="15">
        <v>41611</v>
      </c>
      <c r="B61" s="5">
        <v>-130254483297533</v>
      </c>
      <c r="C61" s="5">
        <f>[1]!nefin_factors__1[[#This Row],[Rm_minus_Rf]]/B60-1</f>
        <v>-0.39548369787668414</v>
      </c>
      <c r="D61" s="5">
        <v>-214500461845617</v>
      </c>
      <c r="E61" s="5">
        <f>[1]!nefin_factors__1[[#This Row],[SMB]]/D60-1</f>
        <v>-0.63602541211458896</v>
      </c>
      <c r="F61" s="5">
        <v>28386097227776</v>
      </c>
      <c r="G61" s="5">
        <f>[1]!nefin_factors__1[[#This Row],[HML]]/F60-1</f>
        <v>-1.0318489635843153</v>
      </c>
      <c r="H61" s="5">
        <v>370339102780504</v>
      </c>
      <c r="I61" s="6">
        <f>[1]!nefin_factors__1[[#This Row],[Risk_Free]]/H60-1</f>
        <v>-9.754251288391913E-4</v>
      </c>
      <c r="J61">
        <v>46242</v>
      </c>
      <c r="K61">
        <v>46242</v>
      </c>
      <c r="L61">
        <v>45203</v>
      </c>
      <c r="M61">
        <v>45533</v>
      </c>
      <c r="N61">
        <v>3673600</v>
      </c>
      <c r="O61">
        <v>45533</v>
      </c>
      <c r="P61">
        <v>-1.5374967563359499E-2</v>
      </c>
      <c r="Q61">
        <v>-1.5494388015508001E-2</v>
      </c>
      <c r="R61" s="8">
        <v>12.0661354064941</v>
      </c>
      <c r="S61" s="8">
        <v>-2.1390475424234199E-2</v>
      </c>
      <c r="T61" s="9">
        <v>-2.16225673155306E-2</v>
      </c>
      <c r="U61" s="12">
        <v>4.0168000000000002E-2</v>
      </c>
      <c r="V61" s="16">
        <v>2.3094000000000001</v>
      </c>
      <c r="W61" s="17">
        <f t="shared" si="0"/>
        <v>-6.2822719449224795E-3</v>
      </c>
    </row>
    <row r="62" spans="1:23" x14ac:dyDescent="0.2">
      <c r="A62" s="14">
        <v>41612</v>
      </c>
      <c r="B62" s="3">
        <v>-600170348100777</v>
      </c>
      <c r="C62" s="3">
        <f>[1]!nefin_factors__1[[#This Row],[Rm_minus_Rf]]/B61-1</f>
        <v>3.6076751671559864</v>
      </c>
      <c r="D62" s="3">
        <v>244309961254299</v>
      </c>
      <c r="E62" s="3">
        <f>[1]!nefin_factors__1[[#This Row],[SMB]]/D61-1</f>
        <v>-2.1389717259916061</v>
      </c>
      <c r="F62" s="3">
        <v>-30559115095911</v>
      </c>
      <c r="G62" s="3">
        <f>[1]!nefin_factors__1[[#This Row],[HML]]/F61-1</f>
        <v>-2.0765521885836664</v>
      </c>
      <c r="H62" s="3">
        <v>371062251521614</v>
      </c>
      <c r="I62" s="4">
        <f>[1]!nefin_factors__1[[#This Row],[Risk_Free]]/H61-1</f>
        <v>1.9526664499660562E-3</v>
      </c>
      <c r="J62">
        <v>45533</v>
      </c>
      <c r="K62">
        <v>46050</v>
      </c>
      <c r="L62">
        <v>45401</v>
      </c>
      <c r="M62">
        <v>45698</v>
      </c>
      <c r="N62">
        <v>3282400</v>
      </c>
      <c r="O62">
        <v>45698</v>
      </c>
      <c r="P62">
        <v>3.6237454154131E-3</v>
      </c>
      <c r="Q62">
        <v>3.6171954687854498E-3</v>
      </c>
      <c r="R62" s="8">
        <v>11.7859106063843</v>
      </c>
      <c r="S62" s="8">
        <v>-1.55785457716827E-2</v>
      </c>
      <c r="T62" s="9">
        <v>-1.5701166484606802E-2</v>
      </c>
      <c r="U62" s="12">
        <v>4.0168000000000002E-2</v>
      </c>
      <c r="V62" s="16">
        <v>2.3382000000000001</v>
      </c>
      <c r="W62" s="17">
        <f t="shared" si="0"/>
        <v>1.2470771628994459E-2</v>
      </c>
    </row>
    <row r="63" spans="1:23" x14ac:dyDescent="0.2">
      <c r="A63" s="15">
        <v>41613</v>
      </c>
      <c r="B63" s="5">
        <v>6981245025126</v>
      </c>
      <c r="C63" s="5">
        <f>[1]!nefin_factors__1[[#This Row],[Rm_minus_Rf]]/B62-1</f>
        <v>-1.0116321058633069</v>
      </c>
      <c r="D63" s="5">
        <v>-834798558716775</v>
      </c>
      <c r="E63" s="5">
        <f>[1]!nefin_factors__1[[#This Row],[SMB]]/D62-1</f>
        <v>-4.4169648852256351</v>
      </c>
      <c r="F63" s="5">
        <v>-708845622273045</v>
      </c>
      <c r="G63" s="5">
        <f>[1]!nefin_factors__1[[#This Row],[HML]]/F62-1</f>
        <v>22.195881819493295</v>
      </c>
      <c r="H63" s="5">
        <v>37142377669408</v>
      </c>
      <c r="I63" s="6">
        <f>[1]!nefin_factors__1[[#This Row],[Risk_Free]]/H62-1</f>
        <v>-0.89990257020998943</v>
      </c>
      <c r="J63">
        <v>45687</v>
      </c>
      <c r="K63">
        <v>45916</v>
      </c>
      <c r="L63">
        <v>45508</v>
      </c>
      <c r="M63">
        <v>45862</v>
      </c>
      <c r="N63">
        <v>3021300</v>
      </c>
      <c r="O63">
        <v>45862</v>
      </c>
      <c r="P63">
        <v>3.5887785023414102E-3</v>
      </c>
      <c r="Q63">
        <v>3.5823542024436199E-3</v>
      </c>
      <c r="R63" s="8">
        <v>11.497444152831999</v>
      </c>
      <c r="S63" s="8">
        <v>-2.4475673407452801E-2</v>
      </c>
      <c r="T63" s="9">
        <v>-2.47801816670703E-2</v>
      </c>
      <c r="U63" s="12">
        <v>4.0168000000000002E-2</v>
      </c>
      <c r="V63" s="16">
        <v>2.3410000000000002</v>
      </c>
      <c r="W63" s="17">
        <f t="shared" si="0"/>
        <v>1.1975023522368122E-3</v>
      </c>
    </row>
    <row r="64" spans="1:23" x14ac:dyDescent="0.2">
      <c r="A64" s="14">
        <v>41614</v>
      </c>
      <c r="B64" s="3">
        <v>-480530359402711</v>
      </c>
      <c r="C64" s="3">
        <f>[1]!nefin_factors__1[[#This Row],[Rm_minus_Rf]]/B63-1</f>
        <v>-69.831613512095316</v>
      </c>
      <c r="D64" s="3">
        <v>725893692661948</v>
      </c>
      <c r="E64" s="3">
        <f>[1]!nefin_factors__1[[#This Row],[SMB]]/D63-1</f>
        <v>-1.8695435384768369</v>
      </c>
      <c r="F64" s="3">
        <v>822607839156784</v>
      </c>
      <c r="G64" s="3">
        <f>[1]!nefin_factors__1[[#This Row],[HML]]/F63-1</f>
        <v>-2.1604894116703992</v>
      </c>
      <c r="H64" s="3">
        <v>37142377669408</v>
      </c>
      <c r="I64" s="4">
        <f>[1]!nefin_factors__1[[#This Row],[Risk_Free]]/H63-1</f>
        <v>0</v>
      </c>
      <c r="J64">
        <v>45864</v>
      </c>
      <c r="K64">
        <v>46176</v>
      </c>
      <c r="L64">
        <v>45250</v>
      </c>
      <c r="M64">
        <v>45444</v>
      </c>
      <c r="N64">
        <v>3118200</v>
      </c>
      <c r="O64">
        <v>45444</v>
      </c>
      <c r="P64">
        <v>-9.11429941999908E-3</v>
      </c>
      <c r="Q64">
        <v>-9.1560887611381505E-3</v>
      </c>
      <c r="R64" s="8">
        <v>11.579862594604499</v>
      </c>
      <c r="S64" s="8">
        <v>7.1683945416019003E-3</v>
      </c>
      <c r="T64" s="9">
        <v>7.1428237298404801E-3</v>
      </c>
      <c r="U64" s="12">
        <v>4.0168000000000002E-2</v>
      </c>
      <c r="V64" s="16">
        <v>2.3460999999999999</v>
      </c>
      <c r="W64" s="17">
        <f t="shared" si="0"/>
        <v>2.1785561725757852E-3</v>
      </c>
    </row>
    <row r="65" spans="1:23" x14ac:dyDescent="0.2">
      <c r="A65" s="15">
        <v>41617</v>
      </c>
      <c r="B65" s="5">
        <v>240721108180246</v>
      </c>
      <c r="C65" s="5">
        <f>[1]!nefin_factors__1[[#This Row],[Rm_minus_Rf]]/B64-1</f>
        <v>-1.5009488026510067</v>
      </c>
      <c r="D65" s="5">
        <v>-105278811157419</v>
      </c>
      <c r="E65" s="5">
        <f>[1]!nefin_factors__1[[#This Row],[SMB]]/D64-1</f>
        <v>-1.145033373649174</v>
      </c>
      <c r="F65" s="5">
        <v>353524810975635</v>
      </c>
      <c r="G65" s="5">
        <f>[1]!nefin_factors__1[[#This Row],[HML]]/F64-1</f>
        <v>-0.57023894722664403</v>
      </c>
      <c r="H65" s="5">
        <v>37214672867325</v>
      </c>
      <c r="I65" s="6">
        <f>[1]!nefin_factors__1[[#This Row],[Risk_Free]]/H64-1</f>
        <v>1.9464343010153762E-3</v>
      </c>
      <c r="J65">
        <v>45444</v>
      </c>
      <c r="K65">
        <v>45562</v>
      </c>
      <c r="L65">
        <v>44905</v>
      </c>
      <c r="M65">
        <v>44966</v>
      </c>
      <c r="N65">
        <v>3477100</v>
      </c>
      <c r="O65">
        <v>44966</v>
      </c>
      <c r="P65">
        <v>-1.0518440278144499E-2</v>
      </c>
      <c r="Q65">
        <v>-1.0574150068847399E-2</v>
      </c>
      <c r="R65" s="8">
        <v>11.7034921646118</v>
      </c>
      <c r="S65" s="8">
        <v>1.0676156246775899E-2</v>
      </c>
      <c r="T65" s="9">
        <v>1.0619568494164599E-2</v>
      </c>
      <c r="U65" s="12">
        <v>4.0168000000000002E-2</v>
      </c>
      <c r="V65" s="16">
        <v>2.3649</v>
      </c>
      <c r="W65" s="17">
        <f t="shared" si="0"/>
        <v>8.0132986658711935E-3</v>
      </c>
    </row>
    <row r="66" spans="1:23" x14ac:dyDescent="0.2">
      <c r="A66" s="14">
        <v>41618</v>
      </c>
      <c r="B66" s="3">
        <v>-414161309156807</v>
      </c>
      <c r="C66" s="3">
        <f>[1]!nefin_factors__1[[#This Row],[Rm_minus_Rf]]/B65-1</f>
        <v>-2.7205026691996337</v>
      </c>
      <c r="D66" s="3">
        <v>404429706216772</v>
      </c>
      <c r="E66" s="3">
        <f>[1]!nefin_factors__1[[#This Row],[SMB]]/D65-1</f>
        <v>-4.8415109533488669</v>
      </c>
      <c r="F66" s="3">
        <v>435253589519426</v>
      </c>
      <c r="G66" s="3">
        <f>[1]!nefin_factors__1[[#This Row],[HML]]/F65-1</f>
        <v>0.23118258183418927</v>
      </c>
      <c r="H66" s="3">
        <v>373230910816424</v>
      </c>
      <c r="I66" s="4">
        <f>[1]!nefin_factors__1[[#This Row],[Risk_Free]]/H65-1</f>
        <v>9.0291331902080465</v>
      </c>
      <c r="J66">
        <v>44979</v>
      </c>
      <c r="K66">
        <v>45499</v>
      </c>
      <c r="L66">
        <v>44969</v>
      </c>
      <c r="M66">
        <v>45118</v>
      </c>
      <c r="N66">
        <v>2929300</v>
      </c>
      <c r="O66">
        <v>45118</v>
      </c>
      <c r="P66">
        <v>3.38033180625352E-3</v>
      </c>
      <c r="Q66">
        <v>3.3746313274210498E-3</v>
      </c>
      <c r="R66" s="8">
        <v>11.654040336608899</v>
      </c>
      <c r="S66" s="8">
        <v>-4.22529578709496E-3</v>
      </c>
      <c r="T66" s="9">
        <v>-4.2342475742035597E-3</v>
      </c>
      <c r="U66" s="12">
        <v>4.0168000000000002E-2</v>
      </c>
      <c r="V66" s="16">
        <v>2.3485999999999998</v>
      </c>
      <c r="W66" s="17">
        <f t="shared" si="0"/>
        <v>-6.8924690261745747E-3</v>
      </c>
    </row>
    <row r="67" spans="1:23" x14ac:dyDescent="0.2">
      <c r="A67" s="15">
        <v>41619</v>
      </c>
      <c r="B67" s="5">
        <v>-156269278954673</v>
      </c>
      <c r="C67" s="5">
        <f>[1]!nefin_factors__1[[#This Row],[Rm_minus_Rf]]/B66-1</f>
        <v>-0.62268498891694546</v>
      </c>
      <c r="D67" s="5">
        <v>414126054496587</v>
      </c>
      <c r="E67" s="5">
        <f>[1]!nefin_factors__1[[#This Row],[SMB]]/D66-1</f>
        <v>2.3975361183329547E-2</v>
      </c>
      <c r="F67" s="5">
        <v>-138426047833295</v>
      </c>
      <c r="G67" s="5">
        <f>[1]!nefin_factors__1[[#This Row],[HML]]/F66-1</f>
        <v>-1.3180353962988209</v>
      </c>
      <c r="H67" s="5">
        <v>372869549537524</v>
      </c>
      <c r="I67" s="6">
        <f>[1]!nefin_factors__1[[#This Row],[Risk_Free]]/H66-1</f>
        <v>-9.6819761822386496E-4</v>
      </c>
      <c r="J67">
        <v>45115</v>
      </c>
      <c r="K67">
        <v>46217</v>
      </c>
      <c r="L67">
        <v>45074</v>
      </c>
      <c r="M67">
        <v>46150</v>
      </c>
      <c r="N67">
        <v>3593900</v>
      </c>
      <c r="O67">
        <v>46150</v>
      </c>
      <c r="P67">
        <v>2.28733543153508E-2</v>
      </c>
      <c r="Q67">
        <v>2.2615680982629199E-2</v>
      </c>
      <c r="R67" s="8">
        <v>11.6622819900513</v>
      </c>
      <c r="S67" s="8">
        <v>7.0728248900242497E-4</v>
      </c>
      <c r="T67" s="9">
        <v>7.0703248261927995E-4</v>
      </c>
      <c r="U67" s="12">
        <v>4.0168000000000002E-2</v>
      </c>
      <c r="V67" s="16">
        <v>2.3637999999999999</v>
      </c>
      <c r="W67" s="17">
        <f t="shared" si="0"/>
        <v>6.4719407306481624E-3</v>
      </c>
    </row>
    <row r="68" spans="1:23" x14ac:dyDescent="0.2">
      <c r="A68" s="14">
        <v>41620</v>
      </c>
      <c r="B68" s="3">
        <v>-8018629655</v>
      </c>
      <c r="C68" s="3">
        <f>[1]!nefin_factors__1[[#This Row],[Rm_minus_Rf]]/B67-1</f>
        <v>-0.99994868710146589</v>
      </c>
      <c r="D68" s="3">
        <v>-258120673444065</v>
      </c>
      <c r="E68" s="3">
        <f>[1]!nefin_factors__1[[#This Row],[SMB]]/D67-1</f>
        <v>-1.623290108510167</v>
      </c>
      <c r="F68" s="3">
        <v>453579024588567</v>
      </c>
      <c r="G68" s="3">
        <f>[1]!nefin_factors__1[[#This Row],[HML]]/F67-1</f>
        <v>-4.2766883956320658</v>
      </c>
      <c r="H68" s="3">
        <v>372869549537524</v>
      </c>
      <c r="I68" s="4">
        <f>[1]!nefin_factors__1[[#This Row],[Risk_Free]]/H67-1</f>
        <v>0</v>
      </c>
      <c r="J68">
        <v>46152</v>
      </c>
      <c r="K68">
        <v>46803</v>
      </c>
      <c r="L68">
        <v>45909</v>
      </c>
      <c r="M68">
        <v>46567</v>
      </c>
      <c r="N68">
        <v>3337700</v>
      </c>
      <c r="O68">
        <v>46567</v>
      </c>
      <c r="P68">
        <v>9.0357529794149495E-3</v>
      </c>
      <c r="Q68">
        <v>8.99517481646008E-3</v>
      </c>
      <c r="R68" s="8">
        <v>11.769427299499499</v>
      </c>
      <c r="S68" s="8">
        <v>9.1873278392264907E-3</v>
      </c>
      <c r="T68" s="9">
        <v>9.1453810662419904E-3</v>
      </c>
      <c r="U68" s="12">
        <v>4.0168000000000002E-2</v>
      </c>
      <c r="V68" s="16">
        <v>2.3517999999999999</v>
      </c>
      <c r="W68" s="17">
        <f t="shared" ref="W68:W131" si="1">V68/V67-1</f>
        <v>-5.0765716219646206E-3</v>
      </c>
    </row>
    <row r="69" spans="1:23" x14ac:dyDescent="0.2">
      <c r="A69" s="15">
        <v>41621</v>
      </c>
      <c r="B69" s="5">
        <v>-347605401814554</v>
      </c>
      <c r="C69" s="5">
        <f>[1]!nefin_factors__1[[#This Row],[Rm_minus_Rf]]/B68-1</f>
        <v>43348.726420873594</v>
      </c>
      <c r="D69" s="5">
        <v>-343652270643713</v>
      </c>
      <c r="E69" s="5">
        <f>[1]!nefin_factors__1[[#This Row],[SMB]]/D68-1</f>
        <v>0.33136283141684419</v>
      </c>
      <c r="F69" s="5">
        <v>204087901835068</v>
      </c>
      <c r="G69" s="5">
        <f>[1]!nefin_factors__1[[#This Row],[HML]]/F68-1</f>
        <v>-0.55004995652038291</v>
      </c>
      <c r="H69" s="5">
        <v>373230910816424</v>
      </c>
      <c r="I69" s="6">
        <f>[1]!nefin_factors__1[[#This Row],[Risk_Free]]/H68-1</f>
        <v>9.6913593332637049E-4</v>
      </c>
      <c r="J69">
        <v>46565</v>
      </c>
      <c r="K69">
        <v>47484</v>
      </c>
      <c r="L69">
        <v>46151</v>
      </c>
      <c r="M69">
        <v>47278</v>
      </c>
      <c r="N69">
        <v>4364800</v>
      </c>
      <c r="O69">
        <v>47278</v>
      </c>
      <c r="P69">
        <v>1.52683230613955E-2</v>
      </c>
      <c r="Q69">
        <v>1.51529352533681E-2</v>
      </c>
      <c r="R69" s="8">
        <v>11.538654327392599</v>
      </c>
      <c r="S69" s="8">
        <v>-1.9607888789910901E-2</v>
      </c>
      <c r="T69" s="9">
        <v>-1.98026738618899E-2</v>
      </c>
      <c r="U69" s="12">
        <v>4.0168000000000002E-2</v>
      </c>
      <c r="V69" s="16">
        <v>2.3521999999999998</v>
      </c>
      <c r="W69" s="17">
        <f t="shared" si="1"/>
        <v>1.7008249000771691E-4</v>
      </c>
    </row>
    <row r="70" spans="1:23" x14ac:dyDescent="0.2">
      <c r="A70" s="14">
        <v>41624</v>
      </c>
      <c r="B70" s="3">
        <v>324261967087364</v>
      </c>
      <c r="C70" s="3">
        <f>[1]!nefin_factors__1[[#This Row],[Rm_minus_Rf]]/B69-1</f>
        <v>-1.9328450173520502</v>
      </c>
      <c r="D70" s="3">
        <v>-51597220442998</v>
      </c>
      <c r="E70" s="3">
        <f>[1]!nefin_factors__1[[#This Row],[SMB]]/D69-1</f>
        <v>-0.84985630868567075</v>
      </c>
      <c r="F70" s="3">
        <v>157589713374801</v>
      </c>
      <c r="G70" s="3">
        <f>[1]!nefin_factors__1[[#This Row],[HML]]/F69-1</f>
        <v>-0.22783412462069474</v>
      </c>
      <c r="H70" s="3">
        <v>373230910816424</v>
      </c>
      <c r="I70" s="4">
        <f>[1]!nefin_factors__1[[#This Row],[Risk_Free]]/H69-1</f>
        <v>0</v>
      </c>
      <c r="J70">
        <v>47272</v>
      </c>
      <c r="K70">
        <v>47832</v>
      </c>
      <c r="L70">
        <v>46721</v>
      </c>
      <c r="M70">
        <v>47381</v>
      </c>
      <c r="N70">
        <v>4187600</v>
      </c>
      <c r="O70">
        <v>47381</v>
      </c>
      <c r="P70">
        <v>2.1786031558017598E-3</v>
      </c>
      <c r="Q70">
        <v>2.17623344110101E-3</v>
      </c>
      <c r="R70" s="8">
        <v>11.7034921646118</v>
      </c>
      <c r="S70" s="8">
        <v>1.42855853652164E-2</v>
      </c>
      <c r="T70" s="9">
        <v>1.4184507887232099E-2</v>
      </c>
      <c r="U70" s="12">
        <v>4.0168000000000002E-2</v>
      </c>
      <c r="V70" s="16">
        <v>2.3338000000000001</v>
      </c>
      <c r="W70" s="17">
        <f t="shared" si="1"/>
        <v>-7.8224640761839215E-3</v>
      </c>
    </row>
    <row r="71" spans="1:23" x14ac:dyDescent="0.2">
      <c r="A71" s="15">
        <v>41625</v>
      </c>
      <c r="B71" s="5">
        <v>-276087228497821</v>
      </c>
      <c r="C71" s="5">
        <f>[1]!nefin_factors__1[[#This Row],[Rm_minus_Rf]]/B70-1</f>
        <v>-1.8514326579146312</v>
      </c>
      <c r="D71" s="5">
        <v>55930239493784</v>
      </c>
      <c r="E71" s="5">
        <f>[1]!nefin_factors__1[[#This Row],[SMB]]/D70-1</f>
        <v>-2.0839777610806167</v>
      </c>
      <c r="F71" s="5">
        <v>619831938061488</v>
      </c>
      <c r="G71" s="5">
        <f>[1]!nefin_factors__1[[#This Row],[HML]]/F70-1</f>
        <v>2.9332004912485661</v>
      </c>
      <c r="H71" s="5">
        <v>373953535097504</v>
      </c>
      <c r="I71" s="6">
        <f>[1]!nefin_factors__1[[#This Row],[Risk_Free]]/H70-1</f>
        <v>1.9361319229944662E-3</v>
      </c>
      <c r="J71">
        <v>47382</v>
      </c>
      <c r="K71">
        <v>48142</v>
      </c>
      <c r="L71">
        <v>47382</v>
      </c>
      <c r="M71">
        <v>47993</v>
      </c>
      <c r="N71">
        <v>3008900</v>
      </c>
      <c r="O71">
        <v>47993</v>
      </c>
      <c r="P71">
        <v>1.2916569933095499E-2</v>
      </c>
      <c r="Q71">
        <v>1.28338624800527E-2</v>
      </c>
      <c r="R71" s="8">
        <v>11.538654327392599</v>
      </c>
      <c r="S71" s="8">
        <v>-1.40843817277287E-2</v>
      </c>
      <c r="T71" s="9">
        <v>-1.41845078872322E-2</v>
      </c>
      <c r="U71" s="12">
        <v>4.0168000000000002E-2</v>
      </c>
      <c r="V71" s="16">
        <v>2.3420000000000001</v>
      </c>
      <c r="W71" s="17">
        <f t="shared" si="1"/>
        <v>3.5135829976862265E-3</v>
      </c>
    </row>
    <row r="72" spans="1:23" x14ac:dyDescent="0.2">
      <c r="A72" s="14">
        <v>41626</v>
      </c>
      <c r="B72" s="3">
        <v>248679647489178</v>
      </c>
      <c r="C72" s="3">
        <f>[1]!nefin_factors__1[[#This Row],[Rm_minus_Rf]]/B71-1</f>
        <v>-1.9007285445336732</v>
      </c>
      <c r="D72" s="3">
        <v>141590863665374</v>
      </c>
      <c r="E72" s="3">
        <f>[1]!nefin_factors__1[[#This Row],[SMB]]/D71-1</f>
        <v>1.5315619054538501</v>
      </c>
      <c r="F72" s="3">
        <v>214287254998061</v>
      </c>
      <c r="G72" s="3">
        <f>[1]!nefin_factors__1[[#This Row],[HML]]/F71-1</f>
        <v>-0.65428168211492932</v>
      </c>
      <c r="H72" s="3">
        <v>373953535097504</v>
      </c>
      <c r="I72" s="4">
        <f>[1]!nefin_factors__1[[#This Row],[Risk_Free]]/H71-1</f>
        <v>0</v>
      </c>
      <c r="J72">
        <v>47993</v>
      </c>
      <c r="K72">
        <v>48441</v>
      </c>
      <c r="L72">
        <v>47950</v>
      </c>
      <c r="M72">
        <v>48180</v>
      </c>
      <c r="N72">
        <v>2953800</v>
      </c>
      <c r="O72">
        <v>48180</v>
      </c>
      <c r="P72">
        <v>3.8964015585605202E-3</v>
      </c>
      <c r="Q72">
        <v>3.88883024688211E-3</v>
      </c>
      <c r="R72" s="8">
        <v>11.6787662506104</v>
      </c>
      <c r="S72" s="8">
        <v>1.21428995509156E-2</v>
      </c>
      <c r="T72" s="9">
        <v>1.20697659866111E-2</v>
      </c>
      <c r="U72" s="12">
        <v>4.0168000000000002E-2</v>
      </c>
      <c r="V72" s="16">
        <v>2.3245</v>
      </c>
      <c r="W72" s="17">
        <f t="shared" si="1"/>
        <v>-7.472245943637934E-3</v>
      </c>
    </row>
    <row r="73" spans="1:23" x14ac:dyDescent="0.2">
      <c r="A73" s="15">
        <v>41627</v>
      </c>
      <c r="B73" s="5">
        <v>144247864321828</v>
      </c>
      <c r="C73" s="5">
        <f>[1]!nefin_factors__1[[#This Row],[Rm_minus_Rf]]/B72-1</f>
        <v>-0.41994503459272692</v>
      </c>
      <c r="D73" s="5">
        <v>-642962796330856</v>
      </c>
      <c r="E73" s="5">
        <f>[1]!nefin_factors__1[[#This Row],[SMB]]/D72-1</f>
        <v>-5.5409907086264374</v>
      </c>
      <c r="F73" s="5">
        <v>935893960225335</v>
      </c>
      <c r="G73" s="5">
        <f>[1]!nefin_factors__1[[#This Row],[HML]]/F72-1</f>
        <v>3.3674737456215187</v>
      </c>
      <c r="H73" s="5">
        <v>374314798111453</v>
      </c>
      <c r="I73" s="6">
        <f>[1]!nefin_factors__1[[#This Row],[Risk_Free]]/H72-1</f>
        <v>9.6606390912934437E-4</v>
      </c>
      <c r="J73">
        <v>48182</v>
      </c>
      <c r="K73">
        <v>48725</v>
      </c>
      <c r="L73">
        <v>47963</v>
      </c>
      <c r="M73">
        <v>47966</v>
      </c>
      <c r="N73">
        <v>3439100</v>
      </c>
      <c r="O73">
        <v>47966</v>
      </c>
      <c r="P73">
        <v>-4.4416770444167799E-3</v>
      </c>
      <c r="Q73">
        <v>-4.4515705987517203E-3</v>
      </c>
      <c r="R73" s="8">
        <v>11.6622819900513</v>
      </c>
      <c r="S73" s="8">
        <v>-1.4114761202060899E-3</v>
      </c>
      <c r="T73" s="9">
        <v>-1.4124731909631999E-3</v>
      </c>
      <c r="U73" s="12">
        <v>4.0168000000000002E-2</v>
      </c>
      <c r="V73" s="16">
        <v>2.3248000000000002</v>
      </c>
      <c r="W73" s="17">
        <f t="shared" si="1"/>
        <v>1.2906001290602376E-4</v>
      </c>
    </row>
    <row r="74" spans="1:23" x14ac:dyDescent="0.2">
      <c r="A74" s="14">
        <v>41628</v>
      </c>
      <c r="B74" s="3">
        <v>-399937099605116</v>
      </c>
      <c r="C74" s="3">
        <f>[1]!nefin_factors__1[[#This Row],[Rm_minus_Rf]]/B73-1</f>
        <v>-3.7725686025605607</v>
      </c>
      <c r="D74" s="3">
        <v>-866660810602948</v>
      </c>
      <c r="E74" s="3">
        <f>[1]!nefin_factors__1[[#This Row],[SMB]]/D73-1</f>
        <v>0.34791750867803151</v>
      </c>
      <c r="F74" s="3">
        <v>-120605441638745</v>
      </c>
      <c r="G74" s="3">
        <f>[1]!nefin_factors__1[[#This Row],[HML]]/F73-1</f>
        <v>-1.128866566902202</v>
      </c>
      <c r="H74" s="3">
        <v>375037225916586</v>
      </c>
      <c r="I74" s="4">
        <f>[1]!nefin_factors__1[[#This Row],[Risk_Free]]/H73-1</f>
        <v>1.9300006539360037E-3</v>
      </c>
      <c r="J74">
        <v>47965</v>
      </c>
      <c r="K74">
        <v>49647</v>
      </c>
      <c r="L74">
        <v>47962</v>
      </c>
      <c r="M74">
        <v>49647</v>
      </c>
      <c r="N74">
        <v>5928200</v>
      </c>
      <c r="O74">
        <v>49647</v>
      </c>
      <c r="P74">
        <v>3.5045657340616397E-2</v>
      </c>
      <c r="Q74">
        <v>3.4445539116942397E-2</v>
      </c>
      <c r="R74" s="8">
        <v>12.156796455383301</v>
      </c>
      <c r="S74" s="8">
        <v>4.2402914199976702E-2</v>
      </c>
      <c r="T74" s="9">
        <v>4.1528542488420701E-2</v>
      </c>
      <c r="U74" s="12">
        <v>4.0168000000000002E-2</v>
      </c>
      <c r="V74" s="16">
        <v>2.3123999999999998</v>
      </c>
      <c r="W74" s="17">
        <f t="shared" si="1"/>
        <v>-5.3337921541639632E-3</v>
      </c>
    </row>
    <row r="75" spans="1:23" x14ac:dyDescent="0.2">
      <c r="A75" s="15">
        <v>41631</v>
      </c>
      <c r="B75" s="5">
        <v>179540062124179</v>
      </c>
      <c r="C75" s="5">
        <f>[1]!nefin_factors__1[[#This Row],[Rm_minus_Rf]]/B74-1</f>
        <v>-1.4489207485413347</v>
      </c>
      <c r="D75" s="5">
        <v>-48937789450895</v>
      </c>
      <c r="E75" s="5">
        <f>[1]!nefin_factors__1[[#This Row],[SMB]]/D74-1</f>
        <v>-0.94353293831660823</v>
      </c>
      <c r="F75" s="5">
        <v>-726831978048253</v>
      </c>
      <c r="G75" s="5">
        <f>[1]!nefin_factors__1[[#This Row],[HML]]/F74-1</f>
        <v>5.0265272293879253</v>
      </c>
      <c r="H75" s="5">
        <v>375759522797114</v>
      </c>
      <c r="I75" s="6">
        <f>[1]!nefin_factors__1[[#This Row],[Risk_Free]]/H74-1</f>
        <v>1.9259338290025241E-3</v>
      </c>
      <c r="J75">
        <v>49653</v>
      </c>
      <c r="K75">
        <v>50181</v>
      </c>
      <c r="L75">
        <v>49606</v>
      </c>
      <c r="M75">
        <v>49768</v>
      </c>
      <c r="N75">
        <v>4230500</v>
      </c>
      <c r="O75">
        <v>49768</v>
      </c>
      <c r="P75">
        <v>2.4372066791549202E-3</v>
      </c>
      <c r="Q75">
        <v>2.4342415078028499E-3</v>
      </c>
      <c r="R75" s="8">
        <v>12.527681350708001</v>
      </c>
      <c r="S75" s="8">
        <v>3.0508467240908201E-2</v>
      </c>
      <c r="T75" s="9">
        <v>3.0052337948204201E-2</v>
      </c>
      <c r="U75" s="12">
        <v>4.0168000000000002E-2</v>
      </c>
      <c r="V75" s="16">
        <v>2.3119000000000001</v>
      </c>
      <c r="W75" s="17">
        <f t="shared" si="1"/>
        <v>-2.1622556651090807E-4</v>
      </c>
    </row>
    <row r="76" spans="1:23" x14ac:dyDescent="0.2">
      <c r="A76" s="14">
        <v>41634</v>
      </c>
      <c r="B76" s="3">
        <v>-180528368063227</v>
      </c>
      <c r="C76" s="3">
        <f>[1]!nefin_factors__1[[#This Row],[Rm_minus_Rf]]/B75-1</f>
        <v>-2.0055046540997878</v>
      </c>
      <c r="D76" s="3">
        <v>-436992275480174</v>
      </c>
      <c r="E76" s="3">
        <f>[1]!nefin_factors__1[[#This Row],[SMB]]/D75-1</f>
        <v>7.9295466833184083</v>
      </c>
      <c r="F76" s="3">
        <v>969377925555169</v>
      </c>
      <c r="G76" s="3">
        <f>[1]!nefin_factors__1[[#This Row],[HML]]/F75-1</f>
        <v>-2.3337029118589685</v>
      </c>
      <c r="H76" s="3">
        <v>377203723974651</v>
      </c>
      <c r="I76" s="4">
        <f>[1]!nefin_factors__1[[#This Row],[Risk_Free]]/H75-1</f>
        <v>3.8434187024363187E-3</v>
      </c>
      <c r="J76">
        <v>49770</v>
      </c>
      <c r="K76">
        <v>50418</v>
      </c>
      <c r="L76">
        <v>49770</v>
      </c>
      <c r="M76">
        <v>50415</v>
      </c>
      <c r="N76">
        <v>3645900</v>
      </c>
      <c r="O76">
        <v>50415</v>
      </c>
      <c r="P76">
        <v>1.30003214917216E-2</v>
      </c>
      <c r="Q76">
        <v>1.2916542632460001E-2</v>
      </c>
      <c r="R76" s="8">
        <v>12.494713783264199</v>
      </c>
      <c r="S76" s="8">
        <v>-2.6315725004042402E-3</v>
      </c>
      <c r="T76" s="9">
        <v>-2.63504117403049E-3</v>
      </c>
      <c r="U76" s="12">
        <v>4.0168000000000002E-2</v>
      </c>
      <c r="V76" s="16">
        <v>2.2829999999999999</v>
      </c>
      <c r="W76" s="17">
        <f t="shared" si="1"/>
        <v>-1.25005406808254E-2</v>
      </c>
    </row>
    <row r="77" spans="1:23" x14ac:dyDescent="0.2">
      <c r="A77" s="15">
        <v>41635</v>
      </c>
      <c r="B77" s="5">
        <v>213798399647249</v>
      </c>
      <c r="C77" s="5">
        <f>[1]!nefin_factors__1[[#This Row],[Rm_minus_Rf]]/B76-1</f>
        <v>-2.1842925405073719</v>
      </c>
      <c r="D77" s="5">
        <v>363160447067581</v>
      </c>
      <c r="E77" s="5">
        <f>[1]!nefin_factors__1[[#This Row],[SMB]]/D76-1</f>
        <v>-1.8310454610863192</v>
      </c>
      <c r="F77" s="5">
        <v>-937716294573464</v>
      </c>
      <c r="G77" s="5">
        <f>[1]!nefin_factors__1[[#This Row],[HML]]/F76-1</f>
        <v>-1.9673381968507564</v>
      </c>
      <c r="H77" s="5">
        <v>376842722738413</v>
      </c>
      <c r="I77" s="6">
        <f>[1]!nefin_factors__1[[#This Row],[Risk_Free]]/H76-1</f>
        <v>-9.570457906249441E-4</v>
      </c>
      <c r="J77">
        <v>50412</v>
      </c>
      <c r="K77">
        <v>50627</v>
      </c>
      <c r="L77">
        <v>49774</v>
      </c>
      <c r="M77">
        <v>50270</v>
      </c>
      <c r="N77">
        <v>3501200</v>
      </c>
      <c r="O77">
        <v>50270</v>
      </c>
      <c r="P77">
        <v>-2.87612813646732E-3</v>
      </c>
      <c r="Q77">
        <v>-2.8802721406948001E-3</v>
      </c>
      <c r="R77" s="8">
        <v>12.4452619552612</v>
      </c>
      <c r="S77" s="8">
        <v>-3.9579055076706098E-3</v>
      </c>
      <c r="T77" s="9">
        <v>-3.9657587441018901E-3</v>
      </c>
      <c r="U77" s="12">
        <v>4.0168000000000002E-2</v>
      </c>
      <c r="V77" s="16">
        <v>2.2603</v>
      </c>
      <c r="W77" s="17">
        <f t="shared" si="1"/>
        <v>-9.9430573806394973E-3</v>
      </c>
    </row>
    <row r="78" spans="1:23" x14ac:dyDescent="0.2">
      <c r="A78" s="14">
        <v>41638</v>
      </c>
      <c r="B78" s="3">
        <v>429379274313257</v>
      </c>
      <c r="C78" s="3">
        <f>[1]!nefin_factors__1[[#This Row],[Rm_minus_Rf]]/B77-1</f>
        <v>1.0083371766191886</v>
      </c>
      <c r="D78" s="3">
        <v>8440210325024</v>
      </c>
      <c r="E78" s="3">
        <f>[1]!nefin_factors__1[[#This Row],[SMB]]/D77-1</f>
        <v>-0.97675900447535979</v>
      </c>
      <c r="F78" s="3">
        <v>154255530588302</v>
      </c>
      <c r="G78" s="3">
        <f>[1]!nefin_factors__1[[#This Row],[HML]]/F77-1</f>
        <v>-1.1645012798444201</v>
      </c>
      <c r="H78" s="3">
        <v>377203723974651</v>
      </c>
      <c r="I78" s="4">
        <f>[1]!nefin_factors__1[[#This Row],[Risk_Free]]/H77-1</f>
        <v>9.5796260470337735E-4</v>
      </c>
      <c r="J78">
        <v>50273</v>
      </c>
      <c r="K78">
        <v>51794</v>
      </c>
      <c r="L78">
        <v>50201</v>
      </c>
      <c r="M78">
        <v>51701</v>
      </c>
      <c r="N78">
        <v>4790700</v>
      </c>
      <c r="O78">
        <v>51701</v>
      </c>
      <c r="P78">
        <v>2.84662820767854E-2</v>
      </c>
      <c r="Q78">
        <v>2.8068645982606399E-2</v>
      </c>
      <c r="R78" s="8">
        <v>12.651309967041</v>
      </c>
      <c r="S78" s="8">
        <v>1.65563188044771E-2</v>
      </c>
      <c r="T78" s="9">
        <v>1.6420757179597699E-2</v>
      </c>
      <c r="U78" s="12">
        <v>4.0168000000000002E-2</v>
      </c>
      <c r="V78" s="16">
        <v>2.2629999999999999</v>
      </c>
      <c r="W78" s="17">
        <f t="shared" si="1"/>
        <v>1.1945316993318134E-3</v>
      </c>
    </row>
    <row r="79" spans="1:23" x14ac:dyDescent="0.2">
      <c r="A79" s="15">
        <v>41641</v>
      </c>
      <c r="B79" s="5">
        <v>-127984627846829</v>
      </c>
      <c r="C79" s="5">
        <f>[1]!nefin_factors__1[[#This Row],[Rm_minus_Rf]]/B78-1</f>
        <v>-1.2980689462748889</v>
      </c>
      <c r="D79" s="5">
        <v>-170307954372942</v>
      </c>
      <c r="E79" s="5">
        <f>[1]!nefin_factors__1[[#This Row],[SMB]]/D78-1</f>
        <v>-21.178164739331628</v>
      </c>
      <c r="F79" s="5">
        <v>-181077580151452</v>
      </c>
      <c r="G79" s="5">
        <f>[1]!nefin_factors__1[[#This Row],[HML]]/F78-1</f>
        <v>-2.1738806346900867</v>
      </c>
      <c r="H79" s="5">
        <v>378286531534267</v>
      </c>
      <c r="I79" s="6">
        <f>[1]!nefin_factors__1[[#This Row],[Risk_Free]]/H78-1</f>
        <v>2.8706173634933663E-3</v>
      </c>
      <c r="J79">
        <v>51712</v>
      </c>
      <c r="K79">
        <v>51991</v>
      </c>
      <c r="L79">
        <v>51059</v>
      </c>
      <c r="M79">
        <v>51408</v>
      </c>
      <c r="N79">
        <v>3503400</v>
      </c>
      <c r="O79">
        <v>51408</v>
      </c>
      <c r="P79">
        <v>-5.6672017949362897E-3</v>
      </c>
      <c r="Q79">
        <v>-5.6833213135876904E-3</v>
      </c>
      <c r="R79" s="8">
        <v>13.079888343811</v>
      </c>
      <c r="S79" s="8">
        <v>3.3876228158608503E-2</v>
      </c>
      <c r="T79" s="9">
        <v>3.3315066947117798E-2</v>
      </c>
      <c r="U79" s="12">
        <v>4.0168000000000002E-2</v>
      </c>
      <c r="V79" s="16">
        <v>2.262</v>
      </c>
      <c r="W79" s="17">
        <f t="shared" si="1"/>
        <v>-4.4189129474148103E-4</v>
      </c>
    </row>
    <row r="80" spans="1:23" x14ac:dyDescent="0.2">
      <c r="A80" s="14">
        <v>41642</v>
      </c>
      <c r="B80" s="3">
        <v>-425804946887639</v>
      </c>
      <c r="C80" s="3">
        <f>[1]!nefin_factors__1[[#This Row],[Rm_minus_Rf]]/B79-1</f>
        <v>2.3270007035316698</v>
      </c>
      <c r="D80" s="3">
        <v>366196173833721</v>
      </c>
      <c r="E80" s="3">
        <f>[1]!nefin_factors__1[[#This Row],[SMB]]/D79-1</f>
        <v>-3.1502000607195426</v>
      </c>
      <c r="F80" s="3">
        <v>366135537645735</v>
      </c>
      <c r="G80" s="3">
        <f>[1]!nefin_factors__1[[#This Row],[HML]]/F79-1</f>
        <v>-3.0219816132925006</v>
      </c>
      <c r="H80" s="3">
        <v>377925628366693</v>
      </c>
      <c r="I80" s="4">
        <f>[1]!nefin_factors__1[[#This Row],[Risk_Free]]/H79-1</f>
        <v>-9.5404709787116904E-4</v>
      </c>
      <c r="J80">
        <v>51428</v>
      </c>
      <c r="K80">
        <v>52288</v>
      </c>
      <c r="L80">
        <v>51034</v>
      </c>
      <c r="M80">
        <v>51082</v>
      </c>
      <c r="N80">
        <v>3696200</v>
      </c>
      <c r="O80">
        <v>51082</v>
      </c>
      <c r="P80">
        <v>-6.3414254590725702E-3</v>
      </c>
      <c r="Q80">
        <v>-6.3616177078572997E-3</v>
      </c>
      <c r="R80" s="8">
        <v>12.939776420593301</v>
      </c>
      <c r="S80" s="8">
        <v>-1.0712072777870001E-2</v>
      </c>
      <c r="T80" s="9">
        <v>-1.0769860081176899E-2</v>
      </c>
      <c r="U80" s="12">
        <v>4.0168000000000002E-2</v>
      </c>
      <c r="V80" s="16">
        <v>2.2711000000000001</v>
      </c>
      <c r="W80" s="17">
        <f t="shared" si="1"/>
        <v>4.022988505747227E-3</v>
      </c>
    </row>
    <row r="81" spans="1:23" x14ac:dyDescent="0.2">
      <c r="A81" s="15">
        <v>41645</v>
      </c>
      <c r="B81" s="5">
        <v>-164784042470986</v>
      </c>
      <c r="C81" s="5">
        <f>[1]!nefin_factors__1[[#This Row],[Rm_minus_Rf]]/B80-1</f>
        <v>-0.61300580541524563</v>
      </c>
      <c r="D81" s="5">
        <v>145517484555363</v>
      </c>
      <c r="E81" s="5">
        <f>[1]!nefin_factors__1[[#This Row],[SMB]]/D80-1</f>
        <v>-0.60262423544207144</v>
      </c>
      <c r="F81" s="5">
        <v>151357005711132</v>
      </c>
      <c r="G81" s="5">
        <f>[1]!nefin_factors__1[[#This Row],[HML]]/F80-1</f>
        <v>-0.58660935596592689</v>
      </c>
      <c r="H81" s="5">
        <v>378286531534267</v>
      </c>
      <c r="I81" s="6">
        <f>[1]!nefin_factors__1[[#This Row],[Risk_Free]]/H80-1</f>
        <v>9.5495817294466434E-4</v>
      </c>
      <c r="J81">
        <v>51115</v>
      </c>
      <c r="K81">
        <v>52229</v>
      </c>
      <c r="L81">
        <v>51115</v>
      </c>
      <c r="M81">
        <v>52155</v>
      </c>
      <c r="N81">
        <v>3673400</v>
      </c>
      <c r="O81">
        <v>52155</v>
      </c>
      <c r="P81">
        <v>2.1005442230139799E-2</v>
      </c>
      <c r="Q81">
        <v>2.0787869462288999E-2</v>
      </c>
      <c r="R81" s="8">
        <v>13.170549392700201</v>
      </c>
      <c r="S81" s="8">
        <v>1.7834438067808801E-2</v>
      </c>
      <c r="T81" s="9">
        <v>1.76772703909116E-2</v>
      </c>
      <c r="U81" s="12">
        <v>4.1063000000000002E-2</v>
      </c>
      <c r="V81" s="16">
        <v>2.2810999999999999</v>
      </c>
      <c r="W81" s="17">
        <f t="shared" si="1"/>
        <v>4.4031526573025115E-3</v>
      </c>
    </row>
    <row r="82" spans="1:23" x14ac:dyDescent="0.2">
      <c r="A82" s="14">
        <v>41646</v>
      </c>
      <c r="B82" s="3">
        <v>-56071925473159</v>
      </c>
      <c r="C82" s="3">
        <f>[1]!nefin_factors__1[[#This Row],[Rm_minus_Rf]]/B81-1</f>
        <v>-0.65972478504384457</v>
      </c>
      <c r="D82" s="3">
        <v>251672886275604</v>
      </c>
      <c r="E82" s="3">
        <f>[1]!nefin_factors__1[[#This Row],[SMB]]/D81-1</f>
        <v>0.72950272638786262</v>
      </c>
      <c r="F82" s="3">
        <v>-764853127410179</v>
      </c>
      <c r="G82" s="3">
        <f>[1]!nefin_factors__1[[#This Row],[HML]]/F81-1</f>
        <v>-6.0533050902838097</v>
      </c>
      <c r="H82" s="3">
        <v>379008239842271</v>
      </c>
      <c r="I82" s="4">
        <f>[1]!nefin_factors__1[[#This Row],[Risk_Free]]/H81-1</f>
        <v>1.9078350611025918E-3</v>
      </c>
      <c r="J82">
        <v>52173</v>
      </c>
      <c r="K82">
        <v>53394</v>
      </c>
      <c r="L82">
        <v>51377</v>
      </c>
      <c r="M82">
        <v>51629</v>
      </c>
      <c r="N82">
        <v>5496100</v>
      </c>
      <c r="O82">
        <v>51629</v>
      </c>
      <c r="P82">
        <v>-1.00853225961077E-2</v>
      </c>
      <c r="Q82">
        <v>-1.01365240081066E-2</v>
      </c>
      <c r="R82" s="8">
        <v>13.187032699585</v>
      </c>
      <c r="S82" s="8">
        <v>1.25135342744831E-3</v>
      </c>
      <c r="T82" s="9">
        <v>1.25057113729442E-3</v>
      </c>
      <c r="U82" s="12">
        <v>4.1063000000000002E-2</v>
      </c>
      <c r="V82" s="16">
        <v>2.242</v>
      </c>
      <c r="W82" s="17">
        <f t="shared" si="1"/>
        <v>-1.7140853097189934E-2</v>
      </c>
    </row>
    <row r="83" spans="1:23" x14ac:dyDescent="0.2">
      <c r="A83" s="15">
        <v>41647</v>
      </c>
      <c r="B83" s="5">
        <v>173386097769253</v>
      </c>
      <c r="C83" s="5">
        <f>[1]!nefin_factors__1[[#This Row],[Rm_minus_Rf]]/B82-1</f>
        <v>-4.0922087355864205</v>
      </c>
      <c r="D83" s="5">
        <v>-326268792270575</v>
      </c>
      <c r="E83" s="5">
        <f>[1]!nefin_factors__1[[#This Row],[SMB]]/D82-1</f>
        <v>-2.296400248349685</v>
      </c>
      <c r="F83" s="5">
        <v>186195895233512</v>
      </c>
      <c r="G83" s="5">
        <f>[1]!nefin_factors__1[[#This Row],[HML]]/F82-1</f>
        <v>-1.2434400652370714</v>
      </c>
      <c r="H83" s="5">
        <v>379729817486796</v>
      </c>
      <c r="I83" s="6">
        <f>[1]!nefin_factors__1[[#This Row],[Risk_Free]]/H82-1</f>
        <v>1.9038574064387248E-3</v>
      </c>
      <c r="J83">
        <v>51629</v>
      </c>
      <c r="K83">
        <v>51629</v>
      </c>
      <c r="L83">
        <v>50653</v>
      </c>
      <c r="M83">
        <v>51185</v>
      </c>
      <c r="N83">
        <v>4195300</v>
      </c>
      <c r="O83">
        <v>51185</v>
      </c>
      <c r="P83">
        <v>-8.5998179317825496E-3</v>
      </c>
      <c r="Q83">
        <v>-8.6370097480936991E-3</v>
      </c>
      <c r="R83" s="8">
        <v>13.187032699585</v>
      </c>
      <c r="S83" s="8">
        <v>0</v>
      </c>
      <c r="T83" s="9">
        <v>0</v>
      </c>
      <c r="U83" s="12">
        <v>4.1063000000000002E-2</v>
      </c>
      <c r="V83" s="16">
        <v>2.2326000000000001</v>
      </c>
      <c r="W83" s="17">
        <f t="shared" si="1"/>
        <v>-4.1926851025868572E-3</v>
      </c>
    </row>
    <row r="84" spans="1:23" x14ac:dyDescent="0.2">
      <c r="A84" s="14">
        <v>41648</v>
      </c>
      <c r="B84" s="3">
        <v>-235231191144919</v>
      </c>
      <c r="C84" s="3">
        <f>[1]!nefin_factors__1[[#This Row],[Rm_minus_Rf]]/B83-1</f>
        <v>-2.3566900355412068</v>
      </c>
      <c r="D84" s="3">
        <v>-154334717274898</v>
      </c>
      <c r="E84" s="3">
        <f>[1]!nefin_factors__1[[#This Row],[SMB]]/D83-1</f>
        <v>-0.52697064220929812</v>
      </c>
      <c r="F84" s="3">
        <v>-477195956453779</v>
      </c>
      <c r="G84" s="3">
        <f>[1]!nefin_factors__1[[#This Row],[HML]]/F83-1</f>
        <v>-3.5628704427415974</v>
      </c>
      <c r="H84" s="3">
        <v>380090557325241</v>
      </c>
      <c r="I84" s="4">
        <f>[1]!nefin_factors__1[[#This Row],[Risk_Free]]/H83-1</f>
        <v>9.4999081408064789E-4</v>
      </c>
      <c r="J84">
        <v>51185</v>
      </c>
      <c r="K84">
        <v>51522</v>
      </c>
      <c r="L84">
        <v>50732</v>
      </c>
      <c r="M84">
        <v>51127</v>
      </c>
      <c r="N84">
        <v>3588900</v>
      </c>
      <c r="O84">
        <v>51127</v>
      </c>
      <c r="P84">
        <v>-1.1331444759207199E-3</v>
      </c>
      <c r="Q84">
        <v>-1.1337869695269599E-3</v>
      </c>
      <c r="R84" s="8">
        <v>13.434289932251</v>
      </c>
      <c r="S84" s="8">
        <v>1.87501672786223E-2</v>
      </c>
      <c r="T84" s="9">
        <v>1.8576549772796599E-2</v>
      </c>
      <c r="U84" s="12">
        <v>4.1063000000000002E-2</v>
      </c>
      <c r="V84" s="16">
        <v>2.1974</v>
      </c>
      <c r="W84" s="17">
        <f t="shared" si="1"/>
        <v>-1.5766371047209571E-2</v>
      </c>
    </row>
    <row r="85" spans="1:23" x14ac:dyDescent="0.2">
      <c r="A85" s="15">
        <v>41649</v>
      </c>
      <c r="B85" s="5">
        <v>672931695735284</v>
      </c>
      <c r="C85" s="5">
        <f>[1]!nefin_factors__1[[#This Row],[Rm_minus_Rf]]/B84-1</f>
        <v>-3.8607247723398666</v>
      </c>
      <c r="D85" s="5">
        <v>-559843099055625</v>
      </c>
      <c r="E85" s="5">
        <f>[1]!nefin_factors__1[[#This Row],[SMB]]/D84-1</f>
        <v>2.6274605541826559</v>
      </c>
      <c r="F85" s="5">
        <v>389408478565861</v>
      </c>
      <c r="G85" s="5">
        <f>[1]!nefin_factors__1[[#This Row],[HML]]/F84-1</f>
        <v>-1.8160347406539246</v>
      </c>
      <c r="H85" s="5">
        <v>381172580975475</v>
      </c>
      <c r="I85" s="6">
        <f>[1]!nefin_factors__1[[#This Row],[Risk_Free]]/H84-1</f>
        <v>2.846752252537943E-3</v>
      </c>
      <c r="J85">
        <v>51127</v>
      </c>
      <c r="K85">
        <v>51871</v>
      </c>
      <c r="L85">
        <v>50518</v>
      </c>
      <c r="M85">
        <v>51867</v>
      </c>
      <c r="N85">
        <v>3395300</v>
      </c>
      <c r="O85">
        <v>51867</v>
      </c>
      <c r="P85">
        <v>1.4473761417646201E-2</v>
      </c>
      <c r="Q85">
        <v>1.43700163885414E-2</v>
      </c>
      <c r="R85" s="8">
        <v>13.6897888183594</v>
      </c>
      <c r="S85" s="8">
        <v>1.9018381081697299E-2</v>
      </c>
      <c r="T85" s="9">
        <v>1.88397924308891E-2</v>
      </c>
      <c r="U85" s="12">
        <v>4.1063000000000002E-2</v>
      </c>
      <c r="V85" s="16">
        <v>2.2111000000000001</v>
      </c>
      <c r="W85" s="17">
        <f t="shared" si="1"/>
        <v>6.2346409392919355E-3</v>
      </c>
    </row>
    <row r="86" spans="1:23" x14ac:dyDescent="0.2">
      <c r="A86" s="14">
        <v>41652</v>
      </c>
      <c r="B86" s="3">
        <v>-686485188047889</v>
      </c>
      <c r="C86" s="3">
        <f>[1]!nefin_factors__1[[#This Row],[Rm_minus_Rf]]/B85-1</f>
        <v>-2.0201409628919258</v>
      </c>
      <c r="D86" s="3">
        <v>990511802694278</v>
      </c>
      <c r="E86" s="3">
        <f>[1]!nefin_factors__1[[#This Row],[SMB]]/D85-1</f>
        <v>-2.7692667898651058</v>
      </c>
      <c r="F86" s="3">
        <v>872290095672637</v>
      </c>
      <c r="G86" s="3">
        <f>[1]!nefin_factors__1[[#This Row],[HML]]/F85-1</f>
        <v>1.2400387862256208</v>
      </c>
      <c r="H86" s="3">
        <v>383335747417002</v>
      </c>
      <c r="I86" s="4">
        <f>[1]!nefin_factors__1[[#This Row],[Risk_Free]]/H85-1</f>
        <v>5.6750315985245603E-3</v>
      </c>
      <c r="J86">
        <v>51867</v>
      </c>
      <c r="K86">
        <v>52110</v>
      </c>
      <c r="L86">
        <v>51361</v>
      </c>
      <c r="M86">
        <v>51596</v>
      </c>
      <c r="N86">
        <v>2686800</v>
      </c>
      <c r="O86">
        <v>51596</v>
      </c>
      <c r="P86">
        <v>-5.2249021535851802E-3</v>
      </c>
      <c r="Q86">
        <v>-5.2385996878590397E-3</v>
      </c>
      <c r="R86" s="8">
        <v>14.2172698974609</v>
      </c>
      <c r="S86" s="8">
        <v>3.8530916722627102E-2</v>
      </c>
      <c r="T86" s="9">
        <v>3.7807134447108599E-2</v>
      </c>
      <c r="U86" s="12">
        <v>4.1063000000000002E-2</v>
      </c>
      <c r="V86" s="16">
        <v>2.1987000000000001</v>
      </c>
      <c r="W86" s="17">
        <f t="shared" si="1"/>
        <v>-5.6080683822531396E-3</v>
      </c>
    </row>
    <row r="87" spans="1:23" x14ac:dyDescent="0.2">
      <c r="A87" s="15">
        <v>41653</v>
      </c>
      <c r="B87" s="5">
        <v>629507435095125</v>
      </c>
      <c r="C87" s="5">
        <f>[1]!nefin_factors__1[[#This Row],[Rm_minus_Rf]]/B86-1</f>
        <v>-1.9170007540661034</v>
      </c>
      <c r="D87" s="5">
        <v>-541309709146446</v>
      </c>
      <c r="E87" s="5">
        <f>[1]!nefin_factors__1[[#This Row],[SMB]]/D86-1</f>
        <v>-1.5464949611645582</v>
      </c>
      <c r="F87" s="5">
        <v>-141782462932267</v>
      </c>
      <c r="G87" s="5">
        <f>[1]!nefin_factors__1[[#This Row],[HML]]/F86-1</f>
        <v>-1.1625404938513446</v>
      </c>
      <c r="H87" s="5">
        <v>38405654207585</v>
      </c>
      <c r="I87" s="6">
        <f>[1]!nefin_factors__1[[#This Row],[Risk_Free]]/H86-1</f>
        <v>-0.8998119677948887</v>
      </c>
      <c r="J87">
        <v>51593</v>
      </c>
      <c r="K87">
        <v>51593</v>
      </c>
      <c r="L87">
        <v>49890</v>
      </c>
      <c r="M87">
        <v>50454</v>
      </c>
      <c r="N87">
        <v>3858800</v>
      </c>
      <c r="O87">
        <v>50454</v>
      </c>
      <c r="P87">
        <v>-2.2133498720831001E-2</v>
      </c>
      <c r="Q87">
        <v>-2.23821200240737E-2</v>
      </c>
      <c r="R87" s="8">
        <v>14.2172698974609</v>
      </c>
      <c r="S87" s="8">
        <v>0</v>
      </c>
      <c r="T87" s="9">
        <v>0</v>
      </c>
      <c r="U87" s="12">
        <v>4.1063000000000002E-2</v>
      </c>
      <c r="V87" s="16">
        <v>2.2059000000000002</v>
      </c>
      <c r="W87" s="17">
        <f t="shared" si="1"/>
        <v>3.2746623004502595E-3</v>
      </c>
    </row>
    <row r="88" spans="1:23" x14ac:dyDescent="0.2">
      <c r="A88" s="14">
        <v>41654</v>
      </c>
      <c r="B88" s="3">
        <v>549230885459537</v>
      </c>
      <c r="C88" s="3">
        <f>[1]!nefin_factors__1[[#This Row],[Rm_minus_Rf]]/B87-1</f>
        <v>-0.12752279823900314</v>
      </c>
      <c r="D88" s="3">
        <v>136992949347604</v>
      </c>
      <c r="E88" s="3">
        <f>[1]!nefin_factors__1[[#This Row],[SMB]]/D87-1</f>
        <v>-1.2530768375901085</v>
      </c>
      <c r="F88" s="3">
        <v>669672859631378</v>
      </c>
      <c r="G88" s="3">
        <f>[1]!nefin_factors__1[[#This Row],[HML]]/F87-1</f>
        <v>-5.7232418296421983</v>
      </c>
      <c r="H88" s="3">
        <v>383696161040836</v>
      </c>
      <c r="I88" s="4">
        <f>[1]!nefin_factors__1[[#This Row],[Risk_Free]]/H87-1</f>
        <v>8.9906164588925854</v>
      </c>
      <c r="J88">
        <v>50469</v>
      </c>
      <c r="K88">
        <v>51288</v>
      </c>
      <c r="L88">
        <v>50469</v>
      </c>
      <c r="M88">
        <v>51201</v>
      </c>
      <c r="N88">
        <v>3427100</v>
      </c>
      <c r="O88">
        <v>51201</v>
      </c>
      <c r="P88">
        <v>1.48055654655725E-2</v>
      </c>
      <c r="Q88">
        <v>1.46970330259137E-2</v>
      </c>
      <c r="R88" s="8">
        <v>14.6293649673462</v>
      </c>
      <c r="S88" s="8">
        <v>2.8985558644132301E-2</v>
      </c>
      <c r="T88" s="9">
        <v>2.8573422393986199E-2</v>
      </c>
      <c r="U88" s="12">
        <v>4.1063000000000002E-2</v>
      </c>
      <c r="V88" s="16">
        <v>2.2096</v>
      </c>
      <c r="W88" s="17">
        <f t="shared" si="1"/>
        <v>1.6773199147739337E-3</v>
      </c>
    </row>
    <row r="89" spans="1:23" x14ac:dyDescent="0.2">
      <c r="A89" s="15">
        <v>41655</v>
      </c>
      <c r="B89" s="5">
        <v>-865105925517564</v>
      </c>
      <c r="C89" s="5">
        <f>[1]!nefin_factors__1[[#This Row],[Rm_minus_Rf]]/B88-1</f>
        <v>-2.5751225002463887</v>
      </c>
      <c r="D89" s="5">
        <v>-15623011439139</v>
      </c>
      <c r="E89" s="5">
        <f>[1]!nefin_factors__1[[#This Row],[SMB]]/D88-1</f>
        <v>-1.1140424489985787</v>
      </c>
      <c r="F89" s="5">
        <v>-175554042301924</v>
      </c>
      <c r="G89" s="5">
        <f>[1]!nefin_factors__1[[#This Row],[HML]]/F88-1</f>
        <v>-1.2621489579233627</v>
      </c>
      <c r="H89" s="5">
        <v>389098458029258</v>
      </c>
      <c r="I89" s="6">
        <f>[1]!nefin_factors__1[[#This Row],[Risk_Free]]/H88-1</f>
        <v>1.4079622203587938E-2</v>
      </c>
      <c r="J89">
        <v>51201</v>
      </c>
      <c r="K89">
        <v>52338</v>
      </c>
      <c r="L89">
        <v>50887</v>
      </c>
      <c r="M89">
        <v>52112</v>
      </c>
      <c r="N89">
        <v>3015500</v>
      </c>
      <c r="O89">
        <v>52112</v>
      </c>
      <c r="P89">
        <v>1.7792621237866499E-2</v>
      </c>
      <c r="Q89">
        <v>1.7636185429148001E-2</v>
      </c>
      <c r="R89" s="8">
        <v>14.415076255798301</v>
      </c>
      <c r="S89" s="8">
        <v>-1.46477417374888E-2</v>
      </c>
      <c r="T89" s="9">
        <v>-1.4756079140234701E-2</v>
      </c>
      <c r="U89" s="12">
        <v>4.1063000000000002E-2</v>
      </c>
      <c r="V89" s="16">
        <v>2.2256999999999998</v>
      </c>
      <c r="W89" s="17">
        <f t="shared" si="1"/>
        <v>7.2863866763213103E-3</v>
      </c>
    </row>
    <row r="90" spans="1:23" x14ac:dyDescent="0.2">
      <c r="A90" s="14">
        <v>41656</v>
      </c>
      <c r="B90" s="3">
        <v>-10530223229258</v>
      </c>
      <c r="C90" s="3">
        <f>[1]!nefin_factors__1[[#This Row],[Rm_minus_Rf]]/B89-1</f>
        <v>-0.98782782209824982</v>
      </c>
      <c r="D90" s="3">
        <v>971440506549993</v>
      </c>
      <c r="E90" s="3">
        <f>[1]!nefin_factors__1[[#This Row],[SMB]]/D89-1</f>
        <v>-63.180105950401206</v>
      </c>
      <c r="F90" s="3">
        <v>555653404280495</v>
      </c>
      <c r="G90" s="3">
        <f>[1]!nefin_factors__1[[#This Row],[HML]]/F89-1</f>
        <v>-4.1651416110650574</v>
      </c>
      <c r="H90" s="3">
        <v>388738532620225</v>
      </c>
      <c r="I90" s="4">
        <f>[1]!nefin_factors__1[[#This Row],[Risk_Free]]/H89-1</f>
        <v>-9.2502399227178955E-4</v>
      </c>
      <c r="J90">
        <v>52112</v>
      </c>
      <c r="K90">
        <v>52460</v>
      </c>
      <c r="L90">
        <v>51682</v>
      </c>
      <c r="M90">
        <v>51977</v>
      </c>
      <c r="N90">
        <v>3492900</v>
      </c>
      <c r="O90">
        <v>51977</v>
      </c>
      <c r="P90">
        <v>-2.5905741479889102E-3</v>
      </c>
      <c r="Q90">
        <v>-2.5939354916586698E-3</v>
      </c>
      <c r="R90" s="8">
        <v>14.2584800720215</v>
      </c>
      <c r="S90" s="8">
        <v>-1.08634193077438E-2</v>
      </c>
      <c r="T90" s="9">
        <v>-1.0922857104377501E-2</v>
      </c>
      <c r="U90" s="12">
        <v>4.1063000000000002E-2</v>
      </c>
      <c r="V90" s="16">
        <v>2.2342</v>
      </c>
      <c r="W90" s="17">
        <f t="shared" si="1"/>
        <v>3.8190232286472447E-3</v>
      </c>
    </row>
    <row r="91" spans="1:23" x14ac:dyDescent="0.2">
      <c r="A91" s="15">
        <v>41659</v>
      </c>
      <c r="B91" s="5">
        <v>-784038622476331</v>
      </c>
      <c r="C91" s="5">
        <f>[1]!nefin_factors__1[[#This Row],[Rm_minus_Rf]]/B90-1</f>
        <v>73.456030551935157</v>
      </c>
      <c r="D91" s="5">
        <v>100502829776308</v>
      </c>
      <c r="E91" s="5">
        <f>[1]!nefin_factors__1[[#This Row],[SMB]]/D90-1</f>
        <v>-0.89654247573715329</v>
      </c>
      <c r="F91" s="5">
        <v>168657714146764</v>
      </c>
      <c r="G91" s="5">
        <f>[1]!nefin_factors__1[[#This Row],[HML]]/F90-1</f>
        <v>-0.69646957465300574</v>
      </c>
      <c r="H91" s="5">
        <v>389818211351312</v>
      </c>
      <c r="I91" s="6">
        <f>[1]!nefin_factors__1[[#This Row],[Risk_Free]]/H90-1</f>
        <v>2.7773905607184624E-3</v>
      </c>
      <c r="J91">
        <v>51975</v>
      </c>
      <c r="K91">
        <v>51975</v>
      </c>
      <c r="L91">
        <v>51400</v>
      </c>
      <c r="M91">
        <v>51570</v>
      </c>
      <c r="N91">
        <v>2844000</v>
      </c>
      <c r="O91">
        <v>51570</v>
      </c>
      <c r="P91">
        <v>-7.8303865171133209E-3</v>
      </c>
      <c r="Q91">
        <v>-7.8612049793513692E-3</v>
      </c>
      <c r="R91" s="8">
        <v>14.035947799682599</v>
      </c>
      <c r="S91" s="8">
        <v>-1.5606995915618101E-2</v>
      </c>
      <c r="T91" s="9">
        <v>-1.5730067271897599E-2</v>
      </c>
      <c r="U91" s="12">
        <v>4.1063000000000002E-2</v>
      </c>
      <c r="V91" s="16">
        <v>2.2482000000000002</v>
      </c>
      <c r="W91" s="17">
        <f t="shared" si="1"/>
        <v>6.2662250469966985E-3</v>
      </c>
    </row>
    <row r="92" spans="1:23" x14ac:dyDescent="0.2">
      <c r="A92" s="14">
        <v>41660</v>
      </c>
      <c r="B92" s="3">
        <v>-51966483904092</v>
      </c>
      <c r="C92" s="3">
        <f>[1]!nefin_factors__1[[#This Row],[Rm_minus_Rf]]/B91-1</f>
        <v>-0.93371948471114918</v>
      </c>
      <c r="D92" s="3">
        <v>-29998007397903</v>
      </c>
      <c r="E92" s="3">
        <f>[1]!nefin_factors__1[[#This Row],[SMB]]/D91-1</f>
        <v>-1.2984792315268179</v>
      </c>
      <c r="F92" s="3">
        <v>-912052318575267</v>
      </c>
      <c r="G92" s="3">
        <f>[1]!nefin_factors__1[[#This Row],[HML]]/F91-1</f>
        <v>-6.4077118451967729</v>
      </c>
      <c r="H92" s="3">
        <v>390178039276323</v>
      </c>
      <c r="I92" s="4">
        <f>[1]!nefin_factors__1[[#This Row],[Risk_Free]]/H91-1</f>
        <v>9.2306596904134786E-4</v>
      </c>
      <c r="J92">
        <v>51570</v>
      </c>
      <c r="K92">
        <v>51963</v>
      </c>
      <c r="L92">
        <v>51238</v>
      </c>
      <c r="M92">
        <v>51817</v>
      </c>
      <c r="N92">
        <v>3186900</v>
      </c>
      <c r="O92">
        <v>51817</v>
      </c>
      <c r="P92">
        <v>4.7896063602870199E-3</v>
      </c>
      <c r="Q92">
        <v>4.7781726897299101E-3</v>
      </c>
      <c r="R92" s="8">
        <v>13.8463850021362</v>
      </c>
      <c r="S92" s="8">
        <v>-1.3505567064668199E-2</v>
      </c>
      <c r="T92" s="9">
        <v>-1.35975967839135E-2</v>
      </c>
      <c r="U92" s="12">
        <v>4.1063000000000002E-2</v>
      </c>
      <c r="V92" s="16">
        <v>2.2448999999999999</v>
      </c>
      <c r="W92" s="17">
        <f t="shared" si="1"/>
        <v>-1.4678409394183189E-3</v>
      </c>
    </row>
    <row r="93" spans="1:23" x14ac:dyDescent="0.2">
      <c r="A93" s="15">
        <v>41661</v>
      </c>
      <c r="B93" s="5">
        <v>125595358872079</v>
      </c>
      <c r="C93" s="5">
        <f>[1]!nefin_factors__1[[#This Row],[Rm_minus_Rf]]/B92-1</f>
        <v>-3.416853122175334</v>
      </c>
      <c r="D93" s="5">
        <v>279695701926042</v>
      </c>
      <c r="E93" s="5">
        <f>[1]!nefin_factors__1[[#This Row],[SMB]]/D92-1</f>
        <v>-10.323809352270311</v>
      </c>
      <c r="F93" s="5">
        <v>601572822845919</v>
      </c>
      <c r="G93" s="5">
        <f>[1]!nefin_factors__1[[#This Row],[HML]]/F92-1</f>
        <v>-1.6595814851780064</v>
      </c>
      <c r="H93" s="5">
        <v>390178039276323</v>
      </c>
      <c r="I93" s="6">
        <f>[1]!nefin_factors__1[[#This Row],[Risk_Free]]/H92-1</f>
        <v>0</v>
      </c>
      <c r="J93">
        <v>51817</v>
      </c>
      <c r="K93">
        <v>51817</v>
      </c>
      <c r="L93">
        <v>51019</v>
      </c>
      <c r="M93">
        <v>51399</v>
      </c>
      <c r="N93">
        <v>2954700</v>
      </c>
      <c r="O93">
        <v>51399</v>
      </c>
      <c r="P93">
        <v>-8.0668506474709193E-3</v>
      </c>
      <c r="Q93">
        <v>-8.0995637336522194E-3</v>
      </c>
      <c r="R93" s="8">
        <v>13.5908861160278</v>
      </c>
      <c r="S93" s="8">
        <v>-1.84521208967218E-2</v>
      </c>
      <c r="T93" s="9">
        <v>-1.8624484893224501E-2</v>
      </c>
      <c r="U93" s="12">
        <v>4.1063000000000002E-2</v>
      </c>
      <c r="V93" s="16">
        <v>2.2425999999999999</v>
      </c>
      <c r="W93" s="17">
        <f t="shared" si="1"/>
        <v>-1.0245445231413797E-3</v>
      </c>
    </row>
    <row r="94" spans="1:23" x14ac:dyDescent="0.2">
      <c r="A94" s="14">
        <v>41662</v>
      </c>
      <c r="B94" s="3">
        <v>-213097287025636</v>
      </c>
      <c r="C94" s="3">
        <f>[1]!nefin_factors__1[[#This Row],[Rm_minus_Rf]]/B93-1</f>
        <v>-2.6966971466093677</v>
      </c>
      <c r="D94" s="3">
        <v>132434727623134</v>
      </c>
      <c r="E94" s="3">
        <f>[1]!nefin_factors__1[[#This Row],[SMB]]/D93-1</f>
        <v>-0.52650424475184532</v>
      </c>
      <c r="F94" s="3">
        <v>33592016487227</v>
      </c>
      <c r="G94" s="3">
        <f>[1]!nefin_factors__1[[#This Row],[HML]]/F93-1</f>
        <v>-0.94415968406233852</v>
      </c>
      <c r="H94" s="3">
        <v>389818211351312</v>
      </c>
      <c r="I94" s="4">
        <f>[1]!nefin_factors__1[[#This Row],[Risk_Free]]/H93-1</f>
        <v>-9.2221470403197614E-4</v>
      </c>
      <c r="J94">
        <v>51397</v>
      </c>
      <c r="K94">
        <v>51471</v>
      </c>
      <c r="L94">
        <v>50777</v>
      </c>
      <c r="M94">
        <v>51384</v>
      </c>
      <c r="N94">
        <v>2711300</v>
      </c>
      <c r="O94">
        <v>51384</v>
      </c>
      <c r="P94">
        <v>-2.91834471487729E-4</v>
      </c>
      <c r="Q94">
        <v>-2.9187706345384001E-4</v>
      </c>
      <c r="R94" s="8">
        <v>13.3601131439209</v>
      </c>
      <c r="S94" s="8">
        <v>-1.6980266991416901E-2</v>
      </c>
      <c r="T94" s="9">
        <v>-1.71260847652626E-2</v>
      </c>
      <c r="U94" s="12">
        <v>4.1063000000000002E-2</v>
      </c>
      <c r="V94" s="16">
        <v>2.2229000000000001</v>
      </c>
      <c r="W94" s="17">
        <f t="shared" si="1"/>
        <v>-8.7844466244536568E-3</v>
      </c>
    </row>
    <row r="95" spans="1:23" x14ac:dyDescent="0.2">
      <c r="A95" s="15">
        <v>41663</v>
      </c>
      <c r="B95" s="5">
        <v>-112999892035545</v>
      </c>
      <c r="C95" s="5">
        <f>[1]!nefin_factors__1[[#This Row],[Rm_minus_Rf]]/B94-1</f>
        <v>-0.46972627567074143</v>
      </c>
      <c r="D95" s="5">
        <v>-114908626094431</v>
      </c>
      <c r="E95" s="5">
        <f>[1]!nefin_factors__1[[#This Row],[SMB]]/D94-1</f>
        <v>-1.8676623432293638</v>
      </c>
      <c r="F95" s="5">
        <v>465255061411195</v>
      </c>
      <c r="G95" s="5">
        <f>[1]!nefin_factors__1[[#This Row],[HML]]/F94-1</f>
        <v>12.850167690531563</v>
      </c>
      <c r="H95" s="5">
        <v>389818211351312</v>
      </c>
      <c r="I95" s="6">
        <f>[1]!nefin_factors__1[[#This Row],[Risk_Free]]/H94-1</f>
        <v>0</v>
      </c>
      <c r="J95">
        <v>51386</v>
      </c>
      <c r="K95">
        <v>52416</v>
      </c>
      <c r="L95">
        <v>51386</v>
      </c>
      <c r="M95">
        <v>51839</v>
      </c>
      <c r="N95">
        <v>4326300</v>
      </c>
      <c r="O95">
        <v>51839</v>
      </c>
      <c r="P95">
        <v>8.8548964658259292E-3</v>
      </c>
      <c r="Q95">
        <v>8.8159217790142706E-3</v>
      </c>
      <c r="R95" s="8">
        <v>13.4754991531372</v>
      </c>
      <c r="S95" s="8">
        <v>1.5760950359725599E-2</v>
      </c>
      <c r="T95" s="9">
        <v>1.56380363934032E-2</v>
      </c>
      <c r="U95" s="12">
        <v>4.1063000000000002E-2</v>
      </c>
      <c r="V95" s="16">
        <v>2.2324999999999999</v>
      </c>
      <c r="W95" s="17">
        <f t="shared" si="1"/>
        <v>4.3186828017454104E-3</v>
      </c>
    </row>
    <row r="96" spans="1:23" x14ac:dyDescent="0.2">
      <c r="A96" s="14">
        <v>41666</v>
      </c>
      <c r="B96" s="3">
        <v>-417935233477979</v>
      </c>
      <c r="C96" s="3">
        <f>[1]!nefin_factors__1[[#This Row],[Rm_minus_Rf]]/B95-1</f>
        <v>2.6985454229152204</v>
      </c>
      <c r="D96" s="3">
        <v>548735612162003</v>
      </c>
      <c r="E96" s="3">
        <f>[1]!nefin_factors__1[[#This Row],[SMB]]/D95-1</f>
        <v>-5.7754083467246087</v>
      </c>
      <c r="F96" s="3">
        <v>-107412430681163</v>
      </c>
      <c r="G96" s="3">
        <f>[1]!nefin_factors__1[[#This Row],[HML]]/F95-1</f>
        <v>-1.230867839149054</v>
      </c>
      <c r="H96" s="3">
        <v>390178039276323</v>
      </c>
      <c r="I96" s="4">
        <f>[1]!nefin_factors__1[[#This Row],[Risk_Free]]/H95-1</f>
        <v>9.2306596904134786E-4</v>
      </c>
      <c r="J96">
        <v>51837</v>
      </c>
      <c r="K96">
        <v>51837</v>
      </c>
      <c r="L96">
        <v>51250</v>
      </c>
      <c r="M96">
        <v>51626</v>
      </c>
      <c r="N96">
        <v>4623600</v>
      </c>
      <c r="O96">
        <v>51626</v>
      </c>
      <c r="P96">
        <v>-4.1088755570131098E-3</v>
      </c>
      <c r="Q96">
        <v>-4.1173401808653797E-3</v>
      </c>
      <c r="R96" s="8">
        <v>13.409564018249499</v>
      </c>
      <c r="S96" s="8">
        <v>-4.8928836642559998E-3</v>
      </c>
      <c r="T96" s="9">
        <v>-4.90489300909788E-3</v>
      </c>
      <c r="U96" s="12">
        <v>4.1063000000000002E-2</v>
      </c>
      <c r="V96" s="16">
        <v>2.2370000000000001</v>
      </c>
      <c r="W96" s="17">
        <f t="shared" si="1"/>
        <v>2.0156774916013642E-3</v>
      </c>
    </row>
    <row r="97" spans="1:23" x14ac:dyDescent="0.2">
      <c r="A97" s="15">
        <v>41667</v>
      </c>
      <c r="B97" s="5">
        <v>21574833059935</v>
      </c>
      <c r="C97" s="5">
        <f>[1]!nefin_factors__1[[#This Row],[Rm_minus_Rf]]/B96-1</f>
        <v>-1.0516224317351597</v>
      </c>
      <c r="D97" s="5">
        <v>264005187812765</v>
      </c>
      <c r="E97" s="5">
        <f>[1]!nefin_factors__1[[#This Row],[SMB]]/D96-1</f>
        <v>-0.51888453754150943</v>
      </c>
      <c r="F97" s="5">
        <v>283661540478995</v>
      </c>
      <c r="G97" s="5">
        <f>[1]!nefin_factors__1[[#This Row],[HML]]/F96-1</f>
        <v>-3.6408632472064606</v>
      </c>
      <c r="H97" s="5">
        <v>39053783471843</v>
      </c>
      <c r="I97" s="6">
        <f>[1]!nefin_factors__1[[#This Row],[Risk_Free]]/H96-1</f>
        <v>-0.89990778685474604</v>
      </c>
      <c r="J97">
        <v>51630</v>
      </c>
      <c r="K97">
        <v>53060</v>
      </c>
      <c r="L97">
        <v>51628</v>
      </c>
      <c r="M97">
        <v>52980</v>
      </c>
      <c r="N97">
        <v>8106000</v>
      </c>
      <c r="O97">
        <v>52980</v>
      </c>
      <c r="P97">
        <v>2.6227094874675401E-2</v>
      </c>
      <c r="Q97">
        <v>2.5889062290283201E-2</v>
      </c>
      <c r="R97" s="8">
        <v>13.434289932251</v>
      </c>
      <c r="S97" s="8">
        <v>1.8439545918673701E-3</v>
      </c>
      <c r="T97" s="9">
        <v>1.8422565946317E-3</v>
      </c>
      <c r="U97" s="12">
        <v>4.1063000000000002E-2</v>
      </c>
      <c r="V97" s="16">
        <v>2.2199</v>
      </c>
      <c r="W97" s="17">
        <f t="shared" si="1"/>
        <v>-7.6441662941439947E-3</v>
      </c>
    </row>
    <row r="98" spans="1:23" x14ac:dyDescent="0.2">
      <c r="A98" s="14">
        <v>41668</v>
      </c>
      <c r="B98" s="3">
        <v>-720657913713377</v>
      </c>
      <c r="C98" s="3">
        <f>[1]!nefin_factors__1[[#This Row],[Rm_minus_Rf]]/B97-1</f>
        <v>-34.402711006448371</v>
      </c>
      <c r="D98" s="3">
        <v>-999048141705489</v>
      </c>
      <c r="E98" s="3">
        <f>[1]!nefin_factors__1[[#This Row],[SMB]]/D97-1</f>
        <v>-4.7841989014777369</v>
      </c>
      <c r="F98" s="3">
        <v>-436579439834137</v>
      </c>
      <c r="G98" s="3">
        <f>[1]!nefin_factors__1[[#This Row],[HML]]/F97-1</f>
        <v>-2.5390857678376935</v>
      </c>
      <c r="H98" s="3">
        <v>391257328177463</v>
      </c>
      <c r="I98" s="4">
        <f>[1]!nefin_factors__1[[#This Row],[Risk_Free]]/H97-1</f>
        <v>9.0184231435489917</v>
      </c>
      <c r="J98">
        <v>52989</v>
      </c>
      <c r="K98">
        <v>53506</v>
      </c>
      <c r="L98">
        <v>52931</v>
      </c>
      <c r="M98">
        <v>53446</v>
      </c>
      <c r="N98">
        <v>4441100</v>
      </c>
      <c r="O98">
        <v>53446</v>
      </c>
      <c r="P98">
        <v>8.7957719894300491E-3</v>
      </c>
      <c r="Q98">
        <v>8.7573145311520099E-3</v>
      </c>
      <c r="R98" s="8">
        <v>13.393079757690399</v>
      </c>
      <c r="S98" s="8">
        <v>-3.0676551477285502E-3</v>
      </c>
      <c r="T98" s="9">
        <v>-3.0723700467063502E-3</v>
      </c>
      <c r="U98" s="12">
        <v>4.1063000000000002E-2</v>
      </c>
      <c r="V98" s="16">
        <v>2.2360000000000002</v>
      </c>
      <c r="W98" s="17">
        <f t="shared" si="1"/>
        <v>7.2525789449975342E-3</v>
      </c>
    </row>
    <row r="99" spans="1:23" x14ac:dyDescent="0.2">
      <c r="A99" s="15">
        <v>41669</v>
      </c>
      <c r="B99" s="5">
        <v>-64857497292066</v>
      </c>
      <c r="C99" s="5">
        <f>[1]!nefin_factors__1[[#This Row],[Rm_minus_Rf]]/B98-1</f>
        <v>-0.91000237968959374</v>
      </c>
      <c r="D99" s="5">
        <v>-205957095718053</v>
      </c>
      <c r="E99" s="5">
        <f>[1]!nefin_factors__1[[#This Row],[SMB]]/D98-1</f>
        <v>-0.79384667553010935</v>
      </c>
      <c r="F99" s="5">
        <v>-134399196196993</v>
      </c>
      <c r="G99" s="5">
        <f>[1]!nefin_factors__1[[#This Row],[HML]]/F98-1</f>
        <v>-0.69215408712775561</v>
      </c>
      <c r="H99" s="5">
        <v>391257328177463</v>
      </c>
      <c r="I99" s="6">
        <f>[1]!nefin_factors__1[[#This Row],[Risk_Free]]/H98-1</f>
        <v>0</v>
      </c>
      <c r="J99">
        <v>53446</v>
      </c>
      <c r="K99">
        <v>53986</v>
      </c>
      <c r="L99">
        <v>53094</v>
      </c>
      <c r="M99">
        <v>53780</v>
      </c>
      <c r="N99">
        <v>4965700</v>
      </c>
      <c r="O99">
        <v>53780</v>
      </c>
      <c r="P99">
        <v>6.2492983572204298E-3</v>
      </c>
      <c r="Q99">
        <v>6.2298524656430902E-3</v>
      </c>
      <c r="R99" s="8">
        <v>12.9480180740356</v>
      </c>
      <c r="S99" s="8">
        <v>-3.3230655156872201E-2</v>
      </c>
      <c r="T99" s="9">
        <v>-3.3795338513263301E-2</v>
      </c>
      <c r="U99" s="12">
        <v>4.1063000000000002E-2</v>
      </c>
      <c r="V99" s="16">
        <v>2.2221000000000002</v>
      </c>
      <c r="W99" s="17">
        <f t="shared" si="1"/>
        <v>-6.2164579606439618E-3</v>
      </c>
    </row>
    <row r="100" spans="1:23" x14ac:dyDescent="0.2">
      <c r="A100" s="14">
        <v>41670</v>
      </c>
      <c r="B100" s="3">
        <v>787679885385158</v>
      </c>
      <c r="C100" s="3">
        <f>[1]!nefin_factors__1[[#This Row],[Rm_minus_Rf]]/B99-1</f>
        <v>-13.14477767833195</v>
      </c>
      <c r="D100" s="3">
        <v>-415863749368914</v>
      </c>
      <c r="E100" s="3">
        <f>[1]!nefin_factors__1[[#This Row],[SMB]]/D99-1</f>
        <v>1.0191766052975169</v>
      </c>
      <c r="F100" s="3">
        <v>416400895283543</v>
      </c>
      <c r="G100" s="3">
        <f>[1]!nefin_factors__1[[#This Row],[HML]]/F99-1</f>
        <v>-4.0982394766201686</v>
      </c>
      <c r="H100" s="3">
        <v>391617026206159</v>
      </c>
      <c r="I100" s="4">
        <f>[1]!nefin_factors__1[[#This Row],[Risk_Free]]/H99-1</f>
        <v>9.1933876451988361E-4</v>
      </c>
      <c r="J100">
        <v>53786</v>
      </c>
      <c r="K100">
        <v>54226</v>
      </c>
      <c r="L100">
        <v>53499</v>
      </c>
      <c r="M100">
        <v>54053</v>
      </c>
      <c r="N100">
        <v>4569600</v>
      </c>
      <c r="O100">
        <v>54053</v>
      </c>
      <c r="P100">
        <v>5.0762365191521202E-3</v>
      </c>
      <c r="Q100">
        <v>5.0633958670118599E-3</v>
      </c>
      <c r="R100" s="8">
        <v>12.9315338134766</v>
      </c>
      <c r="S100" s="8">
        <v>-1.2730108008376399E-3</v>
      </c>
      <c r="T100" s="9">
        <v>-1.2738217674063601E-3</v>
      </c>
      <c r="U100" s="12">
        <v>4.1063000000000002E-2</v>
      </c>
      <c r="V100" s="16">
        <v>2.2286000000000001</v>
      </c>
      <c r="W100" s="17">
        <f t="shared" si="1"/>
        <v>2.9251608838485321E-3</v>
      </c>
    </row>
    <row r="101" spans="1:23" x14ac:dyDescent="0.2">
      <c r="A101" s="15">
        <v>41673</v>
      </c>
      <c r="B101" s="5">
        <v>-308276786617064</v>
      </c>
      <c r="C101" s="5">
        <f>[1]!nefin_factors__1[[#This Row],[Rm_minus_Rf]]/B100-1</f>
        <v>-1.3913731864135688</v>
      </c>
      <c r="D101" s="5">
        <v>-587184233462636</v>
      </c>
      <c r="E101" s="5">
        <f>[1]!nefin_factors__1[[#This Row],[SMB]]/D100-1</f>
        <v>0.41196301517914491</v>
      </c>
      <c r="F101" s="5">
        <v>-153715992960527</v>
      </c>
      <c r="G101" s="5">
        <f>[1]!nefin_factors__1[[#This Row],[HML]]/F100-1</f>
        <v>-1.3691538483745478</v>
      </c>
      <c r="H101" s="5">
        <v>391617026206159</v>
      </c>
      <c r="I101" s="6">
        <f>[1]!nefin_factors__1[[#This Row],[Risk_Free]]/H100-1</f>
        <v>0</v>
      </c>
      <c r="J101">
        <v>54053</v>
      </c>
      <c r="K101">
        <v>54249</v>
      </c>
      <c r="L101">
        <v>53222</v>
      </c>
      <c r="M101">
        <v>53422</v>
      </c>
      <c r="N101">
        <v>3344300</v>
      </c>
      <c r="O101">
        <v>53422</v>
      </c>
      <c r="P101">
        <v>-1.16737276376889E-2</v>
      </c>
      <c r="Q101">
        <v>-1.1742400565380701E-2</v>
      </c>
      <c r="R101" s="8">
        <v>12.651309967041</v>
      </c>
      <c r="S101" s="8">
        <v>-2.16699465359287E-2</v>
      </c>
      <c r="T101" s="9">
        <v>-2.19081879005814E-2</v>
      </c>
      <c r="U101" s="12">
        <v>4.1063000000000002E-2</v>
      </c>
      <c r="V101" s="16">
        <v>2.2322000000000002</v>
      </c>
      <c r="W101" s="17">
        <f t="shared" si="1"/>
        <v>1.6153639055909164E-3</v>
      </c>
    </row>
    <row r="102" spans="1:23" x14ac:dyDescent="0.2">
      <c r="A102" s="14">
        <v>41674</v>
      </c>
      <c r="B102" s="3">
        <v>148594777281027</v>
      </c>
      <c r="C102" s="3">
        <f>[1]!nefin_factors__1[[#This Row],[Rm_minus_Rf]]/B101-1</f>
        <v>-1.4820174068623884</v>
      </c>
      <c r="D102" s="3">
        <v>-862243742373772</v>
      </c>
      <c r="E102" s="3">
        <f>[1]!nefin_factors__1[[#This Row],[SMB]]/D101-1</f>
        <v>0.46843817193303217</v>
      </c>
      <c r="F102" s="3">
        <v>306199656733715</v>
      </c>
      <c r="G102" s="3">
        <f>[1]!nefin_factors__1[[#This Row],[HML]]/F101-1</f>
        <v>-2.9919830775991185</v>
      </c>
      <c r="H102" s="3">
        <v>392336324890996</v>
      </c>
      <c r="I102" s="4">
        <f>[1]!nefin_factors__1[[#This Row],[Risk_Free]]/H101-1</f>
        <v>1.8367400718126703E-3</v>
      </c>
      <c r="J102">
        <v>53422</v>
      </c>
      <c r="K102">
        <v>53639</v>
      </c>
      <c r="L102">
        <v>53057</v>
      </c>
      <c r="M102">
        <v>53100</v>
      </c>
      <c r="N102">
        <v>3177900</v>
      </c>
      <c r="O102">
        <v>53100</v>
      </c>
      <c r="P102">
        <v>-6.0274793156377404E-3</v>
      </c>
      <c r="Q102">
        <v>-6.0457178944565201E-3</v>
      </c>
      <c r="R102" s="8">
        <v>12.494713783264199</v>
      </c>
      <c r="S102" s="8">
        <v>-1.23777476532445E-2</v>
      </c>
      <c r="T102" s="9">
        <v>-1.24549900246128E-2</v>
      </c>
      <c r="U102" s="12">
        <v>4.1063000000000002E-2</v>
      </c>
      <c r="V102" s="16">
        <v>2.2282000000000002</v>
      </c>
      <c r="W102" s="17">
        <f t="shared" si="1"/>
        <v>-1.7919541259743266E-3</v>
      </c>
    </row>
    <row r="103" spans="1:23" x14ac:dyDescent="0.2">
      <c r="A103" s="15">
        <v>41675</v>
      </c>
      <c r="B103" s="5">
        <v>-780864908480015</v>
      </c>
      <c r="C103" s="5">
        <f>[1]!nefin_factors__1[[#This Row],[Rm_minus_Rf]]/B102-1</f>
        <v>-6.2549956517194367</v>
      </c>
      <c r="D103" s="5">
        <v>967515907344819</v>
      </c>
      <c r="E103" s="5">
        <f>[1]!nefin_factors__1[[#This Row],[SMB]]/D102-1</f>
        <v>-2.1220909585046464</v>
      </c>
      <c r="F103" s="5">
        <v>-362884953798197</v>
      </c>
      <c r="G103" s="5">
        <f>[1]!nefin_factors__1[[#This Row],[HML]]/F102-1</f>
        <v>-2.1851252795942164</v>
      </c>
      <c r="H103" s="5">
        <v>39305549378521</v>
      </c>
      <c r="I103" s="6">
        <f>[1]!nefin_factors__1[[#This Row],[Risk_Free]]/H102-1</f>
        <v>-0.89981669581718848</v>
      </c>
      <c r="J103">
        <v>53103</v>
      </c>
      <c r="K103">
        <v>54053</v>
      </c>
      <c r="L103">
        <v>53103</v>
      </c>
      <c r="M103">
        <v>54053</v>
      </c>
      <c r="N103">
        <v>2744300</v>
      </c>
      <c r="O103">
        <v>54053</v>
      </c>
      <c r="P103">
        <v>1.79472693032015E-2</v>
      </c>
      <c r="Q103">
        <v>1.7788118459837202E-2</v>
      </c>
      <c r="R103" s="8">
        <v>12.3216342926025</v>
      </c>
      <c r="S103" s="8">
        <v>-1.3852245789468601E-2</v>
      </c>
      <c r="T103" s="9">
        <v>-1.39490834657138E-2</v>
      </c>
      <c r="U103" s="12">
        <v>4.1063000000000002E-2</v>
      </c>
      <c r="V103" s="16">
        <v>2.2107000000000001</v>
      </c>
      <c r="W103" s="17">
        <f t="shared" si="1"/>
        <v>-7.8538730814110558E-3</v>
      </c>
    </row>
    <row r="104" spans="1:23" x14ac:dyDescent="0.2">
      <c r="A104" s="14">
        <v>41676</v>
      </c>
      <c r="B104" s="3">
        <v>24024720787365</v>
      </c>
      <c r="C104" s="3">
        <f>[1]!nefin_factors__1[[#This Row],[Rm_minus_Rf]]/B103-1</f>
        <v>-1.0307668080950521</v>
      </c>
      <c r="D104" s="3">
        <v>-108777566088804</v>
      </c>
      <c r="E104" s="3">
        <f>[1]!nefin_factors__1[[#This Row],[SMB]]/D103-1</f>
        <v>-1.1124297443205098</v>
      </c>
      <c r="F104" s="3">
        <v>479110786159562</v>
      </c>
      <c r="G104" s="3">
        <f>[1]!nefin_factors__1[[#This Row],[HML]]/F103-1</f>
        <v>-2.3202828641553408</v>
      </c>
      <c r="H104" s="3">
        <v>393774532935875</v>
      </c>
      <c r="I104" s="4">
        <f>[1]!nefin_factors__1[[#This Row],[Risk_Free]]/H103-1</f>
        <v>9.0182935784395344</v>
      </c>
      <c r="J104">
        <v>54056</v>
      </c>
      <c r="K104">
        <v>54243</v>
      </c>
      <c r="L104">
        <v>53731</v>
      </c>
      <c r="M104">
        <v>53907</v>
      </c>
      <c r="N104">
        <v>2956600</v>
      </c>
      <c r="O104">
        <v>53907</v>
      </c>
      <c r="P104">
        <v>-2.7010526705271202E-3</v>
      </c>
      <c r="Q104">
        <v>-2.7047070953041298E-3</v>
      </c>
      <c r="R104" s="8">
        <v>12.643068313598601</v>
      </c>
      <c r="S104" s="8">
        <v>2.60869749565995E-2</v>
      </c>
      <c r="T104" s="9">
        <v>2.5752514068592001E-2</v>
      </c>
      <c r="U104" s="12">
        <v>4.1063000000000002E-2</v>
      </c>
      <c r="V104" s="16">
        <v>2.2191999999999998</v>
      </c>
      <c r="W104" s="17">
        <f t="shared" si="1"/>
        <v>3.8449359931242988E-3</v>
      </c>
    </row>
    <row r="105" spans="1:23" x14ac:dyDescent="0.2">
      <c r="A105" s="15">
        <v>41677</v>
      </c>
      <c r="B105" s="5">
        <v>685648460129019</v>
      </c>
      <c r="C105" s="5">
        <f>[1]!nefin_factors__1[[#This Row],[Rm_minus_Rf]]/B104-1</f>
        <v>27.539289434306887</v>
      </c>
      <c r="D105" s="5">
        <v>-248500913067486</v>
      </c>
      <c r="E105" s="5">
        <f>[1]!nefin_factors__1[[#This Row],[SMB]]/D104-1</f>
        <v>1.2844867926591998</v>
      </c>
      <c r="F105" s="5">
        <v>3431089426.9222102</v>
      </c>
      <c r="G105" s="5">
        <f>[1]!nefin_factors__1[[#This Row],[HML]]/F104-1</f>
        <v>-0.99999283863038357</v>
      </c>
      <c r="H105" s="5">
        <v>39305549378521</v>
      </c>
      <c r="I105" s="6">
        <f>[1]!nefin_factors__1[[#This Row],[Risk_Free]]/H104-1</f>
        <v>-0.90018260174046905</v>
      </c>
      <c r="J105">
        <v>53913</v>
      </c>
      <c r="K105">
        <v>54459</v>
      </c>
      <c r="L105">
        <v>53867</v>
      </c>
      <c r="M105">
        <v>54413</v>
      </c>
      <c r="N105">
        <v>2878900</v>
      </c>
      <c r="O105">
        <v>54413</v>
      </c>
      <c r="P105">
        <v>9.3865360713822898E-3</v>
      </c>
      <c r="Q105">
        <v>9.3427562887831005E-3</v>
      </c>
      <c r="R105" s="8">
        <v>12.6348257064819</v>
      </c>
      <c r="S105" s="8">
        <v>-6.52029996478953E-4</v>
      </c>
      <c r="T105" s="9">
        <v>-6.5224266048433902E-4</v>
      </c>
      <c r="U105" s="12">
        <v>4.1063000000000002E-2</v>
      </c>
      <c r="V105" s="16">
        <v>2.2164000000000001</v>
      </c>
      <c r="W105" s="17">
        <f t="shared" si="1"/>
        <v>-1.2617159336696382E-3</v>
      </c>
    </row>
    <row r="106" spans="1:23" x14ac:dyDescent="0.2">
      <c r="A106" s="14">
        <v>41680</v>
      </c>
      <c r="B106" s="3">
        <v>-734153444389648</v>
      </c>
      <c r="C106" s="3">
        <f>[1]!nefin_factors__1[[#This Row],[Rm_minus_Rf]]/B105-1</f>
        <v>-2.0707432264217465</v>
      </c>
      <c r="D106" s="3">
        <v>426090724835713</v>
      </c>
      <c r="E106" s="3">
        <f>[1]!nefin_factors__1[[#This Row],[SMB]]/D105-1</f>
        <v>-2.7146445040223997</v>
      </c>
      <c r="F106" s="3">
        <v>-470328042714922</v>
      </c>
      <c r="G106" s="3">
        <f>[1]!nefin_factors__1[[#This Row],[HML]]/F105-1</f>
        <v>-137079.33990698992</v>
      </c>
      <c r="H106" s="3">
        <v>394493442389399</v>
      </c>
      <c r="I106" s="4">
        <f>[1]!nefin_factors__1[[#This Row],[Risk_Free]]/H105-1</f>
        <v>9.0365838571633041</v>
      </c>
      <c r="J106">
        <v>54404</v>
      </c>
      <c r="K106">
        <v>54404</v>
      </c>
      <c r="L106">
        <v>53565</v>
      </c>
      <c r="M106">
        <v>53856</v>
      </c>
      <c r="N106">
        <v>3436100</v>
      </c>
      <c r="O106">
        <v>53856</v>
      </c>
      <c r="P106">
        <v>-1.02365243599875E-2</v>
      </c>
      <c r="Q106">
        <v>-1.02892778928138E-2</v>
      </c>
      <c r="R106" s="8">
        <v>12.6018581390381</v>
      </c>
      <c r="S106" s="8">
        <v>-2.6092186592257E-3</v>
      </c>
      <c r="T106" s="9">
        <v>-2.6126286030490799E-3</v>
      </c>
      <c r="U106" s="12">
        <v>4.1063000000000002E-2</v>
      </c>
      <c r="V106" s="16">
        <v>2.2101000000000002</v>
      </c>
      <c r="W106" s="17">
        <f t="shared" si="1"/>
        <v>-2.8424472116945765E-3</v>
      </c>
    </row>
    <row r="107" spans="1:23" x14ac:dyDescent="0.2">
      <c r="A107" s="15">
        <v>41681</v>
      </c>
      <c r="B107" s="5">
        <v>145680588275036</v>
      </c>
      <c r="C107" s="5">
        <f>[1]!nefin_factors__1[[#This Row],[Rm_minus_Rf]]/B106-1</f>
        <v>-1.1984334329400992</v>
      </c>
      <c r="D107" s="5">
        <v>-541649795861014</v>
      </c>
      <c r="E107" s="5">
        <f>[1]!nefin_factors__1[[#This Row],[SMB]]/D106-1</f>
        <v>-2.2712076660900253</v>
      </c>
      <c r="F107" s="5">
        <v>126899106445639</v>
      </c>
      <c r="G107" s="5">
        <f>[1]!nefin_factors__1[[#This Row],[HML]]/F106-1</f>
        <v>-1.2698097815157405</v>
      </c>
      <c r="H107" s="5">
        <v>395212222193075</v>
      </c>
      <c r="I107" s="6">
        <f>[1]!nefin_factors__1[[#This Row],[Risk_Free]]/H106-1</f>
        <v>1.822032324092504E-3</v>
      </c>
      <c r="J107">
        <v>53856</v>
      </c>
      <c r="K107">
        <v>54382</v>
      </c>
      <c r="L107">
        <v>53709</v>
      </c>
      <c r="M107">
        <v>53976</v>
      </c>
      <c r="N107">
        <v>3541400</v>
      </c>
      <c r="O107">
        <v>53976</v>
      </c>
      <c r="P107">
        <v>2.2281639928698502E-3</v>
      </c>
      <c r="Q107">
        <v>2.2256853167287199E-3</v>
      </c>
      <c r="R107" s="8">
        <v>12.4864721298218</v>
      </c>
      <c r="S107" s="8">
        <v>-9.1562852738261702E-3</v>
      </c>
      <c r="T107" s="9">
        <v>-9.1984617041939304E-3</v>
      </c>
      <c r="U107" s="12">
        <v>4.1063000000000002E-2</v>
      </c>
      <c r="V107" s="16">
        <v>2.2128999999999999</v>
      </c>
      <c r="W107" s="17">
        <f t="shared" si="1"/>
        <v>1.2669109995020467E-3</v>
      </c>
    </row>
    <row r="108" spans="1:23" x14ac:dyDescent="0.2">
      <c r="A108" s="14">
        <v>41682</v>
      </c>
      <c r="B108" s="3">
        <v>-678866185299121</v>
      </c>
      <c r="C108" s="3">
        <f>[1]!nefin_factors__1[[#This Row],[Rm_minus_Rf]]/B107-1</f>
        <v>-5.6599632342056676</v>
      </c>
      <c r="D108" s="3">
        <v>-549794325379609</v>
      </c>
      <c r="E108" s="3">
        <f>[1]!nefin_factors__1[[#This Row],[SMB]]/D107-1</f>
        <v>1.5036522824952492E-2</v>
      </c>
      <c r="F108" s="3">
        <v>-683669892379117</v>
      </c>
      <c r="G108" s="3">
        <f>[1]!nefin_factors__1[[#This Row],[HML]]/F107-1</f>
        <v>-6.3875075367216025</v>
      </c>
      <c r="H108" s="3">
        <v>395930872393535</v>
      </c>
      <c r="I108" s="4">
        <f>[1]!nefin_factors__1[[#This Row],[Risk_Free]]/H107-1</f>
        <v>1.8183906268691707E-3</v>
      </c>
      <c r="J108">
        <v>53976</v>
      </c>
      <c r="K108">
        <v>53991</v>
      </c>
      <c r="L108">
        <v>53267</v>
      </c>
      <c r="M108">
        <v>53353</v>
      </c>
      <c r="N108">
        <v>3089500</v>
      </c>
      <c r="O108">
        <v>53353</v>
      </c>
      <c r="P108">
        <v>-1.1542166888987701E-2</v>
      </c>
      <c r="Q108">
        <v>-1.1609294730979099E-2</v>
      </c>
      <c r="R108" s="8">
        <v>12.4617462158203</v>
      </c>
      <c r="S108" s="8">
        <v>-1.9802732773636098E-3</v>
      </c>
      <c r="T108" s="9">
        <v>-1.9822366108762399E-3</v>
      </c>
      <c r="U108" s="12">
        <v>4.1063000000000002E-2</v>
      </c>
      <c r="V108" s="16">
        <v>2.2166000000000001</v>
      </c>
      <c r="W108" s="17">
        <f t="shared" si="1"/>
        <v>1.6720140991459687E-3</v>
      </c>
    </row>
    <row r="109" spans="1:23" x14ac:dyDescent="0.2">
      <c r="A109" s="15">
        <v>41683</v>
      </c>
      <c r="B109" s="5">
        <v>-694818437448572</v>
      </c>
      <c r="C109" s="5">
        <f>[1]!nefin_factors__1[[#This Row],[Rm_minus_Rf]]/B108-1</f>
        <v>2.3498374929990185E-2</v>
      </c>
      <c r="D109" s="5">
        <v>120083372221635</v>
      </c>
      <c r="E109" s="5">
        <f>[1]!nefin_factors__1[[#This Row],[SMB]]/D108-1</f>
        <v>-1.2184150812009977</v>
      </c>
      <c r="F109" s="5">
        <v>-427926734286317</v>
      </c>
      <c r="G109" s="5">
        <f>[1]!nefin_factors__1[[#This Row],[HML]]/F108-1</f>
        <v>-0.37407403915774917</v>
      </c>
      <c r="H109" s="5">
        <v>396649393037629</v>
      </c>
      <c r="I109" s="6">
        <f>[1]!nefin_factors__1[[#This Row],[Risk_Free]]/H108-1</f>
        <v>1.8147628644118452E-3</v>
      </c>
      <c r="J109">
        <v>53353</v>
      </c>
      <c r="K109">
        <v>53843</v>
      </c>
      <c r="L109">
        <v>52313</v>
      </c>
      <c r="M109">
        <v>52366</v>
      </c>
      <c r="N109">
        <v>3948600</v>
      </c>
      <c r="O109">
        <v>52366</v>
      </c>
      <c r="P109">
        <v>-1.8499428335801201E-2</v>
      </c>
      <c r="Q109">
        <v>-1.8672682826464601E-2</v>
      </c>
      <c r="R109" s="8">
        <v>12.4452619552612</v>
      </c>
      <c r="S109" s="8">
        <v>-1.3227725802389401E-3</v>
      </c>
      <c r="T109" s="9">
        <v>-1.3236482161517499E-3</v>
      </c>
      <c r="U109" s="12">
        <v>4.1063000000000002E-2</v>
      </c>
      <c r="V109" s="16">
        <v>2.2109999999999999</v>
      </c>
      <c r="W109" s="17">
        <f t="shared" si="1"/>
        <v>-2.5263917711811912E-3</v>
      </c>
    </row>
    <row r="110" spans="1:23" x14ac:dyDescent="0.2">
      <c r="A110" s="14">
        <v>41684</v>
      </c>
      <c r="B110" s="3">
        <v>744791707562613</v>
      </c>
      <c r="C110" s="3">
        <f>[1]!nefin_factors__1[[#This Row],[Rm_minus_Rf]]/B109-1</f>
        <v>-2.0719227749590914</v>
      </c>
      <c r="D110" s="3">
        <v>-794196984893432</v>
      </c>
      <c r="E110" s="3">
        <f>[1]!nefin_factors__1[[#This Row],[SMB]]/D109-1</f>
        <v>-7.6137132077503757</v>
      </c>
      <c r="F110" s="3">
        <v>166551065543856</v>
      </c>
      <c r="G110" s="3">
        <f>[1]!nefin_factors__1[[#This Row],[HML]]/F109-1</f>
        <v>-1.3892046282680253</v>
      </c>
      <c r="H110" s="3">
        <v>396290148907186</v>
      </c>
      <c r="I110" s="4">
        <f>[1]!nefin_factors__1[[#This Row],[Risk_Free]]/H109-1</f>
        <v>-9.0569691205577563E-4</v>
      </c>
      <c r="J110">
        <v>52366</v>
      </c>
      <c r="K110">
        <v>52875</v>
      </c>
      <c r="L110">
        <v>52203</v>
      </c>
      <c r="M110">
        <v>52203</v>
      </c>
      <c r="N110">
        <v>3248100</v>
      </c>
      <c r="O110">
        <v>52203</v>
      </c>
      <c r="P110">
        <v>-3.1127067180994898E-3</v>
      </c>
      <c r="Q110">
        <v>-3.1175612661295399E-3</v>
      </c>
      <c r="R110" s="8">
        <v>12.5111980438232</v>
      </c>
      <c r="S110" s="8">
        <v>5.2980985003792096E-3</v>
      </c>
      <c r="T110" s="9">
        <v>5.2841129526441898E-3</v>
      </c>
      <c r="U110" s="12">
        <v>4.1063000000000002E-2</v>
      </c>
      <c r="V110" s="16">
        <v>2.2111000000000001</v>
      </c>
      <c r="W110" s="17">
        <f t="shared" si="1"/>
        <v>4.5228403437347353E-5</v>
      </c>
    </row>
    <row r="111" spans="1:23" x14ac:dyDescent="0.2">
      <c r="A111" s="15">
        <v>41687</v>
      </c>
      <c r="B111" s="5">
        <v>-116375061840263</v>
      </c>
      <c r="C111" s="5">
        <f>[1]!nefin_factors__1[[#This Row],[Rm_minus_Rf]]/B110-1</f>
        <v>-1.1562518227023622</v>
      </c>
      <c r="D111" s="5">
        <v>107158872927632</v>
      </c>
      <c r="E111" s="5">
        <f>[1]!nefin_factors__1[[#This Row],[SMB]]/D110-1</f>
        <v>-1.1349273227749799</v>
      </c>
      <c r="F111" s="5">
        <v>-412595052033041</v>
      </c>
      <c r="G111" s="5">
        <f>[1]!nefin_factors__1[[#This Row],[HML]]/F110-1</f>
        <v>-3.4772885762438848</v>
      </c>
      <c r="H111" s="5">
        <v>396649393037629</v>
      </c>
      <c r="I111" s="6">
        <f>[1]!nefin_factors__1[[#This Row],[Risk_Free]]/H110-1</f>
        <v>9.0651794255713902E-4</v>
      </c>
      <c r="J111">
        <v>52206</v>
      </c>
      <c r="K111">
        <v>52851</v>
      </c>
      <c r="L111">
        <v>52133</v>
      </c>
      <c r="M111">
        <v>52806</v>
      </c>
      <c r="N111">
        <v>2941400</v>
      </c>
      <c r="O111">
        <v>52806</v>
      </c>
      <c r="P111">
        <v>1.15510602838917E-2</v>
      </c>
      <c r="Q111">
        <v>1.1484856118178699E-2</v>
      </c>
      <c r="R111" s="8">
        <v>12.568890571594199</v>
      </c>
      <c r="S111" s="8">
        <v>4.6112740195170003E-3</v>
      </c>
      <c r="T111" s="9">
        <v>4.6006746673297998E-3</v>
      </c>
      <c r="U111" s="12">
        <v>4.1063000000000002E-2</v>
      </c>
      <c r="V111" s="16">
        <v>2.2155999999999998</v>
      </c>
      <c r="W111" s="17">
        <f t="shared" si="1"/>
        <v>2.0351861064626942E-3</v>
      </c>
    </row>
    <row r="112" spans="1:23" x14ac:dyDescent="0.2">
      <c r="A112" s="14">
        <v>41688</v>
      </c>
      <c r="B112" s="3">
        <v>-186869497116588</v>
      </c>
      <c r="C112" s="3">
        <f>[1]!nefin_factors__1[[#This Row],[Rm_minus_Rf]]/B111-1</f>
        <v>0.60575207575903178</v>
      </c>
      <c r="D112" s="3">
        <v>-108854392271905</v>
      </c>
      <c r="E112" s="3">
        <f>[1]!nefin_factors__1[[#This Row],[SMB]]/D111-1</f>
        <v>-2.0158224820581871</v>
      </c>
      <c r="F112" s="3">
        <v>-276465520638135</v>
      </c>
      <c r="G112" s="3">
        <f>[1]!nefin_factors__1[[#This Row],[HML]]/F111-1</f>
        <v>-0.32993495856078425</v>
      </c>
      <c r="H112" s="3">
        <v>396649393037629</v>
      </c>
      <c r="I112" s="4">
        <f>[1]!nefin_factors__1[[#This Row],[Risk_Free]]/H111-1</f>
        <v>0</v>
      </c>
      <c r="J112">
        <v>52807</v>
      </c>
      <c r="K112">
        <v>52936</v>
      </c>
      <c r="L112">
        <v>52403</v>
      </c>
      <c r="M112">
        <v>52626</v>
      </c>
      <c r="N112">
        <v>2462300</v>
      </c>
      <c r="O112">
        <v>52626</v>
      </c>
      <c r="P112">
        <v>-3.4087035564140901E-3</v>
      </c>
      <c r="Q112">
        <v>-3.41452642243017E-3</v>
      </c>
      <c r="R112" s="8">
        <v>12.362842559814499</v>
      </c>
      <c r="S112" s="8">
        <v>-1.6393402873965499E-2</v>
      </c>
      <c r="T112" s="9">
        <v>-1.6529261539743E-2</v>
      </c>
      <c r="U112" s="12">
        <v>4.1063000000000002E-2</v>
      </c>
      <c r="V112" s="16">
        <v>2.2111000000000001</v>
      </c>
      <c r="W112" s="17">
        <f t="shared" si="1"/>
        <v>-2.031052536558775E-3</v>
      </c>
    </row>
    <row r="113" spans="1:23" x14ac:dyDescent="0.2">
      <c r="A113" s="15">
        <v>41689</v>
      </c>
      <c r="B113" s="5">
        <v>945909638663326</v>
      </c>
      <c r="C113" s="5">
        <f>[1]!nefin_factors__1[[#This Row],[Rm_minus_Rf]]/B112-1</f>
        <v>-6.061872875235343</v>
      </c>
      <c r="D113" s="5">
        <v>-947849737159797</v>
      </c>
      <c r="E113" s="5">
        <f>[1]!nefin_factors__1[[#This Row],[SMB]]/D112-1</f>
        <v>7.7075010697977522</v>
      </c>
      <c r="F113" s="5">
        <v>847578777878524</v>
      </c>
      <c r="G113" s="5">
        <f>[1]!nefin_factors__1[[#This Row],[HML]]/F112-1</f>
        <v>-4.065766667475029</v>
      </c>
      <c r="H113" s="5">
        <v>397367784172209</v>
      </c>
      <c r="I113" s="6">
        <f>[1]!nefin_factors__1[[#This Row],[Risk_Free]]/H112-1</f>
        <v>1.8111489572147921E-3</v>
      </c>
      <c r="J113">
        <v>52649</v>
      </c>
      <c r="K113">
        <v>53044</v>
      </c>
      <c r="L113">
        <v>52649</v>
      </c>
      <c r="M113">
        <v>52932</v>
      </c>
      <c r="N113">
        <v>1186800</v>
      </c>
      <c r="O113">
        <v>52932</v>
      </c>
      <c r="P113">
        <v>5.8146163493331101E-3</v>
      </c>
      <c r="Q113">
        <v>5.7977767135035203E-3</v>
      </c>
      <c r="R113" s="8">
        <v>12.2144889831543</v>
      </c>
      <c r="S113" s="8">
        <v>-1.20000161992251E-2</v>
      </c>
      <c r="T113" s="9">
        <v>-1.20725976302462E-2</v>
      </c>
      <c r="U113" s="12">
        <v>4.1063000000000002E-2</v>
      </c>
      <c r="V113" s="16">
        <v>2.2130999999999998</v>
      </c>
      <c r="W113" s="17">
        <f t="shared" si="1"/>
        <v>9.0452715842781473E-4</v>
      </c>
    </row>
    <row r="114" spans="1:23" x14ac:dyDescent="0.2">
      <c r="A114" s="14">
        <v>41690</v>
      </c>
      <c r="B114" s="3">
        <v>296076966311302</v>
      </c>
      <c r="C114" s="3">
        <f>[1]!nefin_factors__1[[#This Row],[Rm_minus_Rf]]/B113-1</f>
        <v>-0.68699233604417942</v>
      </c>
      <c r="D114" s="3">
        <v>7329276570.9063797</v>
      </c>
      <c r="E114" s="3">
        <f>[1]!nefin_factors__1[[#This Row],[SMB]]/D113-1</f>
        <v>-1.0000077325300452</v>
      </c>
      <c r="F114" s="3">
        <v>787322619945984</v>
      </c>
      <c r="G114" s="3">
        <f>[1]!nefin_factors__1[[#This Row],[HML]]/F113-1</f>
        <v>-7.1092103182857191E-2</v>
      </c>
      <c r="H114" s="3">
        <v>397726931188114</v>
      </c>
      <c r="I114" s="4">
        <f>[1]!nefin_factors__1[[#This Row],[Risk_Free]]/H113-1</f>
        <v>9.0381513099546673E-4</v>
      </c>
      <c r="J114">
        <v>52932</v>
      </c>
      <c r="K114">
        <v>53309</v>
      </c>
      <c r="L114">
        <v>52079</v>
      </c>
      <c r="M114">
        <v>52172</v>
      </c>
      <c r="N114">
        <v>2894700</v>
      </c>
      <c r="O114">
        <v>52172</v>
      </c>
      <c r="P114">
        <v>-1.43580442832313E-2</v>
      </c>
      <c r="Q114">
        <v>-1.4462118402766301E-2</v>
      </c>
      <c r="R114" s="8">
        <v>11.9919576644897</v>
      </c>
      <c r="S114" s="8">
        <v>-1.8218603820173599E-2</v>
      </c>
      <c r="T114" s="9">
        <v>-1.8386606223977201E-2</v>
      </c>
      <c r="U114" s="12">
        <v>4.1063000000000002E-2</v>
      </c>
      <c r="V114" s="16">
        <v>2.2187000000000001</v>
      </c>
      <c r="W114" s="17">
        <f t="shared" si="1"/>
        <v>2.5303872396187366E-3</v>
      </c>
    </row>
    <row r="115" spans="1:23" x14ac:dyDescent="0.2">
      <c r="A115" s="15">
        <v>41691</v>
      </c>
      <c r="B115" s="5">
        <v>109691085685612</v>
      </c>
      <c r="C115" s="5">
        <f>[1]!nefin_factors__1[[#This Row],[Rm_minus_Rf]]/B114-1</f>
        <v>-0.62951834094962889</v>
      </c>
      <c r="D115" s="5">
        <v>136804881222548</v>
      </c>
      <c r="E115" s="5">
        <f>[1]!nefin_factors__1[[#This Row],[SMB]]/D114-1</f>
        <v>18664.536755100227</v>
      </c>
      <c r="F115" s="5">
        <v>-500097242332366</v>
      </c>
      <c r="G115" s="5">
        <f>[1]!nefin_factors__1[[#This Row],[HML]]/F114-1</f>
        <v>-1.6351871896766745</v>
      </c>
      <c r="H115" s="5">
        <v>398086045844126</v>
      </c>
      <c r="I115" s="6">
        <f>[1]!nefin_factors__1[[#This Row],[Risk_Free]]/H114-1</f>
        <v>9.0291762476146786E-4</v>
      </c>
      <c r="J115">
        <v>52174</v>
      </c>
      <c r="K115">
        <v>52858</v>
      </c>
      <c r="L115">
        <v>52009</v>
      </c>
      <c r="M115">
        <v>52640</v>
      </c>
      <c r="N115">
        <v>2842500</v>
      </c>
      <c r="O115">
        <v>52640</v>
      </c>
      <c r="P115">
        <v>8.9703289120601805E-3</v>
      </c>
      <c r="Q115">
        <v>8.9303345090251604E-3</v>
      </c>
      <c r="R115" s="8">
        <v>11.7034921646118</v>
      </c>
      <c r="S115" s="8">
        <v>-2.40549597374651E-2</v>
      </c>
      <c r="T115" s="9">
        <v>-2.4349005360999199E-2</v>
      </c>
      <c r="U115" s="12">
        <v>4.1063000000000002E-2</v>
      </c>
      <c r="V115" s="16">
        <v>2.2208999999999999</v>
      </c>
      <c r="W115" s="17">
        <f t="shared" si="1"/>
        <v>9.9157164105090345E-4</v>
      </c>
    </row>
    <row r="116" spans="1:23" x14ac:dyDescent="0.2">
      <c r="A116" s="14">
        <v>41694</v>
      </c>
      <c r="B116" s="3">
        <v>128169127280862</v>
      </c>
      <c r="C116" s="3">
        <f>[1]!nefin_factors__1[[#This Row],[Rm_minus_Rf]]/B115-1</f>
        <v>0.16845527127163562</v>
      </c>
      <c r="D116" s="3">
        <v>112747254845002</v>
      </c>
      <c r="E116" s="3">
        <f>[1]!nefin_factors__1[[#This Row],[SMB]]/D115-1</f>
        <v>-0.17585356723061762</v>
      </c>
      <c r="F116" s="3">
        <v>-250513706754896</v>
      </c>
      <c r="G116" s="3">
        <f>[1]!nefin_factors__1[[#This Row],[HML]]/F115-1</f>
        <v>-0.49907000969142734</v>
      </c>
      <c r="H116" s="3">
        <v>39880417810001</v>
      </c>
      <c r="I116" s="4">
        <f>[1]!nefin_factors__1[[#This Row],[Risk_Free]]/H115-1</f>
        <v>-0.89981960376069925</v>
      </c>
      <c r="J116">
        <v>52649</v>
      </c>
      <c r="K116">
        <v>52889</v>
      </c>
      <c r="L116">
        <v>52031</v>
      </c>
      <c r="M116">
        <v>52239</v>
      </c>
      <c r="N116">
        <v>2394300</v>
      </c>
      <c r="O116">
        <v>52239</v>
      </c>
      <c r="P116">
        <v>-7.6177811550152104E-3</v>
      </c>
      <c r="Q116">
        <v>-7.6469446517064502E-3</v>
      </c>
      <c r="R116" s="8">
        <v>11.9177808761597</v>
      </c>
      <c r="S116" s="8">
        <v>1.8309780040097499E-2</v>
      </c>
      <c r="T116" s="9">
        <v>1.8144174431103499E-2</v>
      </c>
      <c r="U116" s="12">
        <v>4.1063000000000002E-2</v>
      </c>
      <c r="V116" s="16">
        <v>2.2353999999999998</v>
      </c>
      <c r="W116" s="17">
        <f t="shared" si="1"/>
        <v>6.5288846863884586E-3</v>
      </c>
    </row>
    <row r="117" spans="1:23" x14ac:dyDescent="0.2">
      <c r="A117" s="15">
        <v>41695</v>
      </c>
      <c r="B117" s="5">
        <v>-113036143469738</v>
      </c>
      <c r="C117" s="5">
        <f>[1]!nefin_factors__1[[#This Row],[Rm_minus_Rf]]/B116-1</f>
        <v>-1.8819295712456361</v>
      </c>
      <c r="D117" s="5">
        <v>132491454478975</v>
      </c>
      <c r="E117" s="5">
        <f>[1]!nefin_factors__1[[#This Row],[SMB]]/D116-1</f>
        <v>0.17511911630235355</v>
      </c>
      <c r="F117" s="5">
        <v>-129068766696234</v>
      </c>
      <c r="G117" s="5">
        <f>[1]!nefin_factors__1[[#This Row],[HML]]/F116-1</f>
        <v>-0.4847836137664292</v>
      </c>
      <c r="H117" s="5">
        <v>399522180986711</v>
      </c>
      <c r="I117" s="6">
        <f>[1]!nefin_factors__1[[#This Row],[Risk_Free]]/H116-1</f>
        <v>9.0180038957997315</v>
      </c>
      <c r="J117">
        <v>52233</v>
      </c>
      <c r="K117">
        <v>52233</v>
      </c>
      <c r="L117">
        <v>51239</v>
      </c>
      <c r="M117">
        <v>51239</v>
      </c>
      <c r="N117">
        <v>4533200</v>
      </c>
      <c r="O117">
        <v>51239</v>
      </c>
      <c r="P117">
        <v>-1.9142786041080401E-2</v>
      </c>
      <c r="Q117">
        <v>-1.93283815303841E-2</v>
      </c>
      <c r="R117" s="8">
        <v>11.7859106063843</v>
      </c>
      <c r="S117" s="8">
        <v>-1.1064910788546E-2</v>
      </c>
      <c r="T117" s="9">
        <v>-1.11265822621306E-2</v>
      </c>
      <c r="U117" s="12">
        <v>4.1063000000000002E-2</v>
      </c>
      <c r="V117" s="16">
        <v>2.2404999999999999</v>
      </c>
      <c r="W117" s="17">
        <f t="shared" si="1"/>
        <v>2.2814708776952575E-3</v>
      </c>
    </row>
    <row r="118" spans="1:23" x14ac:dyDescent="0.2">
      <c r="A118" s="14">
        <v>41696</v>
      </c>
      <c r="B118" s="3">
        <v>-987059231830004</v>
      </c>
      <c r="C118" s="3">
        <f>[1]!nefin_factors__1[[#This Row],[Rm_minus_Rf]]/B117-1</f>
        <v>7.7322444090129387</v>
      </c>
      <c r="D118" s="3">
        <v>-841650579835848</v>
      </c>
      <c r="E118" s="3">
        <f>[1]!nefin_factors__1[[#This Row],[SMB]]/D117-1</f>
        <v>-7.3524895484441153</v>
      </c>
      <c r="F118" s="3">
        <v>-13206581874176</v>
      </c>
      <c r="G118" s="3">
        <f>[1]!nefin_factors__1[[#This Row],[HML]]/F117-1</f>
        <v>-0.89767794167230275</v>
      </c>
      <c r="H118" s="3">
        <v>399881133930968</v>
      </c>
      <c r="I118" s="4">
        <f>[1]!nefin_factors__1[[#This Row],[Risk_Free]]/H117-1</f>
        <v>8.9845560857337858E-4</v>
      </c>
      <c r="J118">
        <v>51239</v>
      </c>
      <c r="K118">
        <v>51879</v>
      </c>
      <c r="L118">
        <v>51239</v>
      </c>
      <c r="M118">
        <v>51606</v>
      </c>
      <c r="N118">
        <v>2597900</v>
      </c>
      <c r="O118">
        <v>51606</v>
      </c>
      <c r="P118">
        <v>7.1625129296044596E-3</v>
      </c>
      <c r="Q118">
        <v>7.1369839624262597E-3</v>
      </c>
      <c r="R118" s="8">
        <v>11.6705236434937</v>
      </c>
      <c r="S118" s="8">
        <v>-9.79036620208407E-3</v>
      </c>
      <c r="T118" s="9">
        <v>-9.8386069586197302E-3</v>
      </c>
      <c r="U118" s="12">
        <v>4.1063000000000002E-2</v>
      </c>
      <c r="V118" s="16">
        <v>2.2250999999999999</v>
      </c>
      <c r="W118" s="17">
        <f t="shared" si="1"/>
        <v>-6.8734657442535152E-3</v>
      </c>
    </row>
    <row r="119" spans="1:23" x14ac:dyDescent="0.2">
      <c r="A119" s="15">
        <v>41697</v>
      </c>
      <c r="B119" s="5">
        <v>172295250043274</v>
      </c>
      <c r="C119" s="5">
        <f>[1]!nefin_factors__1[[#This Row],[Rm_minus_Rf]]/B118-1</f>
        <v>-1.1745541143704612</v>
      </c>
      <c r="D119" s="5">
        <v>68807949311506</v>
      </c>
      <c r="E119" s="5">
        <f>[1]!nefin_factors__1[[#This Row],[SMB]]/D118-1</f>
        <v>-1.0817535815455934</v>
      </c>
      <c r="F119" s="5">
        <v>135814528227746</v>
      </c>
      <c r="G119" s="5">
        <f>[1]!nefin_factors__1[[#This Row],[HML]]/F118-1</f>
        <v>-11.283851606850384</v>
      </c>
      <c r="H119" s="5">
        <v>39880417810001</v>
      </c>
      <c r="I119" s="6">
        <f>[1]!nefin_factors__1[[#This Row],[Risk_Free]]/H118-1</f>
        <v>-0.90026931898996365</v>
      </c>
      <c r="J119">
        <v>51606</v>
      </c>
      <c r="K119">
        <v>52032</v>
      </c>
      <c r="L119">
        <v>51377</v>
      </c>
      <c r="M119">
        <v>52032</v>
      </c>
      <c r="N119">
        <v>2859400</v>
      </c>
      <c r="O119">
        <v>52032</v>
      </c>
      <c r="P119">
        <v>8.2548540867342108E-3</v>
      </c>
      <c r="Q119">
        <v>8.2209691279480305E-3</v>
      </c>
      <c r="R119" s="8">
        <v>11.752943038940399</v>
      </c>
      <c r="S119" s="8">
        <v>7.06216757362355E-3</v>
      </c>
      <c r="T119" s="9">
        <v>7.0373472565163197E-3</v>
      </c>
      <c r="U119" s="12">
        <v>4.1063000000000002E-2</v>
      </c>
      <c r="V119" s="16">
        <v>2.2389999999999999</v>
      </c>
      <c r="W119" s="17">
        <f t="shared" si="1"/>
        <v>6.2469102512245911E-3</v>
      </c>
    </row>
    <row r="120" spans="1:23" x14ac:dyDescent="0.2">
      <c r="A120" s="14">
        <v>41698</v>
      </c>
      <c r="B120" s="3">
        <v>-893410087760519</v>
      </c>
      <c r="C120" s="3">
        <f>[1]!nefin_factors__1[[#This Row],[Rm_minus_Rf]]/B119-1</f>
        <v>-6.1853436907641299</v>
      </c>
      <c r="D120" s="3">
        <v>518923923405928</v>
      </c>
      <c r="E120" s="3">
        <f>[1]!nefin_factors__1[[#This Row],[SMB]]/D119-1</f>
        <v>6.5416275095870944</v>
      </c>
      <c r="F120" s="3">
        <v>-691250871283571</v>
      </c>
      <c r="G120" s="3">
        <f>[1]!nefin_factors__1[[#This Row],[HML]]/F119-1</f>
        <v>-6.0896680959228418</v>
      </c>
      <c r="H120" s="3">
        <v>39880417810001</v>
      </c>
      <c r="I120" s="4">
        <f>[1]!nefin_factors__1[[#This Row],[Risk_Free]]/H119-1</f>
        <v>0</v>
      </c>
      <c r="J120">
        <v>52032</v>
      </c>
      <c r="K120">
        <v>52032</v>
      </c>
      <c r="L120">
        <v>51609</v>
      </c>
      <c r="M120">
        <v>51833</v>
      </c>
      <c r="N120">
        <v>2571500</v>
      </c>
      <c r="O120">
        <v>51833</v>
      </c>
      <c r="P120">
        <v>-3.8245694956949802E-3</v>
      </c>
      <c r="Q120">
        <v>-3.8319018630116101E-3</v>
      </c>
      <c r="R120" s="8">
        <v>11.621072769165</v>
      </c>
      <c r="S120" s="8">
        <v>-1.1220006721483799E-2</v>
      </c>
      <c r="T120" s="9">
        <v>-1.12834258182414E-2</v>
      </c>
      <c r="U120" s="12">
        <v>4.1063000000000002E-2</v>
      </c>
      <c r="V120" s="16">
        <v>2.2639999999999998</v>
      </c>
      <c r="W120" s="17">
        <f t="shared" si="1"/>
        <v>1.1165698972755544E-2</v>
      </c>
    </row>
    <row r="121" spans="1:23" x14ac:dyDescent="0.2">
      <c r="A121" s="15">
        <v>41703</v>
      </c>
      <c r="B121" s="5">
        <v>-810003817875695</v>
      </c>
      <c r="C121" s="5">
        <f>[1]!nefin_factors__1[[#This Row],[Rm_minus_Rf]]/B120-1</f>
        <v>-9.3357206312608021E-2</v>
      </c>
      <c r="D121" s="5">
        <v>-537887276080583</v>
      </c>
      <c r="E121" s="5">
        <f>[1]!nefin_factors__1[[#This Row],[SMB]]/D120-1</f>
        <v>-2.0365436084545689</v>
      </c>
      <c r="F121" s="5">
        <v>-153212169218786</v>
      </c>
      <c r="G121" s="5">
        <f>[1]!nefin_factors__1[[#This Row],[HML]]/F120-1</f>
        <v>-0.77835518827731942</v>
      </c>
      <c r="H121" s="5">
        <v>399881133930968</v>
      </c>
      <c r="I121" s="6">
        <f>[1]!nefin_factors__1[[#This Row],[Risk_Free]]/H120-1</f>
        <v>9.0270046275866225</v>
      </c>
      <c r="J121">
        <v>51833</v>
      </c>
      <c r="K121">
        <v>52245</v>
      </c>
      <c r="L121">
        <v>51470</v>
      </c>
      <c r="M121">
        <v>51559</v>
      </c>
      <c r="N121">
        <v>2890000</v>
      </c>
      <c r="O121">
        <v>51559</v>
      </c>
      <c r="P121">
        <v>-5.2862076283448599E-3</v>
      </c>
      <c r="Q121">
        <v>-5.3002290591820196E-3</v>
      </c>
      <c r="R121" s="8">
        <v>11.6375570297241</v>
      </c>
      <c r="S121" s="8">
        <v>1.41836864191491E-3</v>
      </c>
      <c r="T121" s="9">
        <v>1.41736370724571E-3</v>
      </c>
      <c r="U121" s="12">
        <v>4.1063000000000002E-2</v>
      </c>
      <c r="V121" s="16">
        <v>2.2654000000000001</v>
      </c>
      <c r="W121" s="17">
        <f t="shared" si="1"/>
        <v>6.1837455830393573E-4</v>
      </c>
    </row>
    <row r="122" spans="1:23" x14ac:dyDescent="0.2">
      <c r="A122" s="14">
        <v>41704</v>
      </c>
      <c r="B122" s="3">
        <v>964647385179733</v>
      </c>
      <c r="C122" s="3">
        <f>[1]!nefin_factors__1[[#This Row],[Rm_minus_Rf]]/B121-1</f>
        <v>-2.1909170844522734</v>
      </c>
      <c r="D122" s="3">
        <v>-106411007365036</v>
      </c>
      <c r="E122" s="3">
        <f>[1]!nefin_factors__1[[#This Row],[SMB]]/D121-1</f>
        <v>-0.80216857305043565</v>
      </c>
      <c r="F122" s="3">
        <v>-191210480199043</v>
      </c>
      <c r="G122" s="3">
        <f>[1]!nefin_factors__1[[#This Row],[HML]]/F121-1</f>
        <v>0.24801105012745861</v>
      </c>
      <c r="H122" s="3">
        <v>399881133930968</v>
      </c>
      <c r="I122" s="4">
        <f>[1]!nefin_factors__1[[#This Row],[Risk_Free]]/H121-1</f>
        <v>0</v>
      </c>
      <c r="J122">
        <v>51562</v>
      </c>
      <c r="K122">
        <v>53175</v>
      </c>
      <c r="L122">
        <v>51562</v>
      </c>
      <c r="M122">
        <v>53129</v>
      </c>
      <c r="N122">
        <v>4298400</v>
      </c>
      <c r="O122">
        <v>53129</v>
      </c>
      <c r="P122">
        <v>3.0450551795030902E-2</v>
      </c>
      <c r="Q122">
        <v>2.9996135524616298E-2</v>
      </c>
      <c r="R122" s="8">
        <v>11.8353624343872</v>
      </c>
      <c r="S122" s="8">
        <v>1.6997064869443499E-2</v>
      </c>
      <c r="T122" s="9">
        <v>1.6854230994847699E-2</v>
      </c>
      <c r="U122" s="12">
        <v>4.1063000000000002E-2</v>
      </c>
      <c r="V122" s="16">
        <v>2.2801999999999998</v>
      </c>
      <c r="W122" s="17">
        <f t="shared" si="1"/>
        <v>6.5330625938022635E-3</v>
      </c>
    </row>
    <row r="123" spans="1:23" x14ac:dyDescent="0.2">
      <c r="A123" s="15">
        <v>41705</v>
      </c>
      <c r="B123" s="5">
        <v>-152822558861912</v>
      </c>
      <c r="C123" s="5">
        <f>[1]!nefin_factors__1[[#This Row],[Rm_minus_Rf]]/B122-1</f>
        <v>-1.1584232344479306</v>
      </c>
      <c r="D123" s="5">
        <v>-637640074226951</v>
      </c>
      <c r="E123" s="5">
        <f>[1]!nefin_factors__1[[#This Row],[SMB]]/D122-1</f>
        <v>4.9922379274126074</v>
      </c>
      <c r="F123" s="5">
        <v>-129372844899353</v>
      </c>
      <c r="G123" s="5">
        <f>[1]!nefin_factors__1[[#This Row],[HML]]/F122-1</f>
        <v>-0.32340086817061131</v>
      </c>
      <c r="H123" s="5">
        <v>399881133930968</v>
      </c>
      <c r="I123" s="6">
        <f>[1]!nefin_factors__1[[#This Row],[Risk_Free]]/H122-1</f>
        <v>0</v>
      </c>
      <c r="J123">
        <v>53129</v>
      </c>
      <c r="K123">
        <v>54462</v>
      </c>
      <c r="L123">
        <v>53091</v>
      </c>
      <c r="M123">
        <v>54273</v>
      </c>
      <c r="N123">
        <v>3660000</v>
      </c>
      <c r="O123">
        <v>54273</v>
      </c>
      <c r="P123">
        <v>2.1532496376743399E-2</v>
      </c>
      <c r="Q123">
        <v>2.1303947179465599E-2</v>
      </c>
      <c r="R123" s="8">
        <v>11.884814262390099</v>
      </c>
      <c r="S123" s="8">
        <v>4.1783402236632598E-3</v>
      </c>
      <c r="T123" s="9">
        <v>4.1696352000932697E-3</v>
      </c>
      <c r="U123" s="12">
        <v>4.1063000000000002E-2</v>
      </c>
      <c r="V123" s="16">
        <v>2.2694999999999999</v>
      </c>
      <c r="W123" s="17">
        <f t="shared" si="1"/>
        <v>-4.6925708271203792E-3</v>
      </c>
    </row>
    <row r="124" spans="1:23" x14ac:dyDescent="0.2">
      <c r="A124" s="14">
        <v>41708</v>
      </c>
      <c r="B124" s="3">
        <v>-145270329935744</v>
      </c>
      <c r="C124" s="3">
        <f>[1]!nefin_factors__1[[#This Row],[Rm_minus_Rf]]/B123-1</f>
        <v>-4.9418286033229397E-2</v>
      </c>
      <c r="D124" s="3">
        <v>-503753411005711</v>
      </c>
      <c r="E124" s="3">
        <f>[1]!nefin_factors__1[[#This Row],[SMB]]/D123-1</f>
        <v>-0.20997215926799895</v>
      </c>
      <c r="F124" s="3">
        <v>-123752181246623</v>
      </c>
      <c r="G124" s="3">
        <f>[1]!nefin_factors__1[[#This Row],[HML]]/F123-1</f>
        <v>-4.3445466914657782E-2</v>
      </c>
      <c r="H124" s="3">
        <v>400598942851271</v>
      </c>
      <c r="I124" s="4">
        <f>[1]!nefin_factors__1[[#This Row],[Risk_Free]]/H123-1</f>
        <v>1.7950557288028968E-3</v>
      </c>
      <c r="J124">
        <v>54273</v>
      </c>
      <c r="K124">
        <v>54604</v>
      </c>
      <c r="L124">
        <v>53960</v>
      </c>
      <c r="M124">
        <v>54604</v>
      </c>
      <c r="N124">
        <v>3729900</v>
      </c>
      <c r="O124">
        <v>54604</v>
      </c>
      <c r="P124">
        <v>6.09879682346648E-3</v>
      </c>
      <c r="Q124">
        <v>6.0802744334974698E-3</v>
      </c>
      <c r="R124" s="8">
        <v>11.728217124939</v>
      </c>
      <c r="S124" s="8">
        <v>-1.31760348811333E-2</v>
      </c>
      <c r="T124" s="9">
        <v>-1.3263608931853599E-2</v>
      </c>
      <c r="U124" s="12">
        <v>4.1063000000000002E-2</v>
      </c>
      <c r="V124" s="16">
        <v>2.2444999999999999</v>
      </c>
      <c r="W124" s="17">
        <f t="shared" si="1"/>
        <v>-1.1015642211940957E-2</v>
      </c>
    </row>
    <row r="125" spans="1:23" x14ac:dyDescent="0.2">
      <c r="A125" s="15">
        <v>41709</v>
      </c>
      <c r="B125" s="5">
        <v>47437452898065</v>
      </c>
      <c r="C125" s="5">
        <f>[1]!nefin_factors__1[[#This Row],[Rm_minus_Rf]]/B124-1</f>
        <v>-1.3265460532721827</v>
      </c>
      <c r="D125" s="5">
        <v>-981207868075261</v>
      </c>
      <c r="E125" s="5">
        <f>[1]!nefin_factors__1[[#This Row],[SMB]]/D124-1</f>
        <v>0.94779399332769421</v>
      </c>
      <c r="F125" s="5">
        <v>-103222930333755</v>
      </c>
      <c r="G125" s="5">
        <f>[1]!nefin_factors__1[[#This Row],[HML]]/F124-1</f>
        <v>-0.16589001265323722</v>
      </c>
      <c r="H125" s="5">
        <v>400957798838641</v>
      </c>
      <c r="I125" s="6">
        <f>[1]!nefin_factors__1[[#This Row],[Risk_Free]]/H124-1</f>
        <v>8.9579863794897463E-4</v>
      </c>
      <c r="J125">
        <v>54676</v>
      </c>
      <c r="K125">
        <v>55284</v>
      </c>
      <c r="L125">
        <v>54676</v>
      </c>
      <c r="M125">
        <v>55102</v>
      </c>
      <c r="N125">
        <v>3796000</v>
      </c>
      <c r="O125">
        <v>55102</v>
      </c>
      <c r="P125">
        <v>9.1202109735550908E-3</v>
      </c>
      <c r="Q125">
        <v>9.0788730000474598E-3</v>
      </c>
      <c r="R125" s="8">
        <v>11.9177808761597</v>
      </c>
      <c r="S125" s="8">
        <v>1.61628754722754E-2</v>
      </c>
      <c r="T125" s="9">
        <v>1.6033646812142401E-2</v>
      </c>
      <c r="U125" s="12">
        <v>4.1063000000000002E-2</v>
      </c>
      <c r="V125" s="16">
        <v>2.2336</v>
      </c>
      <c r="W125" s="17">
        <f t="shared" si="1"/>
        <v>-4.8563154377366802E-3</v>
      </c>
    </row>
    <row r="126" spans="1:23" x14ac:dyDescent="0.2">
      <c r="A126" s="14">
        <v>41710</v>
      </c>
      <c r="B126" s="3">
        <v>169014870164397</v>
      </c>
      <c r="C126" s="3">
        <f>[1]!nefin_factors__1[[#This Row],[Rm_minus_Rf]]/B125-1</f>
        <v>2.5628993514382223</v>
      </c>
      <c r="D126" s="3">
        <v>-937518330144596</v>
      </c>
      <c r="E126" s="3">
        <f>[1]!nefin_factors__1[[#This Row],[SMB]]/D125-1</f>
        <v>-4.4526281690307368E-2</v>
      </c>
      <c r="F126" s="3">
        <v>319877866883572</v>
      </c>
      <c r="G126" s="3">
        <f>[1]!nefin_factors__1[[#This Row],[HML]]/F125-1</f>
        <v>-4.098903178288948</v>
      </c>
      <c r="H126" s="3">
        <v>401316622518966</v>
      </c>
      <c r="I126" s="4">
        <f>[1]!nefin_factors__1[[#This Row],[Risk_Free]]/H125-1</f>
        <v>8.9491632626748085E-4</v>
      </c>
      <c r="J126">
        <v>55102</v>
      </c>
      <c r="K126">
        <v>55104</v>
      </c>
      <c r="L126">
        <v>54649</v>
      </c>
      <c r="M126">
        <v>54807</v>
      </c>
      <c r="N126">
        <v>2664400</v>
      </c>
      <c r="O126">
        <v>54807</v>
      </c>
      <c r="P126">
        <v>-5.3537076694131196E-3</v>
      </c>
      <c r="Q126">
        <v>-5.3680901182363502E-3</v>
      </c>
      <c r="R126" s="8">
        <v>11.794153213501</v>
      </c>
      <c r="S126" s="8">
        <v>-1.03733824039635E-2</v>
      </c>
      <c r="T126" s="9">
        <v>-1.04275609373352E-2</v>
      </c>
      <c r="U126" s="12">
        <v>4.1063000000000002E-2</v>
      </c>
      <c r="V126" s="16">
        <v>2.2296</v>
      </c>
      <c r="W126" s="17">
        <f t="shared" si="1"/>
        <v>-1.7908309455587634E-3</v>
      </c>
    </row>
    <row r="127" spans="1:23" x14ac:dyDescent="0.2">
      <c r="A127" s="15">
        <v>41711</v>
      </c>
      <c r="B127" s="5">
        <v>-86637596382129</v>
      </c>
      <c r="C127" s="5">
        <f>[1]!nefin_factors__1[[#This Row],[Rm_minus_Rf]]/B126-1</f>
        <v>-1.5126033957713811</v>
      </c>
      <c r="D127" s="5">
        <v>-239511112527139</v>
      </c>
      <c r="E127" s="5">
        <f>[1]!nefin_factors__1[[#This Row],[SMB]]/D126-1</f>
        <v>-0.74452647502881519</v>
      </c>
      <c r="F127" s="5">
        <v>308713907011996</v>
      </c>
      <c r="G127" s="5">
        <f>[1]!nefin_factors__1[[#This Row],[HML]]/F126-1</f>
        <v>-3.4900695006945925E-2</v>
      </c>
      <c r="H127" s="5">
        <v>401675413897573</v>
      </c>
      <c r="I127" s="6">
        <f>[1]!nefin_factors__1[[#This Row],[Risk_Free]]/H126-1</f>
        <v>8.9403567775225845E-4</v>
      </c>
      <c r="J127">
        <v>54807</v>
      </c>
      <c r="K127">
        <v>54855</v>
      </c>
      <c r="L127">
        <v>54475</v>
      </c>
      <c r="M127">
        <v>54630</v>
      </c>
      <c r="N127">
        <v>2637400</v>
      </c>
      <c r="O127">
        <v>54630</v>
      </c>
      <c r="P127">
        <v>-3.2295144780776202E-3</v>
      </c>
      <c r="Q127">
        <v>-3.23474061491615E-3</v>
      </c>
      <c r="R127" s="8">
        <v>11.744701385498001</v>
      </c>
      <c r="S127" s="8">
        <v>-4.19293925087627E-3</v>
      </c>
      <c r="T127" s="9">
        <v>-4.2017542698453998E-3</v>
      </c>
      <c r="U127" s="12">
        <v>4.1063000000000002E-2</v>
      </c>
      <c r="V127" s="16">
        <v>2.2307000000000001</v>
      </c>
      <c r="W127" s="17">
        <f t="shared" si="1"/>
        <v>4.9336203803385104E-4</v>
      </c>
    </row>
    <row r="128" spans="1:23" x14ac:dyDescent="0.2">
      <c r="A128" s="14">
        <v>41712</v>
      </c>
      <c r="B128" s="3">
        <v>-113926076002434</v>
      </c>
      <c r="C128" s="3">
        <f>[1]!nefin_factors__1[[#This Row],[Rm_minus_Rf]]/B127-1</f>
        <v>0.31497272269586962</v>
      </c>
      <c r="D128" s="3">
        <v>-304812324364042</v>
      </c>
      <c r="E128" s="3">
        <f>[1]!nefin_factors__1[[#This Row],[SMB]]/D127-1</f>
        <v>0.2726437664954009</v>
      </c>
      <c r="F128" s="3">
        <v>866887458466567</v>
      </c>
      <c r="G128" s="3">
        <f>[1]!nefin_factors__1[[#This Row],[HML]]/F127-1</f>
        <v>1.8080609223506134</v>
      </c>
      <c r="H128" s="3">
        <v>401675413897573</v>
      </c>
      <c r="I128" s="4">
        <f>[1]!nefin_factors__1[[#This Row],[Risk_Free]]/H127-1</f>
        <v>0</v>
      </c>
      <c r="J128">
        <v>54630</v>
      </c>
      <c r="K128">
        <v>54638</v>
      </c>
      <c r="L128">
        <v>54150</v>
      </c>
      <c r="M128">
        <v>54300</v>
      </c>
      <c r="N128">
        <v>1588400</v>
      </c>
      <c r="O128">
        <v>54300</v>
      </c>
      <c r="P128">
        <v>-6.0406370126304702E-3</v>
      </c>
      <c r="Q128">
        <v>-6.0589554677365704E-3</v>
      </c>
      <c r="R128" s="8">
        <v>11.843604087829601</v>
      </c>
      <c r="S128" s="8">
        <v>8.4209100128360692E-3</v>
      </c>
      <c r="T128" s="9">
        <v>8.3856519484918606E-3</v>
      </c>
      <c r="U128" s="12">
        <v>4.1063000000000002E-2</v>
      </c>
      <c r="V128" s="16">
        <v>2.2305999999999999</v>
      </c>
      <c r="W128" s="17">
        <f t="shared" si="1"/>
        <v>-4.4828977451172314E-5</v>
      </c>
    </row>
    <row r="129" spans="1:23" x14ac:dyDescent="0.2">
      <c r="A129" s="15">
        <v>41715</v>
      </c>
      <c r="B129" s="5">
        <v>541006909583034</v>
      </c>
      <c r="C129" s="5">
        <f>[1]!nefin_factors__1[[#This Row],[Rm_minus_Rf]]/B128-1</f>
        <v>-5.7487540040567673</v>
      </c>
      <c r="D129" s="5">
        <v>-994256065135625</v>
      </c>
      <c r="E129" s="5">
        <f>[1]!nefin_factors__1[[#This Row],[SMB]]/D128-1</f>
        <v>2.2618630733190757</v>
      </c>
      <c r="F129" s="5">
        <v>-160070395152438</v>
      </c>
      <c r="G129" s="5">
        <f>[1]!nefin_factors__1[[#This Row],[HML]]/F128-1</f>
        <v>-1.1846495685098337</v>
      </c>
      <c r="H129" s="5">
        <v>402751594282824</v>
      </c>
      <c r="I129" s="6">
        <f>[1]!nefin_factors__1[[#This Row],[Risk_Free]]/H128-1</f>
        <v>2.6792289197103969E-3</v>
      </c>
      <c r="J129">
        <v>54301</v>
      </c>
      <c r="K129">
        <v>55203</v>
      </c>
      <c r="L129">
        <v>54046</v>
      </c>
      <c r="M129">
        <v>55203</v>
      </c>
      <c r="N129">
        <v>3265400</v>
      </c>
      <c r="O129">
        <v>55203</v>
      </c>
      <c r="P129">
        <v>1.6629834254143501E-2</v>
      </c>
      <c r="Q129">
        <v>1.64930726924571E-2</v>
      </c>
      <c r="R129" s="8">
        <v>11.843604087829601</v>
      </c>
      <c r="S129" s="8">
        <v>0</v>
      </c>
      <c r="T129" s="9">
        <v>0</v>
      </c>
      <c r="U129" s="12">
        <v>4.1063000000000002E-2</v>
      </c>
      <c r="V129" s="16">
        <v>2.2347000000000001</v>
      </c>
      <c r="W129" s="17">
        <f t="shared" si="1"/>
        <v>1.838070474311948E-3</v>
      </c>
    </row>
    <row r="130" spans="1:23" x14ac:dyDescent="0.2">
      <c r="A130" s="14">
        <v>41716</v>
      </c>
      <c r="B130" s="3">
        <v>201814487272414</v>
      </c>
      <c r="C130" s="3">
        <f>[1]!nefin_factors__1[[#This Row],[Rm_minus_Rf]]/B129-1</f>
        <v>-0.62696504666094399</v>
      </c>
      <c r="D130" s="3">
        <v>-122547296995225</v>
      </c>
      <c r="E130" s="3">
        <f>[1]!nefin_factors__1[[#This Row],[SMB]]/D129-1</f>
        <v>-0.87674473277816167</v>
      </c>
      <c r="F130" s="3">
        <v>987751232528907</v>
      </c>
      <c r="G130" s="3">
        <f>[1]!nefin_factors__1[[#This Row],[HML]]/F129-1</f>
        <v>-7.1707302689435686</v>
      </c>
      <c r="H130" s="3">
        <v>40311025651385</v>
      </c>
      <c r="I130" s="4">
        <f>[1]!nefin_factors__1[[#This Row],[Risk_Free]]/H129-1</f>
        <v>-0.89991094703630792</v>
      </c>
      <c r="J130">
        <v>55192</v>
      </c>
      <c r="K130">
        <v>55192</v>
      </c>
      <c r="L130">
        <v>54540</v>
      </c>
      <c r="M130">
        <v>54638</v>
      </c>
      <c r="N130">
        <v>2347800</v>
      </c>
      <c r="O130">
        <v>54638</v>
      </c>
      <c r="P130">
        <v>-1.0234950999039901E-2</v>
      </c>
      <c r="Q130">
        <v>-1.0287688260810101E-2</v>
      </c>
      <c r="R130" s="8">
        <v>11.538654327392599</v>
      </c>
      <c r="S130" s="8">
        <v>-2.57478146866803E-2</v>
      </c>
      <c r="T130" s="9">
        <v>-2.60850916933992E-2</v>
      </c>
      <c r="U130" s="12">
        <v>4.1063000000000002E-2</v>
      </c>
      <c r="V130" s="16">
        <v>2.2313000000000001</v>
      </c>
      <c r="W130" s="17">
        <f t="shared" si="1"/>
        <v>-1.5214570188392118E-3</v>
      </c>
    </row>
    <row r="131" spans="1:23" x14ac:dyDescent="0.2">
      <c r="A131" s="15">
        <v>41717</v>
      </c>
      <c r="B131" s="5">
        <v>663743128203629</v>
      </c>
      <c r="C131" s="5">
        <f>[1]!nefin_factors__1[[#This Row],[Rm_minus_Rf]]/B130-1</f>
        <v>2.2888775091140645</v>
      </c>
      <c r="D131" s="5">
        <v>152714302481366</v>
      </c>
      <c r="E131" s="5">
        <f>[1]!nefin_factors__1[[#This Row],[SMB]]/D130-1</f>
        <v>-2.2461662250071206</v>
      </c>
      <c r="F131" s="5">
        <v>144464375404305</v>
      </c>
      <c r="G131" s="5">
        <f>[1]!nefin_factors__1[[#This Row],[HML]]/F130-1</f>
        <v>-0.85374417095442379</v>
      </c>
      <c r="H131" s="5">
        <v>403827484164232</v>
      </c>
      <c r="I131" s="6">
        <f>[1]!nefin_factors__1[[#This Row],[Risk_Free]]/H130-1</f>
        <v>9.0177923443721006</v>
      </c>
      <c r="J131">
        <v>54637</v>
      </c>
      <c r="K131">
        <v>54724</v>
      </c>
      <c r="L131">
        <v>54097</v>
      </c>
      <c r="M131">
        <v>54210</v>
      </c>
      <c r="N131">
        <v>1403100</v>
      </c>
      <c r="O131">
        <v>54210</v>
      </c>
      <c r="P131">
        <v>-7.8333760386544195E-3</v>
      </c>
      <c r="Q131">
        <v>-7.8642180992901101E-3</v>
      </c>
      <c r="R131" s="8">
        <v>11.546895980835</v>
      </c>
      <c r="S131" s="8">
        <v>7.1415560932863698E-4</v>
      </c>
      <c r="T131" s="9">
        <v>7.1390072155727102E-4</v>
      </c>
      <c r="U131" s="12">
        <v>4.1063000000000002E-2</v>
      </c>
      <c r="V131" s="16">
        <v>2.2486000000000002</v>
      </c>
      <c r="W131" s="17">
        <f t="shared" si="1"/>
        <v>7.7533276565231457E-3</v>
      </c>
    </row>
    <row r="132" spans="1:23" x14ac:dyDescent="0.2">
      <c r="A132" s="14">
        <v>41718</v>
      </c>
      <c r="B132" s="3">
        <v>130627389784872</v>
      </c>
      <c r="C132" s="3">
        <f>[1]!nefin_factors__1[[#This Row],[Rm_minus_Rf]]/B131-1</f>
        <v>-0.80319586865116743</v>
      </c>
      <c r="D132" s="3">
        <v>994299491471973</v>
      </c>
      <c r="E132" s="3">
        <f>[1]!nefin_factors__1[[#This Row],[SMB]]/D131-1</f>
        <v>5.51084721808094</v>
      </c>
      <c r="F132" s="3">
        <v>259028026808405</v>
      </c>
      <c r="G132" s="3">
        <f>[1]!nefin_factors__1[[#This Row],[HML]]/F131-1</f>
        <v>0.79302354704041478</v>
      </c>
      <c r="H132" s="3">
        <v>403827484164232</v>
      </c>
      <c r="I132" s="4">
        <f>[1]!nefin_factors__1[[#This Row],[Risk_Free]]/H131-1</f>
        <v>0</v>
      </c>
      <c r="J132">
        <v>54194</v>
      </c>
      <c r="K132">
        <v>55002</v>
      </c>
      <c r="L132">
        <v>54094</v>
      </c>
      <c r="M132">
        <v>54281</v>
      </c>
      <c r="N132">
        <v>3121500</v>
      </c>
      <c r="O132">
        <v>54281</v>
      </c>
      <c r="P132">
        <v>1.30972145360642E-3</v>
      </c>
      <c r="Q132">
        <v>1.3088645166143E-3</v>
      </c>
      <c r="R132" s="8">
        <v>11.538654327392599</v>
      </c>
      <c r="S132" s="8">
        <v>-7.1364595506684403E-4</v>
      </c>
      <c r="T132" s="9">
        <v>-7.1390072155736405E-4</v>
      </c>
      <c r="U132" s="12">
        <v>4.1063000000000002E-2</v>
      </c>
      <c r="V132" s="16">
        <v>2.2534000000000001</v>
      </c>
      <c r="W132" s="17">
        <f t="shared" ref="W132:W195" si="2">V132/V131-1</f>
        <v>2.1346615671973268E-3</v>
      </c>
    </row>
    <row r="133" spans="1:23" x14ac:dyDescent="0.2">
      <c r="A133" s="15">
        <v>41719</v>
      </c>
      <c r="B133" s="5">
        <v>155171046278079</v>
      </c>
      <c r="C133" s="5">
        <f>[1]!nefin_factors__1[[#This Row],[Rm_minus_Rf]]/B132-1</f>
        <v>0.18789058354168686</v>
      </c>
      <c r="D133" s="5">
        <v>236019813686104</v>
      </c>
      <c r="E133" s="5">
        <f>[1]!nefin_factors__1[[#This Row],[SMB]]/D132-1</f>
        <v>-0.76262703972955126</v>
      </c>
      <c r="F133" s="5">
        <v>-833302214241607</v>
      </c>
      <c r="G133" s="5">
        <f>[1]!nefin_factors__1[[#This Row],[HML]]/F132-1</f>
        <v>-4.2170349460213998</v>
      </c>
      <c r="H133" s="5">
        <v>403827484164232</v>
      </c>
      <c r="I133" s="6">
        <f>[1]!nefin_factors__1[[#This Row],[Risk_Free]]/H132-1</f>
        <v>0</v>
      </c>
      <c r="J133">
        <v>54281</v>
      </c>
      <c r="K133">
        <v>54393</v>
      </c>
      <c r="L133">
        <v>53363</v>
      </c>
      <c r="M133">
        <v>53426</v>
      </c>
      <c r="N133">
        <v>2953100</v>
      </c>
      <c r="O133">
        <v>53426</v>
      </c>
      <c r="P133">
        <v>-1.5751367881947601E-2</v>
      </c>
      <c r="Q133">
        <v>-1.5876738930094201E-2</v>
      </c>
      <c r="R133" s="8">
        <v>11.3078813552856</v>
      </c>
      <c r="S133" s="8">
        <v>-1.9999941516777399E-2</v>
      </c>
      <c r="T133" s="9">
        <v>-2.0202647640763498E-2</v>
      </c>
      <c r="U133" s="12">
        <v>4.1063000000000002E-2</v>
      </c>
      <c r="V133" s="16">
        <v>2.238</v>
      </c>
      <c r="W133" s="17">
        <f t="shared" si="2"/>
        <v>-6.8341173338066774E-3</v>
      </c>
    </row>
    <row r="134" spans="1:23" x14ac:dyDescent="0.2">
      <c r="A134" s="14">
        <v>41722</v>
      </c>
      <c r="B134" s="3">
        <v>103335537162916</v>
      </c>
      <c r="C134" s="3">
        <f>[1]!nefin_factors__1[[#This Row],[Rm_minus_Rf]]/B133-1</f>
        <v>-0.33405400271819785</v>
      </c>
      <c r="D134" s="3">
        <v>-926949242760983</v>
      </c>
      <c r="E134" s="3">
        <f>[1]!nefin_factors__1[[#This Row],[SMB]]/D133-1</f>
        <v>-4.9274212968991868</v>
      </c>
      <c r="F134" s="3">
        <v>-244896153296544</v>
      </c>
      <c r="G134" s="3">
        <f>[1]!nefin_factors__1[[#This Row],[HML]]/F133-1</f>
        <v>-0.7061136414722895</v>
      </c>
      <c r="H134" s="3">
        <v>40454458277206</v>
      </c>
      <c r="I134" s="4">
        <f>[1]!nefin_factors__1[[#This Row],[Risk_Free]]/H133-1</f>
        <v>-0.89982242451642136</v>
      </c>
      <c r="J134">
        <v>53426</v>
      </c>
      <c r="K134">
        <v>53790</v>
      </c>
      <c r="L134">
        <v>53331</v>
      </c>
      <c r="M134">
        <v>53506</v>
      </c>
      <c r="N134">
        <v>2241300</v>
      </c>
      <c r="O134">
        <v>53506</v>
      </c>
      <c r="P134">
        <v>1.4973982705050999E-3</v>
      </c>
      <c r="Q134">
        <v>1.49627828761574E-3</v>
      </c>
      <c r="R134" s="8">
        <v>11.2501878738403</v>
      </c>
      <c r="S134" s="8">
        <v>-5.1021699719085998E-3</v>
      </c>
      <c r="T134" s="9">
        <v>-5.1152304846972399E-3</v>
      </c>
      <c r="U134" s="12">
        <v>4.1063000000000002E-2</v>
      </c>
      <c r="V134" s="16">
        <v>2.2195</v>
      </c>
      <c r="W134" s="17">
        <f t="shared" si="2"/>
        <v>-8.2663092046469933E-3</v>
      </c>
    </row>
    <row r="135" spans="1:23" x14ac:dyDescent="0.2">
      <c r="A135" s="15">
        <v>41723</v>
      </c>
      <c r="B135" s="5">
        <v>226775956271636</v>
      </c>
      <c r="C135" s="5">
        <f>[1]!nefin_factors__1[[#This Row],[Rm_minus_Rf]]/B134-1</f>
        <v>1.1945592242299683</v>
      </c>
      <c r="D135" s="5">
        <v>-181017371581887</v>
      </c>
      <c r="E135" s="5">
        <f>[1]!nefin_factors__1[[#This Row],[SMB]]/D134-1</f>
        <v>-0.80471706191515502</v>
      </c>
      <c r="F135" s="5">
        <v>448131938094033</v>
      </c>
      <c r="G135" s="5">
        <f>[1]!nefin_factors__1[[#This Row],[HML]]/F134-1</f>
        <v>-2.8298855741984292</v>
      </c>
      <c r="H135" s="5">
        <v>405978393044348</v>
      </c>
      <c r="I135" s="6">
        <f>[1]!nefin_factors__1[[#This Row],[Risk_Free]]/H134-1</f>
        <v>9.0354425774895581</v>
      </c>
      <c r="J135">
        <v>53507</v>
      </c>
      <c r="K135">
        <v>53614</v>
      </c>
      <c r="L135">
        <v>52919</v>
      </c>
      <c r="M135">
        <v>53157</v>
      </c>
      <c r="N135">
        <v>2370800</v>
      </c>
      <c r="O135">
        <v>53157</v>
      </c>
      <c r="P135">
        <v>-6.52263297574107E-3</v>
      </c>
      <c r="Q135">
        <v>-6.54399830234049E-3</v>
      </c>
      <c r="R135" s="8">
        <v>10.8793020248413</v>
      </c>
      <c r="S135" s="8">
        <v>-3.2967125460888001E-2</v>
      </c>
      <c r="T135" s="9">
        <v>-3.3522787685702798E-2</v>
      </c>
      <c r="U135" s="12">
        <v>4.1063000000000002E-2</v>
      </c>
      <c r="V135" s="16">
        <v>2.2216999999999998</v>
      </c>
      <c r="W135" s="17">
        <f t="shared" si="2"/>
        <v>9.9121423744086279E-4</v>
      </c>
    </row>
    <row r="136" spans="1:23" x14ac:dyDescent="0.2">
      <c r="A136" s="14">
        <v>41724</v>
      </c>
      <c r="B136" s="3">
        <v>-237222964637515</v>
      </c>
      <c r="C136" s="3">
        <f>[1]!nefin_factors__1[[#This Row],[Rm_minus_Rf]]/B135-1</f>
        <v>-2.0460675308689487</v>
      </c>
      <c r="D136" s="3">
        <v>-135791288324277</v>
      </c>
      <c r="E136" s="3">
        <f>[1]!nefin_factors__1[[#This Row],[SMB]]/D135-1</f>
        <v>-0.24984388438736682</v>
      </c>
      <c r="F136" s="3">
        <v>-107818289246791</v>
      </c>
      <c r="G136" s="3">
        <f>[1]!nefin_factors__1[[#This Row],[HML]]/F135-1</f>
        <v>-1.2405949678689652</v>
      </c>
      <c r="H136" s="3">
        <v>404903083699226</v>
      </c>
      <c r="I136" s="4">
        <f>[1]!nefin_factors__1[[#This Row],[Risk_Free]]/H135-1</f>
        <v>-2.6486861457293287E-3</v>
      </c>
      <c r="J136">
        <v>53158</v>
      </c>
      <c r="K136">
        <v>53311</v>
      </c>
      <c r="L136">
        <v>52709</v>
      </c>
      <c r="M136">
        <v>53168</v>
      </c>
      <c r="N136">
        <v>2448700</v>
      </c>
      <c r="O136">
        <v>53168</v>
      </c>
      <c r="P136">
        <v>2.06934176119722E-4</v>
      </c>
      <c r="Q136">
        <v>2.0691276819640201E-4</v>
      </c>
      <c r="R136" s="8">
        <v>11.068865776061999</v>
      </c>
      <c r="S136" s="8">
        <v>1.7424373012801E-2</v>
      </c>
      <c r="T136" s="9">
        <v>1.7274309294932899E-2</v>
      </c>
      <c r="U136" s="12">
        <v>4.1063000000000002E-2</v>
      </c>
      <c r="V136" s="16">
        <v>2.2052</v>
      </c>
      <c r="W136" s="17">
        <f t="shared" si="2"/>
        <v>-7.4267452851418669E-3</v>
      </c>
    </row>
    <row r="137" spans="1:23" x14ac:dyDescent="0.2">
      <c r="A137" s="15">
        <v>41725</v>
      </c>
      <c r="B137" s="5">
        <v>298490467510396</v>
      </c>
      <c r="C137" s="5">
        <f>[1]!nefin_factors__1[[#This Row],[Rm_minus_Rf]]/B136-1</f>
        <v>-2.258269695627908</v>
      </c>
      <c r="D137" s="5">
        <v>-406214152756801</v>
      </c>
      <c r="E137" s="5">
        <f>[1]!nefin_factors__1[[#This Row],[SMB]]/D136-1</f>
        <v>1.9914595978111604</v>
      </c>
      <c r="F137" s="5">
        <v>772840312716026</v>
      </c>
      <c r="G137" s="5">
        <f>[1]!nefin_factors__1[[#This Row],[HML]]/F136-1</f>
        <v>-8.1679890129496577</v>
      </c>
      <c r="H137" s="5">
        <v>405619988829597</v>
      </c>
      <c r="I137" s="6">
        <f>[1]!nefin_factors__1[[#This Row],[Risk_Free]]/H136-1</f>
        <v>1.7705598184665217E-3</v>
      </c>
      <c r="J137">
        <v>53170</v>
      </c>
      <c r="K137">
        <v>53698</v>
      </c>
      <c r="L137">
        <v>52887</v>
      </c>
      <c r="M137">
        <v>53171</v>
      </c>
      <c r="N137">
        <v>2693300</v>
      </c>
      <c r="O137">
        <v>53171</v>
      </c>
      <c r="P137">
        <v>5.6424917243447199E-5</v>
      </c>
      <c r="Q137">
        <v>5.6423325417683101E-5</v>
      </c>
      <c r="R137" s="8">
        <v>10.796882629394499</v>
      </c>
      <c r="S137" s="8">
        <v>-2.4571902528146099E-2</v>
      </c>
      <c r="T137" s="9">
        <v>-2.4878830019110499E-2</v>
      </c>
      <c r="U137" s="12">
        <v>4.1063000000000002E-2</v>
      </c>
      <c r="V137" s="16">
        <v>2.2088999999999999</v>
      </c>
      <c r="W137" s="17">
        <f t="shared" si="2"/>
        <v>1.6778523489933139E-3</v>
      </c>
    </row>
    <row r="138" spans="1:23" x14ac:dyDescent="0.2">
      <c r="A138" s="14">
        <v>41726</v>
      </c>
      <c r="B138" s="3">
        <v>62657452565174</v>
      </c>
      <c r="C138" s="3">
        <f>[1]!nefin_factors__1[[#This Row],[Rm_minus_Rf]]/B137-1</f>
        <v>-0.79008558267278084</v>
      </c>
      <c r="D138" s="3">
        <v>764662166258785</v>
      </c>
      <c r="E138" s="3">
        <f>[1]!nefin_factors__1[[#This Row],[SMB]]/D137-1</f>
        <v>-2.8824114351244319</v>
      </c>
      <c r="F138" s="3">
        <v>292379829789364</v>
      </c>
      <c r="G138" s="3">
        <f>[1]!nefin_factors__1[[#This Row],[HML]]/F137-1</f>
        <v>-0.62168144572862538</v>
      </c>
      <c r="H138" s="3">
        <v>405619988829597</v>
      </c>
      <c r="I138" s="4">
        <f>[1]!nefin_factors__1[[#This Row],[Risk_Free]]/H137-1</f>
        <v>0</v>
      </c>
      <c r="J138">
        <v>53171</v>
      </c>
      <c r="K138">
        <v>53245</v>
      </c>
      <c r="L138">
        <v>52735</v>
      </c>
      <c r="M138">
        <v>53029</v>
      </c>
      <c r="N138">
        <v>3156000</v>
      </c>
      <c r="O138">
        <v>53029</v>
      </c>
      <c r="P138">
        <v>-2.6706287261852898E-3</v>
      </c>
      <c r="Q138">
        <v>-2.67420121703054E-3</v>
      </c>
      <c r="R138" s="8">
        <v>10.9205121994019</v>
      </c>
      <c r="S138" s="8">
        <v>1.1450514807936E-2</v>
      </c>
      <c r="T138" s="9">
        <v>1.1385453846547801E-2</v>
      </c>
      <c r="U138" s="12">
        <v>4.1063000000000002E-2</v>
      </c>
      <c r="V138" s="16">
        <v>2.1974999999999998</v>
      </c>
      <c r="W138" s="17">
        <f t="shared" si="2"/>
        <v>-5.1609398343066548E-3</v>
      </c>
    </row>
    <row r="139" spans="1:23" x14ac:dyDescent="0.2">
      <c r="A139" s="15">
        <v>41729</v>
      </c>
      <c r="B139" s="5">
        <v>106071384455011</v>
      </c>
      <c r="C139" s="5">
        <f>[1]!nefin_factors__1[[#This Row],[Rm_minus_Rf]]/B138-1</f>
        <v>0.6928773850912533</v>
      </c>
      <c r="D139" s="5">
        <v>-294732459490525</v>
      </c>
      <c r="E139" s="5">
        <f>[1]!nefin_factors__1[[#This Row],[SMB]]/D138-1</f>
        <v>-1.385441404708885</v>
      </c>
      <c r="F139" s="5">
        <v>747332331156602</v>
      </c>
      <c r="G139" s="5">
        <f>[1]!nefin_factors__1[[#This Row],[HML]]/F138-1</f>
        <v>1.5560324448338125</v>
      </c>
      <c r="H139" s="5">
        <v>405619988829597</v>
      </c>
      <c r="I139" s="6">
        <f>[1]!nefin_factors__1[[#This Row],[Risk_Free]]/H138-1</f>
        <v>0</v>
      </c>
      <c r="J139">
        <v>53029</v>
      </c>
      <c r="K139">
        <v>53877</v>
      </c>
      <c r="L139">
        <v>52760</v>
      </c>
      <c r="M139">
        <v>53875</v>
      </c>
      <c r="N139">
        <v>3302900</v>
      </c>
      <c r="O139">
        <v>53875</v>
      </c>
      <c r="P139">
        <v>1.5953534858285101E-2</v>
      </c>
      <c r="Q139">
        <v>1.5827614703286301E-2</v>
      </c>
      <c r="R139" s="8">
        <v>10.838092803955099</v>
      </c>
      <c r="S139" s="8">
        <v>-7.5471901208393798E-3</v>
      </c>
      <c r="T139" s="9">
        <v>-7.5758142724214996E-3</v>
      </c>
      <c r="U139" s="12">
        <v>4.1063000000000002E-2</v>
      </c>
      <c r="V139" s="16">
        <v>2.2025000000000001</v>
      </c>
      <c r="W139" s="17">
        <f t="shared" si="2"/>
        <v>2.2753128555177415E-3</v>
      </c>
    </row>
    <row r="140" spans="1:23" x14ac:dyDescent="0.2">
      <c r="A140" s="14">
        <v>41730</v>
      </c>
      <c r="B140" s="3">
        <v>-862244090675614</v>
      </c>
      <c r="C140" s="3">
        <f>[1]!nefin_factors__1[[#This Row],[Rm_minus_Rf]]/B139-1</f>
        <v>-9.1289038990654952</v>
      </c>
      <c r="D140" s="3">
        <v>400527339629397</v>
      </c>
      <c r="E140" s="3">
        <f>[1]!nefin_factors__1[[#This Row],[SMB]]/D139-1</f>
        <v>-2.3589522522281703</v>
      </c>
      <c r="F140" s="3">
        <v>-127769570218438</v>
      </c>
      <c r="G140" s="3">
        <f>[1]!nefin_factors__1[[#This Row],[HML]]/F139-1</f>
        <v>-1.1709675399974957</v>
      </c>
      <c r="H140" s="3">
        <v>405978393044348</v>
      </c>
      <c r="I140" s="4">
        <f>[1]!nefin_factors__1[[#This Row],[Risk_Free]]/H139-1</f>
        <v>8.8359603722976132E-4</v>
      </c>
      <c r="J140">
        <v>53892</v>
      </c>
      <c r="K140">
        <v>54086</v>
      </c>
      <c r="L140">
        <v>53703</v>
      </c>
      <c r="M140">
        <v>54055</v>
      </c>
      <c r="N140">
        <v>753800</v>
      </c>
      <c r="O140">
        <v>54055</v>
      </c>
      <c r="P140">
        <v>3.3410672853828598E-3</v>
      </c>
      <c r="Q140">
        <v>3.3354983208228701E-3</v>
      </c>
      <c r="R140" s="8">
        <v>11.085350036621101</v>
      </c>
      <c r="S140" s="8">
        <v>2.2813649646669799E-2</v>
      </c>
      <c r="T140" s="9">
        <v>2.25573097180298E-2</v>
      </c>
      <c r="U140" s="12">
        <v>4.1063000000000002E-2</v>
      </c>
      <c r="V140" s="16">
        <v>2.2054</v>
      </c>
      <c r="W140" s="17">
        <f t="shared" si="2"/>
        <v>1.3166855845629932E-3</v>
      </c>
    </row>
    <row r="141" spans="1:23" x14ac:dyDescent="0.2">
      <c r="A141" s="15">
        <v>41731</v>
      </c>
      <c r="B141" s="5">
        <v>237558508069473</v>
      </c>
      <c r="C141" s="5">
        <f>[1]!nefin_factors__1[[#This Row],[Rm_minus_Rf]]/B140-1</f>
        <v>-1.275511900444958</v>
      </c>
      <c r="D141" s="5">
        <v>-725412776577056</v>
      </c>
      <c r="E141" s="5">
        <f>[1]!nefin_factors__1[[#This Row],[SMB]]/D140-1</f>
        <v>-2.8111442211367432</v>
      </c>
      <c r="F141" s="5">
        <v>905835929882066</v>
      </c>
      <c r="G141" s="5">
        <f>[1]!nefin_factors__1[[#This Row],[HML]]/F140-1</f>
        <v>-8.0896061427883552</v>
      </c>
      <c r="H141" s="5">
        <v>406336765033322</v>
      </c>
      <c r="I141" s="6">
        <f>[1]!nefin_factors__1[[#This Row],[Risk_Free]]/H140-1</f>
        <v>8.8273660646476237E-4</v>
      </c>
      <c r="J141">
        <v>54042</v>
      </c>
      <c r="K141">
        <v>54042</v>
      </c>
      <c r="L141">
        <v>53376</v>
      </c>
      <c r="M141">
        <v>53802</v>
      </c>
      <c r="N141">
        <v>2194500</v>
      </c>
      <c r="O141">
        <v>53802</v>
      </c>
      <c r="P141">
        <v>-4.6804180926833796E-3</v>
      </c>
      <c r="Q141">
        <v>-4.6914055467692098E-3</v>
      </c>
      <c r="R141" s="8">
        <v>10.9617214202881</v>
      </c>
      <c r="S141" s="8">
        <v>-1.1152250646793999E-2</v>
      </c>
      <c r="T141" s="9">
        <v>-1.1214903241160101E-2</v>
      </c>
      <c r="U141" s="12">
        <v>4.1063000000000002E-2</v>
      </c>
      <c r="V141" s="16">
        <v>2.2134</v>
      </c>
      <c r="W141" s="17">
        <f t="shared" si="2"/>
        <v>3.6274598712251471E-3</v>
      </c>
    </row>
    <row r="142" spans="1:23" x14ac:dyDescent="0.2">
      <c r="A142" s="14">
        <v>41732</v>
      </c>
      <c r="B142" s="3">
        <v>-496556614951751</v>
      </c>
      <c r="C142" s="3">
        <f>[1]!nefin_factors__1[[#This Row],[Rm_minus_Rf]]/B141-1</f>
        <v>-3.0902497619935172</v>
      </c>
      <c r="D142" s="3">
        <v>570647272340077</v>
      </c>
      <c r="E142" s="3">
        <f>[1]!nefin_factors__1[[#This Row],[SMB]]/D141-1</f>
        <v>-1.7866518081370748</v>
      </c>
      <c r="F142" s="3">
        <v>-170456052324151</v>
      </c>
      <c r="G142" s="3">
        <f>[1]!nefin_factors__1[[#This Row],[HML]]/F141-1</f>
        <v>-1.1881754153275232</v>
      </c>
      <c r="H142" s="3">
        <v>407411687703085</v>
      </c>
      <c r="I142" s="4">
        <f>[1]!nefin_factors__1[[#This Row],[Risk_Free]]/H141-1</f>
        <v>2.6453985025816085E-3</v>
      </c>
      <c r="J142">
        <v>53814</v>
      </c>
      <c r="K142">
        <v>53905</v>
      </c>
      <c r="L142">
        <v>53459</v>
      </c>
      <c r="M142">
        <v>53635</v>
      </c>
      <c r="N142">
        <v>1854600</v>
      </c>
      <c r="O142">
        <v>53635</v>
      </c>
      <c r="P142">
        <v>-3.1039738299691901E-3</v>
      </c>
      <c r="Q142">
        <v>-3.1088011485729799E-3</v>
      </c>
      <c r="R142" s="8">
        <v>10.673254966735801</v>
      </c>
      <c r="S142" s="8">
        <v>-2.6315857410577698E-2</v>
      </c>
      <c r="T142" s="9">
        <v>-2.66683168551895E-2</v>
      </c>
      <c r="U142" s="12">
        <v>4.1063000000000002E-2</v>
      </c>
      <c r="V142" s="16">
        <v>2.2281</v>
      </c>
      <c r="W142" s="17">
        <f t="shared" si="2"/>
        <v>6.6413662239088733E-3</v>
      </c>
    </row>
    <row r="143" spans="1:23" x14ac:dyDescent="0.2">
      <c r="A143" s="15">
        <v>41733</v>
      </c>
      <c r="B143" s="5">
        <v>-72188253564502</v>
      </c>
      <c r="C143" s="5">
        <f>[1]!nefin_factors__1[[#This Row],[Rm_minus_Rf]]/B142-1</f>
        <v>-0.8546223101437963</v>
      </c>
      <c r="D143" s="5">
        <v>221494385155917</v>
      </c>
      <c r="E143" s="5">
        <f>[1]!nefin_factors__1[[#This Row],[SMB]]/D142-1</f>
        <v>-0.61185412444428977</v>
      </c>
      <c r="F143" s="5">
        <v>795865871887511</v>
      </c>
      <c r="G143" s="5">
        <f>[1]!nefin_factors__1[[#This Row],[HML]]/F142-1</f>
        <v>-5.6690385060310886</v>
      </c>
      <c r="H143" s="5">
        <v>407411687703085</v>
      </c>
      <c r="I143" s="6">
        <f>[1]!nefin_factors__1[[#This Row],[Risk_Free]]/H142-1</f>
        <v>0</v>
      </c>
      <c r="J143">
        <v>53643</v>
      </c>
      <c r="K143">
        <v>54600</v>
      </c>
      <c r="L143">
        <v>53643</v>
      </c>
      <c r="M143">
        <v>54593</v>
      </c>
      <c r="N143">
        <v>4720300</v>
      </c>
      <c r="O143">
        <v>54593</v>
      </c>
      <c r="P143">
        <v>1.78614710543488E-2</v>
      </c>
      <c r="Q143">
        <v>1.7703829354281699E-2</v>
      </c>
      <c r="R143" s="8">
        <v>10.6485290527344</v>
      </c>
      <c r="S143" s="8">
        <v>-2.3168939914943701E-3</v>
      </c>
      <c r="T143" s="9">
        <v>-2.3195821432894399E-3</v>
      </c>
      <c r="U143" s="12">
        <v>4.1063000000000002E-2</v>
      </c>
      <c r="V143" s="16">
        <v>2.2149000000000001</v>
      </c>
      <c r="W143" s="17">
        <f t="shared" si="2"/>
        <v>-5.9243301467617471E-3</v>
      </c>
    </row>
    <row r="144" spans="1:23" x14ac:dyDescent="0.2">
      <c r="A144" s="14">
        <v>41736</v>
      </c>
      <c r="B144" s="3">
        <v>157391686666807</v>
      </c>
      <c r="C144" s="3">
        <f>[1]!nefin_factors__1[[#This Row],[Rm_minus_Rf]]/B143-1</f>
        <v>-3.1802949773008931</v>
      </c>
      <c r="D144" s="3">
        <v>-125844628082017</v>
      </c>
      <c r="E144" s="3">
        <f>[1]!nefin_factors__1[[#This Row],[SMB]]/D143-1</f>
        <v>-1.5681617075459089</v>
      </c>
      <c r="F144" s="3">
        <v>134307357127618</v>
      </c>
      <c r="G144" s="3">
        <f>[1]!nefin_factors__1[[#This Row],[HML]]/F143-1</f>
        <v>-0.83124372853293904</v>
      </c>
      <c r="H144" s="3">
        <v>407411687703085</v>
      </c>
      <c r="I144" s="4">
        <f>[1]!nefin_factors__1[[#This Row],[Risk_Free]]/H143-1</f>
        <v>0</v>
      </c>
      <c r="J144">
        <v>54593</v>
      </c>
      <c r="K144">
        <v>54952</v>
      </c>
      <c r="L144">
        <v>54320</v>
      </c>
      <c r="M144">
        <v>54786</v>
      </c>
      <c r="N144">
        <v>3377200</v>
      </c>
      <c r="O144">
        <v>54786</v>
      </c>
      <c r="P144">
        <v>3.5352517722051502E-3</v>
      </c>
      <c r="Q144">
        <v>3.5290174585836799E-3</v>
      </c>
      <c r="R144" s="8">
        <v>10.6320447921753</v>
      </c>
      <c r="S144" s="8">
        <v>-1.5478081899423801E-3</v>
      </c>
      <c r="T144" s="9">
        <v>-1.54900728250873E-3</v>
      </c>
      <c r="U144" s="12">
        <v>4.1063000000000002E-2</v>
      </c>
      <c r="V144" s="16">
        <v>2.2201</v>
      </c>
      <c r="W144" s="17">
        <f t="shared" si="2"/>
        <v>2.347735789426153E-3</v>
      </c>
    </row>
    <row r="145" spans="1:23" x14ac:dyDescent="0.2">
      <c r="A145" s="15">
        <v>41737</v>
      </c>
      <c r="B145" s="5">
        <v>-100508143507716</v>
      </c>
      <c r="C145" s="5">
        <f>[1]!nefin_factors__1[[#This Row],[Rm_minus_Rf]]/B144-1</f>
        <v>-1.6385861009323093</v>
      </c>
      <c r="D145" s="5">
        <v>191964058764642</v>
      </c>
      <c r="E145" s="5">
        <f>[1]!nefin_factors__1[[#This Row],[SMB]]/D144-1</f>
        <v>-2.5254052691032056</v>
      </c>
      <c r="F145" s="5">
        <v>-11440631358861</v>
      </c>
      <c r="G145" s="5">
        <f>[1]!nefin_factors__1[[#This Row],[HML]]/F144-1</f>
        <v>-1.0851824621043669</v>
      </c>
      <c r="H145" s="5">
        <v>407411687703085</v>
      </c>
      <c r="I145" s="6">
        <f>[1]!nefin_factors__1[[#This Row],[Risk_Free]]/H144-1</f>
        <v>0</v>
      </c>
      <c r="J145">
        <v>54786</v>
      </c>
      <c r="K145">
        <v>55896</v>
      </c>
      <c r="L145">
        <v>54786</v>
      </c>
      <c r="M145">
        <v>55744</v>
      </c>
      <c r="N145">
        <v>4170300</v>
      </c>
      <c r="O145">
        <v>55744</v>
      </c>
      <c r="P145">
        <v>1.7486219107070999E-2</v>
      </c>
      <c r="Q145">
        <v>1.7335094367779399E-2</v>
      </c>
      <c r="R145" s="8">
        <v>11.044139862060501</v>
      </c>
      <c r="S145" s="8">
        <v>3.8759694683933497E-2</v>
      </c>
      <c r="T145" s="9">
        <v>3.8027400173025999E-2</v>
      </c>
      <c r="U145" s="12">
        <v>4.1063000000000002E-2</v>
      </c>
      <c r="V145" s="16">
        <v>2.2149999999999999</v>
      </c>
      <c r="W145" s="17">
        <f t="shared" si="2"/>
        <v>-2.2971938200981867E-3</v>
      </c>
    </row>
    <row r="146" spans="1:23" x14ac:dyDescent="0.2">
      <c r="A146" s="14">
        <v>41738</v>
      </c>
      <c r="B146" s="3">
        <v>-671839325436035</v>
      </c>
      <c r="C146" s="3">
        <f>[1]!nefin_factors__1[[#This Row],[Rm_minus_Rf]]/B145-1</f>
        <v>5.6844267736818557</v>
      </c>
      <c r="D146" s="3">
        <v>792019843268415</v>
      </c>
      <c r="E146" s="3">
        <f>[1]!nefin_factors__1[[#This Row],[SMB]]/D145-1</f>
        <v>3.1258756892584403</v>
      </c>
      <c r="F146" s="3">
        <v>-117490330284878</v>
      </c>
      <c r="G146" s="3">
        <f>[1]!nefin_factors__1[[#This Row],[HML]]/F145-1</f>
        <v>9.2695670019888698</v>
      </c>
      <c r="H146" s="3">
        <v>407411687703085</v>
      </c>
      <c r="I146" s="4">
        <f>[1]!nefin_factors__1[[#This Row],[Risk_Free]]/H145-1</f>
        <v>0</v>
      </c>
      <c r="J146">
        <v>55742</v>
      </c>
      <c r="K146">
        <v>56107</v>
      </c>
      <c r="L146">
        <v>55629</v>
      </c>
      <c r="M146">
        <v>55974</v>
      </c>
      <c r="N146">
        <v>3222300</v>
      </c>
      <c r="O146">
        <v>55974</v>
      </c>
      <c r="P146">
        <v>4.1260045924225199E-3</v>
      </c>
      <c r="Q146">
        <v>4.1175159768413998E-3</v>
      </c>
      <c r="R146" s="8">
        <v>11.200736045837401</v>
      </c>
      <c r="S146" s="8">
        <v>1.4178985921733601E-2</v>
      </c>
      <c r="T146" s="9">
        <v>1.40794043078156E-2</v>
      </c>
      <c r="U146" s="12">
        <v>4.1063000000000002E-2</v>
      </c>
      <c r="V146" s="16">
        <v>2.2139000000000002</v>
      </c>
      <c r="W146" s="17">
        <f t="shared" si="2"/>
        <v>-4.9661399548517338E-4</v>
      </c>
    </row>
    <row r="147" spans="1:23" x14ac:dyDescent="0.2">
      <c r="A147" s="15">
        <v>41739</v>
      </c>
      <c r="B147" s="5">
        <v>132251074816915</v>
      </c>
      <c r="C147" s="5">
        <f>[1]!nefin_factors__1[[#This Row],[Rm_minus_Rf]]/B146-1</f>
        <v>-1.196849261140053</v>
      </c>
      <c r="D147" s="5">
        <v>-959314191641959</v>
      </c>
      <c r="E147" s="5">
        <f>[1]!nefin_factors__1[[#This Row],[SMB]]/D146-1</f>
        <v>-2.2112249456821349</v>
      </c>
      <c r="F147" s="5">
        <v>-154165754854278</v>
      </c>
      <c r="G147" s="5">
        <f>[1]!nefin_factors__1[[#This Row],[HML]]/F146-1</f>
        <v>0.31215696202805243</v>
      </c>
      <c r="H147" s="5">
        <v>407411687703085</v>
      </c>
      <c r="I147" s="6">
        <f>[1]!nefin_factors__1[[#This Row],[Risk_Free]]/H146-1</f>
        <v>0</v>
      </c>
      <c r="J147">
        <v>55973</v>
      </c>
      <c r="K147">
        <v>56332</v>
      </c>
      <c r="L147">
        <v>55573</v>
      </c>
      <c r="M147">
        <v>55717</v>
      </c>
      <c r="N147">
        <v>4094500</v>
      </c>
      <c r="O147">
        <v>55717</v>
      </c>
      <c r="P147">
        <v>-4.5914174438132001E-3</v>
      </c>
      <c r="Q147">
        <v>-4.6019903764629496E-3</v>
      </c>
      <c r="R147" s="8">
        <v>11.2913970947266</v>
      </c>
      <c r="S147" s="8">
        <v>8.0943656614966795E-3</v>
      </c>
      <c r="T147" s="9">
        <v>8.0617819950797708E-3</v>
      </c>
      <c r="U147" s="12">
        <v>4.1063000000000002E-2</v>
      </c>
      <c r="V147" s="16">
        <v>2.2237</v>
      </c>
      <c r="W147" s="17">
        <f t="shared" si="2"/>
        <v>4.4265775328604651E-3</v>
      </c>
    </row>
    <row r="148" spans="1:23" x14ac:dyDescent="0.2">
      <c r="A148" s="14">
        <v>41740</v>
      </c>
      <c r="B148" s="3">
        <v>148006430194387</v>
      </c>
      <c r="C148" s="3">
        <f>[1]!nefin_factors__1[[#This Row],[Rm_minus_Rf]]/B147-1</f>
        <v>0.11913215374077901</v>
      </c>
      <c r="D148" s="3">
        <v>-109011884183868</v>
      </c>
      <c r="E148" s="3">
        <f>[1]!nefin_factors__1[[#This Row],[SMB]]/D147-1</f>
        <v>-0.88636477482180931</v>
      </c>
      <c r="F148" s="3">
        <v>-369093238671953</v>
      </c>
      <c r="G148" s="3">
        <f>[1]!nefin_factors__1[[#This Row],[HML]]/F147-1</f>
        <v>1.3941324648968298</v>
      </c>
      <c r="H148" s="3">
        <v>407411687703085</v>
      </c>
      <c r="I148" s="4">
        <f>[1]!nefin_factors__1[[#This Row],[Risk_Free]]/H147-1</f>
        <v>0</v>
      </c>
      <c r="J148">
        <v>55712</v>
      </c>
      <c r="K148">
        <v>56190</v>
      </c>
      <c r="L148">
        <v>55237</v>
      </c>
      <c r="M148">
        <v>55638</v>
      </c>
      <c r="N148">
        <v>3975700</v>
      </c>
      <c r="O148">
        <v>55638</v>
      </c>
      <c r="P148">
        <v>-1.41787964176099E-3</v>
      </c>
      <c r="Q148">
        <v>-1.4188857842720301E-3</v>
      </c>
      <c r="R148" s="8">
        <v>11.7034921646118</v>
      </c>
      <c r="S148" s="8">
        <v>3.64962560824202E-2</v>
      </c>
      <c r="T148" s="9">
        <v>3.5846040810396301E-2</v>
      </c>
      <c r="U148" s="12">
        <v>4.1063000000000002E-2</v>
      </c>
      <c r="V148" s="16">
        <v>2.2227999999999999</v>
      </c>
      <c r="W148" s="17">
        <f t="shared" si="2"/>
        <v>-4.0473085398218256E-4</v>
      </c>
    </row>
    <row r="149" spans="1:23" x14ac:dyDescent="0.2">
      <c r="A149" s="15">
        <v>41743</v>
      </c>
      <c r="B149" s="5">
        <v>-486293698324044</v>
      </c>
      <c r="C149" s="5">
        <f>[1]!nefin_factors__1[[#This Row],[Rm_minus_Rf]]/B148-1</f>
        <v>-4.2856254804967673</v>
      </c>
      <c r="D149" s="5">
        <v>207627447211475</v>
      </c>
      <c r="E149" s="5">
        <f>[1]!nefin_factors__1[[#This Row],[SMB]]/D148-1</f>
        <v>-2.9046313047967711</v>
      </c>
      <c r="F149" s="5">
        <v>-112758956543938</v>
      </c>
      <c r="G149" s="5">
        <f>[1]!nefin_factors__1[[#This Row],[HML]]/F148-1</f>
        <v>-0.69449736616780122</v>
      </c>
      <c r="H149" s="5">
        <v>407411687703085</v>
      </c>
      <c r="I149" s="6">
        <f>[1]!nefin_factors__1[[#This Row],[Risk_Free]]/H148-1</f>
        <v>0</v>
      </c>
      <c r="J149">
        <v>55639</v>
      </c>
      <c r="K149">
        <v>57484</v>
      </c>
      <c r="L149">
        <v>55639</v>
      </c>
      <c r="M149">
        <v>57013</v>
      </c>
      <c r="N149">
        <v>5296300</v>
      </c>
      <c r="O149">
        <v>57013</v>
      </c>
      <c r="P149">
        <v>2.4713325425069099E-2</v>
      </c>
      <c r="Q149">
        <v>2.4412890959795999E-2</v>
      </c>
      <c r="R149" s="8">
        <v>12.115587234497101</v>
      </c>
      <c r="S149" s="8">
        <v>3.5211272845026703E-2</v>
      </c>
      <c r="T149" s="9">
        <v>3.4605534238657802E-2</v>
      </c>
      <c r="U149" s="12">
        <v>4.1063000000000002E-2</v>
      </c>
      <c r="V149" s="16">
        <v>2.2176</v>
      </c>
      <c r="W149" s="17">
        <f t="shared" si="2"/>
        <v>-2.3393917581427948E-3</v>
      </c>
    </row>
    <row r="150" spans="1:23" x14ac:dyDescent="0.2">
      <c r="A150" s="14">
        <v>41744</v>
      </c>
      <c r="B150" s="3">
        <v>-175469421966981</v>
      </c>
      <c r="C150" s="3">
        <f>[1]!nefin_factors__1[[#This Row],[Rm_minus_Rf]]/B149-1</f>
        <v>-0.63916986263298003</v>
      </c>
      <c r="D150" s="3">
        <v>-308008941377215</v>
      </c>
      <c r="E150" s="3">
        <f>[1]!nefin_factors__1[[#This Row],[SMB]]/D149-1</f>
        <v>-2.4834692884486431</v>
      </c>
      <c r="F150" s="3">
        <v>-155377712244992</v>
      </c>
      <c r="G150" s="3">
        <f>[1]!nefin_factors__1[[#This Row],[HML]]/F149-1</f>
        <v>0.37796337432802551</v>
      </c>
      <c r="H150" s="3">
        <v>407411687703085</v>
      </c>
      <c r="I150" s="4">
        <f>[1]!nefin_factors__1[[#This Row],[Risk_Free]]/H149-1</f>
        <v>0</v>
      </c>
      <c r="J150">
        <v>57014</v>
      </c>
      <c r="K150">
        <v>57756</v>
      </c>
      <c r="L150">
        <v>56864</v>
      </c>
      <c r="M150">
        <v>57634</v>
      </c>
      <c r="N150">
        <v>3034800</v>
      </c>
      <c r="O150">
        <v>57634</v>
      </c>
      <c r="P150">
        <v>1.0892252644133699E-2</v>
      </c>
      <c r="Q150">
        <v>1.08333593282818E-2</v>
      </c>
      <c r="R150" s="8">
        <v>11.9507493972778</v>
      </c>
      <c r="S150" s="8">
        <v>-1.36054800668775E-2</v>
      </c>
      <c r="T150" s="9">
        <v>-1.3698882770790099E-2</v>
      </c>
      <c r="U150" s="12">
        <v>4.1063000000000002E-2</v>
      </c>
      <c r="V150" s="16">
        <v>2.2195</v>
      </c>
      <c r="W150" s="17">
        <f t="shared" si="2"/>
        <v>8.5678210678219457E-4</v>
      </c>
    </row>
    <row r="151" spans="1:23" x14ac:dyDescent="0.2">
      <c r="A151" s="15">
        <v>41745</v>
      </c>
      <c r="B151" s="5">
        <v>14175770345175</v>
      </c>
      <c r="C151" s="5">
        <f>[1]!nefin_factors__1[[#This Row],[Rm_minus_Rf]]/B150-1</f>
        <v>-1.0807876961482357</v>
      </c>
      <c r="D151" s="5">
        <v>-345696595947247</v>
      </c>
      <c r="E151" s="5">
        <f>[1]!nefin_factors__1[[#This Row],[SMB]]/D150-1</f>
        <v>0.12235896270256763</v>
      </c>
      <c r="F151" s="5">
        <v>28208399012987</v>
      </c>
      <c r="G151" s="5">
        <f>[1]!nefin_factors__1[[#This Row],[HML]]/F150-1</f>
        <v>-1.1815472670141349</v>
      </c>
      <c r="H151" s="5">
        <v>407411687703085</v>
      </c>
      <c r="I151" s="6">
        <f>[1]!nefin_factors__1[[#This Row],[Risk_Free]]/H150-1</f>
        <v>0</v>
      </c>
      <c r="J151">
        <v>57636</v>
      </c>
      <c r="K151">
        <v>58138</v>
      </c>
      <c r="L151">
        <v>57500</v>
      </c>
      <c r="M151">
        <v>57983</v>
      </c>
      <c r="N151">
        <v>3010300</v>
      </c>
      <c r="O151">
        <v>57983</v>
      </c>
      <c r="P151">
        <v>6.0554533782142296E-3</v>
      </c>
      <c r="Q151">
        <v>6.0371928007105103E-3</v>
      </c>
      <c r="R151" s="8">
        <v>11.827119827270501</v>
      </c>
      <c r="S151" s="8">
        <v>-1.0344674642842199E-2</v>
      </c>
      <c r="T151" s="9">
        <v>-1.03985526788347E-2</v>
      </c>
      <c r="U151" s="12">
        <v>4.1063000000000002E-2</v>
      </c>
      <c r="V151" s="16">
        <v>2.2193000000000001</v>
      </c>
      <c r="W151" s="17">
        <f t="shared" si="2"/>
        <v>-9.0110385221886524E-5</v>
      </c>
    </row>
    <row r="152" spans="1:23" x14ac:dyDescent="0.2">
      <c r="A152" s="14">
        <v>41746</v>
      </c>
      <c r="B152" s="3">
        <v>143597617365495</v>
      </c>
      <c r="C152" s="3">
        <f>[1]!nefin_factors__1[[#This Row],[Rm_minus_Rf]]/B151-1</f>
        <v>9.1297928697307977</v>
      </c>
      <c r="D152" s="3">
        <v>-105013638402615</v>
      </c>
      <c r="E152" s="3">
        <f>[1]!nefin_factors__1[[#This Row],[SMB]]/D151-1</f>
        <v>-0.696225998075376</v>
      </c>
      <c r="F152" s="3">
        <v>818431056676789</v>
      </c>
      <c r="G152" s="3">
        <f>[1]!nefin_factors__1[[#This Row],[HML]]/F151-1</f>
        <v>28.01373652223182</v>
      </c>
      <c r="H152" s="3">
        <v>407769930846458</v>
      </c>
      <c r="I152" s="4">
        <f>[1]!nefin_factors__1[[#This Row],[Risk_Free]]/H151-1</f>
        <v>8.7931484094805334E-4</v>
      </c>
      <c r="J152">
        <v>57983</v>
      </c>
      <c r="K152">
        <v>57983</v>
      </c>
      <c r="L152">
        <v>57142</v>
      </c>
      <c r="M152">
        <v>57420</v>
      </c>
      <c r="N152">
        <v>2735100</v>
      </c>
      <c r="O152">
        <v>57420</v>
      </c>
      <c r="P152">
        <v>-9.7097425107358602E-3</v>
      </c>
      <c r="Q152">
        <v>-9.7571894420145303E-3</v>
      </c>
      <c r="R152" s="8">
        <v>11.6375570297241</v>
      </c>
      <c r="S152" s="8">
        <v>-1.60279909610987E-2</v>
      </c>
      <c r="T152" s="9">
        <v>-1.6157828433159199E-2</v>
      </c>
      <c r="U152" s="12">
        <v>4.1063000000000002E-2</v>
      </c>
      <c r="V152" s="16">
        <v>2.2403</v>
      </c>
      <c r="W152" s="17">
        <f t="shared" si="2"/>
        <v>9.4624431126930642E-3</v>
      </c>
    </row>
    <row r="153" spans="1:23" x14ac:dyDescent="0.2">
      <c r="A153" s="15">
        <v>41751</v>
      </c>
      <c r="B153" s="5">
        <v>422787281978804</v>
      </c>
      <c r="C153" s="5">
        <f>[1]!nefin_factors__1[[#This Row],[Rm_minus_Rf]]/B152-1</f>
        <v>1.9442499794595851</v>
      </c>
      <c r="D153" s="5">
        <v>-288455007351496</v>
      </c>
      <c r="E153" s="5">
        <f>[1]!nefin_factors__1[[#This Row],[SMB]]/D152-1</f>
        <v>1.7468337612070877</v>
      </c>
      <c r="F153" s="5">
        <v>278256492345539</v>
      </c>
      <c r="G153" s="5">
        <f>[1]!nefin_factors__1[[#This Row],[HML]]/F152-1</f>
        <v>-0.66001230027194979</v>
      </c>
      <c r="H153" s="5">
        <v>407769930846458</v>
      </c>
      <c r="I153" s="6">
        <f>[1]!nefin_factors__1[[#This Row],[Risk_Free]]/H152-1</f>
        <v>0</v>
      </c>
      <c r="J153">
        <v>57420</v>
      </c>
      <c r="K153">
        <v>58122</v>
      </c>
      <c r="L153">
        <v>57357</v>
      </c>
      <c r="M153">
        <v>57978</v>
      </c>
      <c r="N153">
        <v>3040100</v>
      </c>
      <c r="O153">
        <v>57978</v>
      </c>
      <c r="P153">
        <v>9.7178683385579206E-3</v>
      </c>
      <c r="Q153">
        <v>9.6709535523085005E-3</v>
      </c>
      <c r="R153" s="8">
        <v>11.695249557495099</v>
      </c>
      <c r="S153" s="8">
        <v>4.9574460782109099E-3</v>
      </c>
      <c r="T153" s="9">
        <v>4.9451984038469503E-3</v>
      </c>
      <c r="U153" s="12">
        <v>4.1063000000000002E-2</v>
      </c>
      <c r="V153" s="16">
        <v>2.2362000000000002</v>
      </c>
      <c r="W153" s="17">
        <f t="shared" si="2"/>
        <v>-1.8301120385662006E-3</v>
      </c>
    </row>
    <row r="154" spans="1:23" x14ac:dyDescent="0.2">
      <c r="A154" s="14">
        <v>41752</v>
      </c>
      <c r="B154" s="3">
        <v>-833816357514354</v>
      </c>
      <c r="C154" s="3">
        <f>[1]!nefin_factors__1[[#This Row],[Rm_minus_Rf]]/B153-1</f>
        <v>-2.9721888359833786</v>
      </c>
      <c r="D154" s="3">
        <v>-333958309884679</v>
      </c>
      <c r="E154" s="3">
        <f>[1]!nefin_factors__1[[#This Row],[SMB]]/D153-1</f>
        <v>0.15774835372413931</v>
      </c>
      <c r="F154" s="3">
        <v>329909741212043</v>
      </c>
      <c r="G154" s="3">
        <f>[1]!nefin_factors__1[[#This Row],[HML]]/F153-1</f>
        <v>0.18563178321949447</v>
      </c>
      <c r="H154" s="3">
        <v>407411687703085</v>
      </c>
      <c r="I154" s="4">
        <f>[1]!nefin_factors__1[[#This Row],[Risk_Free]]/H153-1</f>
        <v>-8.7854232564266166E-4</v>
      </c>
      <c r="J154">
        <v>57978</v>
      </c>
      <c r="K154">
        <v>58069</v>
      </c>
      <c r="L154">
        <v>57648</v>
      </c>
      <c r="M154">
        <v>57821</v>
      </c>
      <c r="N154">
        <v>2422200</v>
      </c>
      <c r="O154">
        <v>57821</v>
      </c>
      <c r="P154">
        <v>-2.7079236951946801E-3</v>
      </c>
      <c r="Q154">
        <v>-2.7115967529694599E-3</v>
      </c>
      <c r="R154" s="8">
        <v>11.9507493972778</v>
      </c>
      <c r="S154" s="8">
        <v>2.1846395671371501E-2</v>
      </c>
      <c r="T154" s="9">
        <v>2.1611182708146898E-2</v>
      </c>
      <c r="U154" s="12">
        <v>4.1063000000000002E-2</v>
      </c>
      <c r="V154" s="16">
        <v>2.2238000000000002</v>
      </c>
      <c r="W154" s="17">
        <f t="shared" si="2"/>
        <v>-5.5451211877292073E-3</v>
      </c>
    </row>
    <row r="155" spans="1:23" x14ac:dyDescent="0.2">
      <c r="A155" s="15">
        <v>41753</v>
      </c>
      <c r="B155" s="5">
        <v>149693040253719</v>
      </c>
      <c r="C155" s="5">
        <f>[1]!nefin_factors__1[[#This Row],[Rm_minus_Rf]]/B154-1</f>
        <v>-1.1795275889045413</v>
      </c>
      <c r="D155" s="5">
        <v>-176502437798362</v>
      </c>
      <c r="E155" s="5">
        <f>[1]!nefin_factors__1[[#This Row],[SMB]]/D154-1</f>
        <v>-0.47148361764283975</v>
      </c>
      <c r="F155" s="5">
        <v>476033247319604</v>
      </c>
      <c r="G155" s="5">
        <f>[1]!nefin_factors__1[[#This Row],[HML]]/F154-1</f>
        <v>0.44291964696381303</v>
      </c>
      <c r="H155" s="5">
        <v>407769930846458</v>
      </c>
      <c r="I155" s="6">
        <f>[1]!nefin_factors__1[[#This Row],[Risk_Free]]/H154-1</f>
        <v>8.7931484094805334E-4</v>
      </c>
      <c r="J155">
        <v>57823</v>
      </c>
      <c r="K155">
        <v>58040</v>
      </c>
      <c r="L155">
        <v>57415</v>
      </c>
      <c r="M155">
        <v>57696</v>
      </c>
      <c r="N155">
        <v>2366800</v>
      </c>
      <c r="O155">
        <v>57696</v>
      </c>
      <c r="P155">
        <v>-2.1618443126200102E-3</v>
      </c>
      <c r="Q155">
        <v>-2.1641844713502102E-3</v>
      </c>
      <c r="R155" s="8">
        <v>11.7859106063843</v>
      </c>
      <c r="S155" s="8">
        <v>-1.379305131563E-2</v>
      </c>
      <c r="T155" s="9">
        <v>-1.38890592988948E-2</v>
      </c>
      <c r="U155" s="12">
        <v>4.1063000000000002E-2</v>
      </c>
      <c r="V155" s="16">
        <v>2.2128999999999999</v>
      </c>
      <c r="W155" s="17">
        <f t="shared" si="2"/>
        <v>-4.9015199208563009E-3</v>
      </c>
    </row>
    <row r="156" spans="1:23" x14ac:dyDescent="0.2">
      <c r="A156" s="14">
        <v>41754</v>
      </c>
      <c r="B156" s="3">
        <v>-685571911467882</v>
      </c>
      <c r="C156" s="3">
        <f>[1]!nefin_factors__1[[#This Row],[Rm_minus_Rf]]/B155-1</f>
        <v>-5.5798516103747149</v>
      </c>
      <c r="D156" s="3">
        <v>-110921776548734</v>
      </c>
      <c r="E156" s="3">
        <f>[1]!nefin_factors__1[[#This Row],[SMB]]/D155-1</f>
        <v>-0.37155668821156995</v>
      </c>
      <c r="F156" s="3">
        <v>-668097823089071</v>
      </c>
      <c r="G156" s="3">
        <f>[1]!nefin_factors__1[[#This Row],[HML]]/F155-1</f>
        <v>-2.4034688267067965</v>
      </c>
      <c r="H156" s="3">
        <v>407411687703085</v>
      </c>
      <c r="I156" s="4">
        <f>[1]!nefin_factors__1[[#This Row],[Risk_Free]]/H155-1</f>
        <v>-8.7854232564266166E-4</v>
      </c>
      <c r="J156">
        <v>57697</v>
      </c>
      <c r="K156">
        <v>58013</v>
      </c>
      <c r="L156">
        <v>57083</v>
      </c>
      <c r="M156">
        <v>57119</v>
      </c>
      <c r="N156">
        <v>2702100</v>
      </c>
      <c r="O156">
        <v>57119</v>
      </c>
      <c r="P156">
        <v>-1.00006932889628E-2</v>
      </c>
      <c r="Q156">
        <v>-1.00510361456283E-2</v>
      </c>
      <c r="R156" s="8">
        <v>11.6457986831665</v>
      </c>
      <c r="S156" s="8">
        <v>-1.18881632935008E-2</v>
      </c>
      <c r="T156" s="9">
        <v>-1.1959392593281199E-2</v>
      </c>
      <c r="U156" s="12">
        <v>4.1063000000000002E-2</v>
      </c>
      <c r="V156" s="16">
        <v>2.2202000000000002</v>
      </c>
      <c r="W156" s="17">
        <f t="shared" si="2"/>
        <v>3.298838628044809E-3</v>
      </c>
    </row>
    <row r="157" spans="1:23" x14ac:dyDescent="0.2">
      <c r="A157" s="15">
        <v>41757</v>
      </c>
      <c r="B157" s="5">
        <v>379168648101244</v>
      </c>
      <c r="C157" s="5">
        <f>[1]!nefin_factors__1[[#This Row],[Rm_minus_Rf]]/B156-1</f>
        <v>-1.5530691117280517</v>
      </c>
      <c r="D157" s="5">
        <v>-364039166928268</v>
      </c>
      <c r="E157" s="5">
        <f>[1]!nefin_factors__1[[#This Row],[SMB]]/D156-1</f>
        <v>2.2819449728911048</v>
      </c>
      <c r="F157" s="5">
        <v>-86804157364495</v>
      </c>
      <c r="G157" s="5">
        <f>[1]!nefin_factors__1[[#This Row],[HML]]/F156-1</f>
        <v>-0.87007268342360367</v>
      </c>
      <c r="H157" s="5">
        <v>407769930846458</v>
      </c>
      <c r="I157" s="6">
        <f>[1]!nefin_factors__1[[#This Row],[Risk_Free]]/H156-1</f>
        <v>8.7931484094805334E-4</v>
      </c>
      <c r="J157">
        <v>57119</v>
      </c>
      <c r="K157">
        <v>57439</v>
      </c>
      <c r="L157">
        <v>56706</v>
      </c>
      <c r="M157">
        <v>56878</v>
      </c>
      <c r="N157">
        <v>2446200</v>
      </c>
      <c r="O157">
        <v>56878</v>
      </c>
      <c r="P157">
        <v>-4.2192615416936103E-3</v>
      </c>
      <c r="Q157">
        <v>-4.2281877425040899E-3</v>
      </c>
      <c r="R157" s="8">
        <v>11.9342651367188</v>
      </c>
      <c r="S157" s="8">
        <v>2.4769969375980201E-2</v>
      </c>
      <c r="T157" s="9">
        <v>2.4468167283413E-2</v>
      </c>
      <c r="U157" s="12">
        <v>4.1063000000000002E-2</v>
      </c>
      <c r="V157" s="16">
        <v>2.2204000000000002</v>
      </c>
      <c r="W157" s="17">
        <f t="shared" si="2"/>
        <v>9.0081974596811776E-5</v>
      </c>
    </row>
    <row r="158" spans="1:23" x14ac:dyDescent="0.2">
      <c r="A158" s="14">
        <v>41758</v>
      </c>
      <c r="B158" s="3">
        <v>320446755424512</v>
      </c>
      <c r="C158" s="3">
        <f>[1]!nefin_factors__1[[#This Row],[Rm_minus_Rf]]/B157-1</f>
        <v>-0.15487011642653625</v>
      </c>
      <c r="D158" s="3">
        <v>-395918209963151</v>
      </c>
      <c r="E158" s="3">
        <f>[1]!nefin_factors__1[[#This Row],[SMB]]/D157-1</f>
        <v>8.7570365858914867E-2</v>
      </c>
      <c r="F158" s="3">
        <v>-511145937854874</v>
      </c>
      <c r="G158" s="3">
        <f>[1]!nefin_factors__1[[#This Row],[HML]]/F157-1</f>
        <v>4.8884960510421944</v>
      </c>
      <c r="H158" s="3">
        <v>407769930846458</v>
      </c>
      <c r="I158" s="4">
        <f>[1]!nefin_factors__1[[#This Row],[Risk_Free]]/H157-1</f>
        <v>0</v>
      </c>
      <c r="J158">
        <v>56878</v>
      </c>
      <c r="K158">
        <v>56878</v>
      </c>
      <c r="L158">
        <v>55502</v>
      </c>
      <c r="M158">
        <v>55829</v>
      </c>
      <c r="N158">
        <v>3488600</v>
      </c>
      <c r="O158">
        <v>55829</v>
      </c>
      <c r="P158">
        <v>-1.8442983227258299E-2</v>
      </c>
      <c r="Q158">
        <v>-1.86151754880239E-2</v>
      </c>
      <c r="R158" s="8">
        <v>11.868330001831101</v>
      </c>
      <c r="S158" s="8">
        <v>-5.5249505599918002E-3</v>
      </c>
      <c r="T158" s="9">
        <v>-5.5402695498333304E-3</v>
      </c>
      <c r="U158" s="12">
        <v>4.1063000000000002E-2</v>
      </c>
      <c r="V158" s="16">
        <v>2.2292999999999998</v>
      </c>
      <c r="W158" s="17">
        <f t="shared" si="2"/>
        <v>4.0082867951718448E-3</v>
      </c>
    </row>
    <row r="159" spans="1:23" x14ac:dyDescent="0.2">
      <c r="A159" s="15">
        <v>41759</v>
      </c>
      <c r="B159" s="5">
        <v>-771909850559429</v>
      </c>
      <c r="C159" s="5">
        <f>[1]!nefin_factors__1[[#This Row],[Rm_minus_Rf]]/B158-1</f>
        <v>-3.4088552543989437</v>
      </c>
      <c r="D159" s="5">
        <v>724586171052631</v>
      </c>
      <c r="E159" s="5">
        <f>[1]!nefin_factors__1[[#This Row],[SMB]]/D158-1</f>
        <v>-2.8301410564572667</v>
      </c>
      <c r="F159" s="5">
        <v>-809149101332914</v>
      </c>
      <c r="G159" s="5">
        <f>[1]!nefin_factors__1[[#This Row],[HML]]/F158-1</f>
        <v>0.58300994179601573</v>
      </c>
      <c r="H159" s="5">
        <v>407411687703085</v>
      </c>
      <c r="I159" s="6">
        <f>[1]!nefin_factors__1[[#This Row],[Risk_Free]]/H158-1</f>
        <v>-8.7854232564266166E-4</v>
      </c>
      <c r="J159">
        <v>55827</v>
      </c>
      <c r="K159">
        <v>56059</v>
      </c>
      <c r="L159">
        <v>55267</v>
      </c>
      <c r="M159">
        <v>55903</v>
      </c>
      <c r="N159">
        <v>3229100</v>
      </c>
      <c r="O159">
        <v>55903</v>
      </c>
      <c r="P159">
        <v>1.3254760070931001E-3</v>
      </c>
      <c r="Q159">
        <v>1.32459833923659E-3</v>
      </c>
      <c r="R159" s="8">
        <v>11.7034921646118</v>
      </c>
      <c r="S159" s="8">
        <v>-1.3888746232652601E-2</v>
      </c>
      <c r="T159" s="9">
        <v>-1.3986097309271301E-2</v>
      </c>
      <c r="U159" s="12">
        <v>4.1063000000000002E-2</v>
      </c>
      <c r="V159" s="16">
        <v>2.2302</v>
      </c>
      <c r="W159" s="17">
        <f t="shared" si="2"/>
        <v>4.0371417036744184E-4</v>
      </c>
    </row>
    <row r="160" spans="1:23" x14ac:dyDescent="0.2">
      <c r="A160" s="14">
        <v>41761</v>
      </c>
      <c r="B160" s="3">
        <v>180052342935286</v>
      </c>
      <c r="C160" s="3">
        <f>[1]!nefin_factors__1[[#This Row],[Rm_minus_Rf]]/B159-1</f>
        <v>-1.2332556616615218</v>
      </c>
      <c r="D160" s="3">
        <v>-679308607822931</v>
      </c>
      <c r="E160" s="3">
        <f>[1]!nefin_factors__1[[#This Row],[SMB]]/D159-1</f>
        <v>-1.9375125208863375</v>
      </c>
      <c r="F160" s="3">
        <v>214985063971979</v>
      </c>
      <c r="G160" s="3">
        <f>[1]!nefin_factors__1[[#This Row],[HML]]/F159-1</f>
        <v>-1.2656927673995231</v>
      </c>
      <c r="H160" s="3">
        <v>407769930846458</v>
      </c>
      <c r="I160" s="4">
        <f>[1]!nefin_factors__1[[#This Row],[Risk_Free]]/H159-1</f>
        <v>8.7931484094805334E-4</v>
      </c>
      <c r="J160">
        <v>55906</v>
      </c>
      <c r="K160">
        <v>56620</v>
      </c>
      <c r="L160">
        <v>55586</v>
      </c>
      <c r="M160">
        <v>56616</v>
      </c>
      <c r="N160">
        <v>2195100</v>
      </c>
      <c r="O160">
        <v>56616</v>
      </c>
      <c r="P160">
        <v>1.2754235014221099E-2</v>
      </c>
      <c r="Q160">
        <v>1.26735847894966E-2</v>
      </c>
      <c r="R160" s="8">
        <v>11.7859106063843</v>
      </c>
      <c r="S160" s="8">
        <v>7.0422731688499799E-3</v>
      </c>
      <c r="T160" s="9">
        <v>7.0175921689729099E-3</v>
      </c>
      <c r="U160" s="12">
        <v>4.1063000000000002E-2</v>
      </c>
      <c r="V160" s="16">
        <v>2.2277999999999998</v>
      </c>
      <c r="W160" s="17">
        <f t="shared" si="2"/>
        <v>-1.0761366693571306E-3</v>
      </c>
    </row>
    <row r="161" spans="1:23" x14ac:dyDescent="0.2">
      <c r="A161" s="15">
        <v>41764</v>
      </c>
      <c r="B161" s="5">
        <v>888709694486043</v>
      </c>
      <c r="C161" s="5">
        <f>[1]!nefin_factors__1[[#This Row],[Rm_minus_Rf]]/B160-1</f>
        <v>3.9358407671788029</v>
      </c>
      <c r="D161" s="5">
        <v>655201082386174</v>
      </c>
      <c r="E161" s="5">
        <f>[1]!nefin_factors__1[[#This Row],[SMB]]/D160-1</f>
        <v>-1.9645116738414115</v>
      </c>
      <c r="F161" s="5">
        <v>106158067314886</v>
      </c>
      <c r="G161" s="5">
        <f>[1]!nefin_factors__1[[#This Row],[HML]]/F160-1</f>
        <v>-0.50620724364031833</v>
      </c>
      <c r="H161" s="5">
        <v>407769930846458</v>
      </c>
      <c r="I161" s="6">
        <f>[1]!nefin_factors__1[[#This Row],[Risk_Free]]/H160-1</f>
        <v>0</v>
      </c>
      <c r="J161">
        <v>56621</v>
      </c>
      <c r="K161">
        <v>56937</v>
      </c>
      <c r="L161">
        <v>56064</v>
      </c>
      <c r="M161">
        <v>56202</v>
      </c>
      <c r="N161">
        <v>3752600</v>
      </c>
      <c r="O161">
        <v>56202</v>
      </c>
      <c r="P161">
        <v>-7.31242051716829E-3</v>
      </c>
      <c r="Q161">
        <v>-7.3392873184350803E-3</v>
      </c>
      <c r="R161" s="8">
        <v>11.9507493972778</v>
      </c>
      <c r="S161" s="8">
        <v>1.3985960384917499E-2</v>
      </c>
      <c r="T161" s="9">
        <v>1.3889059298894699E-2</v>
      </c>
      <c r="U161" s="12">
        <v>4.1063000000000002E-2</v>
      </c>
      <c r="V161" s="16">
        <v>2.2446999999999999</v>
      </c>
      <c r="W161" s="17">
        <f t="shared" si="2"/>
        <v>7.5859592423019873E-3</v>
      </c>
    </row>
    <row r="162" spans="1:23" x14ac:dyDescent="0.2">
      <c r="A162" s="14">
        <v>41765</v>
      </c>
      <c r="B162" s="3">
        <v>586845258147486</v>
      </c>
      <c r="C162" s="3">
        <f>[1]!nefin_factors__1[[#This Row],[Rm_minus_Rf]]/B161-1</f>
        <v>-0.33966596540069327</v>
      </c>
      <c r="D162" s="3">
        <v>-572943421122741</v>
      </c>
      <c r="E162" s="3">
        <f>[1]!nefin_factors__1[[#This Row],[SMB]]/D161-1</f>
        <v>-1.8744543263514475</v>
      </c>
      <c r="F162" s="3">
        <v>-895313824105274</v>
      </c>
      <c r="G162" s="3">
        <f>[1]!nefin_factors__1[[#This Row],[HML]]/F161-1</f>
        <v>-9.4337803687551567</v>
      </c>
      <c r="H162" s="3">
        <v>407769930846458</v>
      </c>
      <c r="I162" s="4">
        <f>[1]!nefin_factors__1[[#This Row],[Risk_Free]]/H161-1</f>
        <v>0</v>
      </c>
      <c r="J162">
        <v>56202</v>
      </c>
      <c r="K162">
        <v>56797</v>
      </c>
      <c r="L162">
        <v>55696</v>
      </c>
      <c r="M162">
        <v>56487</v>
      </c>
      <c r="N162">
        <v>4006200</v>
      </c>
      <c r="O162">
        <v>56487</v>
      </c>
      <c r="P162">
        <v>5.0709939148072501E-3</v>
      </c>
      <c r="Q162">
        <v>5.0581797273525197E-3</v>
      </c>
      <c r="R162" s="8">
        <v>11.942506790161101</v>
      </c>
      <c r="S162" s="8">
        <v>-6.8962068949496302E-4</v>
      </c>
      <c r="T162" s="9">
        <v>-6.8985858722173696E-4</v>
      </c>
      <c r="U162" s="12">
        <v>4.1063000000000002E-2</v>
      </c>
      <c r="V162" s="16">
        <v>2.2673999999999999</v>
      </c>
      <c r="W162" s="17">
        <f t="shared" si="2"/>
        <v>1.011270993896729E-2</v>
      </c>
    </row>
    <row r="163" spans="1:23" x14ac:dyDescent="0.2">
      <c r="A163" s="15">
        <v>41766</v>
      </c>
      <c r="B163" s="5">
        <v>232189829354539</v>
      </c>
      <c r="C163" s="5">
        <f>[1]!nefin_factors__1[[#This Row],[Rm_minus_Rf]]/B162-1</f>
        <v>-0.60434232682138322</v>
      </c>
      <c r="D163" s="5">
        <v>969497638881549</v>
      </c>
      <c r="E163" s="5">
        <f>[1]!nefin_factors__1[[#This Row],[SMB]]/D162-1</f>
        <v>-2.692135040108707</v>
      </c>
      <c r="F163" s="5">
        <v>336997267124085</v>
      </c>
      <c r="G163" s="5">
        <f>[1]!nefin_factors__1[[#This Row],[HML]]/F162-1</f>
        <v>-1.3764012774636436</v>
      </c>
      <c r="H163" s="5">
        <v>40812814179314</v>
      </c>
      <c r="I163" s="6">
        <f>[1]!nefin_factors__1[[#This Row],[Risk_Free]]/H162-1</f>
        <v>-0.89991215366323396</v>
      </c>
      <c r="J163">
        <v>56487</v>
      </c>
      <c r="K163">
        <v>56923</v>
      </c>
      <c r="L163">
        <v>55985</v>
      </c>
      <c r="M163">
        <v>56188</v>
      </c>
      <c r="N163">
        <v>3049200</v>
      </c>
      <c r="O163">
        <v>56188</v>
      </c>
      <c r="P163">
        <v>-5.2932533149220298E-3</v>
      </c>
      <c r="Q163">
        <v>-5.3073122137377001E-3</v>
      </c>
      <c r="R163" s="8">
        <v>12.000200271606399</v>
      </c>
      <c r="S163" s="8">
        <v>4.8309495745544303E-3</v>
      </c>
      <c r="T163" s="9">
        <v>4.8193179837020903E-3</v>
      </c>
      <c r="U163" s="12">
        <v>4.1063000000000002E-2</v>
      </c>
      <c r="V163" s="16">
        <v>2.2606999999999999</v>
      </c>
      <c r="W163" s="17">
        <f t="shared" si="2"/>
        <v>-2.9549263473581666E-3</v>
      </c>
    </row>
    <row r="164" spans="1:23" x14ac:dyDescent="0.2">
      <c r="A164" s="14">
        <v>41767</v>
      </c>
      <c r="B164" s="3">
        <v>-104340012726538</v>
      </c>
      <c r="C164" s="3">
        <f>[1]!nefin_factors__1[[#This Row],[Rm_minus_Rf]]/B163-1</f>
        <v>-1.449373743098874</v>
      </c>
      <c r="D164" s="3">
        <v>376043205885354</v>
      </c>
      <c r="E164" s="3">
        <f>[1]!nefin_factors__1[[#This Row],[SMB]]/D163-1</f>
        <v>-0.61212571252966397</v>
      </c>
      <c r="F164" s="3">
        <v>-808807433125567</v>
      </c>
      <c r="G164" s="3">
        <f>[1]!nefin_factors__1[[#This Row],[HML]]/F163-1</f>
        <v>-3.4000415197069174</v>
      </c>
      <c r="H164" s="3">
        <v>408486320548684</v>
      </c>
      <c r="I164" s="4">
        <f>[1]!nefin_factors__1[[#This Row],[Risk_Free]]/H163-1</f>
        <v>9.0087761347200992</v>
      </c>
      <c r="J164">
        <v>56187</v>
      </c>
      <c r="K164">
        <v>56187</v>
      </c>
      <c r="L164">
        <v>55319</v>
      </c>
      <c r="M164">
        <v>55573</v>
      </c>
      <c r="N164">
        <v>3017300</v>
      </c>
      <c r="O164">
        <v>55573</v>
      </c>
      <c r="P164">
        <v>-1.0945397593792301E-2</v>
      </c>
      <c r="Q164">
        <v>-1.1005739170373801E-2</v>
      </c>
      <c r="R164" s="8">
        <v>12.115587234497101</v>
      </c>
      <c r="S164" s="8">
        <v>9.6153567077572593E-3</v>
      </c>
      <c r="T164" s="9">
        <v>9.5694233743098996E-3</v>
      </c>
      <c r="U164" s="12">
        <v>4.1063000000000002E-2</v>
      </c>
      <c r="V164" s="16">
        <v>2.2576999999999998</v>
      </c>
      <c r="W164" s="17">
        <f t="shared" si="2"/>
        <v>-1.3270226036183885E-3</v>
      </c>
    </row>
    <row r="165" spans="1:23" x14ac:dyDescent="0.2">
      <c r="A165" s="15">
        <v>41768</v>
      </c>
      <c r="B165" s="5">
        <v>-569173309510122</v>
      </c>
      <c r="C165" s="5">
        <f>[1]!nefin_factors__1[[#This Row],[Rm_minus_Rf]]/B164-1</f>
        <v>4.4549860081180306</v>
      </c>
      <c r="D165" s="5">
        <v>601525064014406</v>
      </c>
      <c r="E165" s="5">
        <f>[1]!nefin_factors__1[[#This Row],[SMB]]/D164-1</f>
        <v>0.59961689135741403</v>
      </c>
      <c r="F165" s="5">
        <v>-145116024647496</v>
      </c>
      <c r="G165" s="5">
        <f>[1]!nefin_factors__1[[#This Row],[HML]]/F164-1</f>
        <v>-0.82058025346440311</v>
      </c>
      <c r="H165" s="5">
        <v>40812814179314</v>
      </c>
      <c r="I165" s="6">
        <f>[1]!nefin_factors__1[[#This Row],[Risk_Free]]/H164-1</f>
        <v>-0.9000876843941954</v>
      </c>
      <c r="J165">
        <v>55578</v>
      </c>
      <c r="K165">
        <v>56657</v>
      </c>
      <c r="L165">
        <v>55578</v>
      </c>
      <c r="M165">
        <v>56613</v>
      </c>
      <c r="N165">
        <v>2672500</v>
      </c>
      <c r="O165">
        <v>56613</v>
      </c>
      <c r="P165">
        <v>1.87141237651378E-2</v>
      </c>
      <c r="Q165">
        <v>1.85411690167787E-2</v>
      </c>
      <c r="R165" s="8">
        <v>11.744701385498001</v>
      </c>
      <c r="S165" s="8">
        <v>-3.06123301504744E-2</v>
      </c>
      <c r="T165" s="9">
        <v>-3.1090675014734798E-2</v>
      </c>
      <c r="U165" s="12">
        <v>4.1063000000000002E-2</v>
      </c>
      <c r="V165" s="16">
        <v>2.2755999999999998</v>
      </c>
      <c r="W165" s="17">
        <f t="shared" si="2"/>
        <v>7.9284227310980615E-3</v>
      </c>
    </row>
    <row r="166" spans="1:23" x14ac:dyDescent="0.2">
      <c r="A166" s="14">
        <v>41771</v>
      </c>
      <c r="B166" s="3">
        <v>154916233855116</v>
      </c>
      <c r="C166" s="3">
        <f>[1]!nefin_factors__1[[#This Row],[Rm_minus_Rf]]/B165-1</f>
        <v>-1.2721776149138999</v>
      </c>
      <c r="D166" s="3">
        <v>-115871773541</v>
      </c>
      <c r="E166" s="3">
        <f>[1]!nefin_factors__1[[#This Row],[SMB]]/D165-1</f>
        <v>-1.0001926300007646</v>
      </c>
      <c r="F166" s="3">
        <v>-362494549764365</v>
      </c>
      <c r="G166" s="3">
        <f>[1]!nefin_factors__1[[#This Row],[HML]]/F165-1</f>
        <v>1.4979636166640256</v>
      </c>
      <c r="H166" s="3">
        <v>408486320548684</v>
      </c>
      <c r="I166" s="4">
        <f>[1]!nefin_factors__1[[#This Row],[Risk_Free]]/H165-1</f>
        <v>9.0087761347200992</v>
      </c>
      <c r="J166">
        <v>56613</v>
      </c>
      <c r="K166">
        <v>56811</v>
      </c>
      <c r="L166">
        <v>56312</v>
      </c>
      <c r="M166">
        <v>56442</v>
      </c>
      <c r="N166">
        <v>2145000</v>
      </c>
      <c r="O166">
        <v>56442</v>
      </c>
      <c r="P166">
        <v>-3.0205076572518098E-3</v>
      </c>
      <c r="Q166">
        <v>-3.0250785971988798E-3</v>
      </c>
      <c r="R166" s="8">
        <v>11.6622819900513</v>
      </c>
      <c r="S166" s="8">
        <v>-7.0175640200733601E-3</v>
      </c>
      <c r="T166" s="9">
        <v>-7.0423029283138401E-3</v>
      </c>
      <c r="U166" s="12">
        <v>4.1063000000000002E-2</v>
      </c>
      <c r="V166" s="16">
        <v>2.2789999999999999</v>
      </c>
      <c r="W166" s="17">
        <f t="shared" si="2"/>
        <v>1.494111443135937E-3</v>
      </c>
    </row>
    <row r="167" spans="1:23" x14ac:dyDescent="0.2">
      <c r="A167" s="15">
        <v>41772</v>
      </c>
      <c r="B167" s="5">
        <v>-316706059818061</v>
      </c>
      <c r="C167" s="5">
        <f>[1]!nefin_factors__1[[#This Row],[Rm_minus_Rf]]/B166-1</f>
        <v>-3.0443697341252012</v>
      </c>
      <c r="D167" s="5">
        <v>-456687135259358</v>
      </c>
      <c r="E167" s="5">
        <f>[1]!nefin_factors__1[[#This Row],[SMB]]/D166-1</f>
        <v>3940.3147939585483</v>
      </c>
      <c r="F167" s="5">
        <v>-383790384681431</v>
      </c>
      <c r="G167" s="5">
        <f>[1]!nefin_factors__1[[#This Row],[HML]]/F166-1</f>
        <v>5.8748014089892164E-2</v>
      </c>
      <c r="H167" s="5">
        <v>408486320548684</v>
      </c>
      <c r="I167" s="6">
        <f>[1]!nefin_factors__1[[#This Row],[Risk_Free]]/H166-1</f>
        <v>0</v>
      </c>
      <c r="J167">
        <v>56454</v>
      </c>
      <c r="K167">
        <v>56736</v>
      </c>
      <c r="L167">
        <v>55239</v>
      </c>
      <c r="M167">
        <v>55581</v>
      </c>
      <c r="N167">
        <v>4810800</v>
      </c>
      <c r="O167">
        <v>55581</v>
      </c>
      <c r="P167">
        <v>-1.52545976400553E-2</v>
      </c>
      <c r="Q167">
        <v>-1.53721459818841E-2</v>
      </c>
      <c r="R167" s="8">
        <v>11.1348009109497</v>
      </c>
      <c r="S167" s="8">
        <v>-4.5229570183244597E-2</v>
      </c>
      <c r="T167" s="9">
        <v>-4.6284355025577602E-2</v>
      </c>
      <c r="U167" s="12">
        <v>4.1063000000000002E-2</v>
      </c>
      <c r="V167" s="16">
        <v>2.2801999999999998</v>
      </c>
      <c r="W167" s="17">
        <f t="shared" si="2"/>
        <v>5.2654673102225935E-4</v>
      </c>
    </row>
    <row r="168" spans="1:23" x14ac:dyDescent="0.2">
      <c r="A168" s="14">
        <v>41773</v>
      </c>
      <c r="B168" s="3">
        <v>753382262705786</v>
      </c>
      <c r="C168" s="3">
        <f>[1]!nefin_factors__1[[#This Row],[Rm_minus_Rf]]/B167-1</f>
        <v>-3.3788059601340863</v>
      </c>
      <c r="D168" s="3">
        <v>-549556861061537</v>
      </c>
      <c r="E168" s="3">
        <f>[1]!nefin_factors__1[[#This Row],[SMB]]/D167-1</f>
        <v>0.20335524833524632</v>
      </c>
      <c r="F168" s="3">
        <v>38283492328435</v>
      </c>
      <c r="G168" s="3">
        <f>[1]!nefin_factors__1[[#This Row],[HML]]/F167-1</f>
        <v>-1.0997510460305371</v>
      </c>
      <c r="H168" s="3">
        <v>408486320548684</v>
      </c>
      <c r="I168" s="4">
        <f>[1]!nefin_factors__1[[#This Row],[Risk_Free]]/H167-1</f>
        <v>0</v>
      </c>
      <c r="J168">
        <v>55558</v>
      </c>
      <c r="K168">
        <v>55947</v>
      </c>
      <c r="L168">
        <v>55437</v>
      </c>
      <c r="M168">
        <v>55780</v>
      </c>
      <c r="N168">
        <v>3045400</v>
      </c>
      <c r="O168">
        <v>55780</v>
      </c>
      <c r="P168">
        <v>3.58036019503061E-3</v>
      </c>
      <c r="Q168">
        <v>3.5739659633574898E-3</v>
      </c>
      <c r="R168" s="8">
        <v>11.0194139480591</v>
      </c>
      <c r="S168" s="8">
        <v>-1.03627621676974E-2</v>
      </c>
      <c r="T168" s="9">
        <v>-1.04168294360884E-2</v>
      </c>
      <c r="U168" s="12">
        <v>4.1063000000000002E-2</v>
      </c>
      <c r="V168" s="16">
        <v>2.2986</v>
      </c>
      <c r="W168" s="17">
        <f t="shared" si="2"/>
        <v>8.0694675905623736E-3</v>
      </c>
    </row>
    <row r="169" spans="1:23" x14ac:dyDescent="0.2">
      <c r="A169" s="15">
        <v>41774</v>
      </c>
      <c r="B169" s="5">
        <v>-108655464781369</v>
      </c>
      <c r="C169" s="5">
        <f>[1]!nefin_factors__1[[#This Row],[Rm_minus_Rf]]/B168-1</f>
        <v>-1.1442235504604674</v>
      </c>
      <c r="D169" s="5">
        <v>560350105748929</v>
      </c>
      <c r="E169" s="5">
        <f>[1]!nefin_factors__1[[#This Row],[SMB]]/D168-1</f>
        <v>-2.0196399052621117</v>
      </c>
      <c r="F169" s="5">
        <v>301092417248685</v>
      </c>
      <c r="G169" s="5">
        <f>[1]!nefin_factors__1[[#This Row],[HML]]/F168-1</f>
        <v>6.8648106255721375</v>
      </c>
      <c r="H169" s="5">
        <v>408844467119085</v>
      </c>
      <c r="I169" s="6">
        <f>[1]!nefin_factors__1[[#This Row],[Risk_Free]]/H168-1</f>
        <v>8.7676515071533068E-4</v>
      </c>
      <c r="J169">
        <v>55783</v>
      </c>
      <c r="K169">
        <v>56965</v>
      </c>
      <c r="L169">
        <v>55783</v>
      </c>
      <c r="M169">
        <v>56964</v>
      </c>
      <c r="N169">
        <v>3437700</v>
      </c>
      <c r="O169">
        <v>56964</v>
      </c>
      <c r="P169">
        <v>2.1226245966296201E-2</v>
      </c>
      <c r="Q169">
        <v>2.10041071578384E-2</v>
      </c>
      <c r="R169" s="8">
        <v>11.208977699279799</v>
      </c>
      <c r="S169" s="8">
        <v>1.72027217764836E-2</v>
      </c>
      <c r="T169" s="9">
        <v>1.7056430315770699E-2</v>
      </c>
      <c r="U169" s="12">
        <v>4.1063000000000002E-2</v>
      </c>
      <c r="V169" s="16">
        <v>2.2778999999999998</v>
      </c>
      <c r="W169" s="17">
        <f t="shared" si="2"/>
        <v>-9.0054815974941471E-3</v>
      </c>
    </row>
    <row r="170" spans="1:23" x14ac:dyDescent="0.2">
      <c r="A170" s="14">
        <v>41775</v>
      </c>
      <c r="B170" s="3">
        <v>306066457740709</v>
      </c>
      <c r="C170" s="3">
        <f>[1]!nefin_factors__1[[#This Row],[Rm_minus_Rf]]/B169-1</f>
        <v>-3.8168528693569197</v>
      </c>
      <c r="D170" s="3">
        <v>-767601558458654</v>
      </c>
      <c r="E170" s="3">
        <f>[1]!nefin_factors__1[[#This Row],[SMB]]/D169-1</f>
        <v>-2.3698606470908499</v>
      </c>
      <c r="F170" s="3">
        <v>-292249672203459</v>
      </c>
      <c r="G170" s="3">
        <f>[1]!nefin_factors__1[[#This Row],[HML]]/F169-1</f>
        <v>-1.9706311267283678</v>
      </c>
      <c r="H170" s="3">
        <v>408844467119085</v>
      </c>
      <c r="I170" s="4">
        <f>[1]!nefin_factors__1[[#This Row],[Risk_Free]]/H169-1</f>
        <v>0</v>
      </c>
      <c r="J170">
        <v>56968</v>
      </c>
      <c r="K170">
        <v>57665</v>
      </c>
      <c r="L170">
        <v>56968</v>
      </c>
      <c r="M170">
        <v>57561</v>
      </c>
      <c r="N170">
        <v>3268300</v>
      </c>
      <c r="O170">
        <v>57561</v>
      </c>
      <c r="P170">
        <v>1.0480303349483799E-2</v>
      </c>
      <c r="Q170">
        <v>1.04257656868904E-2</v>
      </c>
      <c r="R170" s="8">
        <v>11.398542404174799</v>
      </c>
      <c r="S170" s="8">
        <v>1.69116958062074E-2</v>
      </c>
      <c r="T170" s="9">
        <v>1.6770285180820299E-2</v>
      </c>
      <c r="U170" s="12">
        <v>4.1063000000000002E-2</v>
      </c>
      <c r="V170" s="16">
        <v>2.2770000000000001</v>
      </c>
      <c r="W170" s="17">
        <f t="shared" si="2"/>
        <v>-3.9510075069126849E-4</v>
      </c>
    </row>
    <row r="171" spans="1:23" x14ac:dyDescent="0.2">
      <c r="A171" s="15">
        <v>41778</v>
      </c>
      <c r="B171" s="5">
        <v>-103417609475018</v>
      </c>
      <c r="C171" s="5">
        <f>[1]!nefin_factors__1[[#This Row],[Rm_minus_Rf]]/B170-1</f>
        <v>-1.3378926597785847</v>
      </c>
      <c r="D171" s="5">
        <v>168804526845749</v>
      </c>
      <c r="E171" s="5">
        <f>[1]!nefin_factors__1[[#This Row],[SMB]]/D170-1</f>
        <v>-1.219911652061662</v>
      </c>
      <c r="F171" s="5">
        <v>-143173108345227</v>
      </c>
      <c r="G171" s="5">
        <f>[1]!nefin_factors__1[[#This Row],[HML]]/F170-1</f>
        <v>-0.51010002076049399</v>
      </c>
      <c r="H171" s="5">
        <v>408486320548684</v>
      </c>
      <c r="I171" s="6">
        <f>[1]!nefin_factors__1[[#This Row],[Risk_Free]]/H170-1</f>
        <v>-8.7599710697972011E-4</v>
      </c>
      <c r="J171">
        <v>57561</v>
      </c>
      <c r="K171">
        <v>58475</v>
      </c>
      <c r="L171">
        <v>57371</v>
      </c>
      <c r="M171">
        <v>58449</v>
      </c>
      <c r="N171">
        <v>3485000</v>
      </c>
      <c r="O171">
        <v>58449</v>
      </c>
      <c r="P171">
        <v>1.54271121071559E-2</v>
      </c>
      <c r="Q171">
        <v>1.5309324087788101E-2</v>
      </c>
      <c r="R171" s="8">
        <v>11.6622819900513</v>
      </c>
      <c r="S171" s="8">
        <v>2.31380959015044E-2</v>
      </c>
      <c r="T171" s="9">
        <v>2.28744689650749E-2</v>
      </c>
      <c r="U171" s="12">
        <v>4.1063000000000002E-2</v>
      </c>
      <c r="V171" s="16">
        <v>2.2692000000000001</v>
      </c>
      <c r="W171" s="17">
        <f t="shared" si="2"/>
        <v>-3.425559947299095E-3</v>
      </c>
    </row>
    <row r="172" spans="1:23" x14ac:dyDescent="0.2">
      <c r="A172" s="14">
        <v>41779</v>
      </c>
      <c r="B172" s="3">
        <v>-173134637995729</v>
      </c>
      <c r="C172" s="3">
        <f>[1]!nefin_factors__1[[#This Row],[Rm_minus_Rf]]/B171-1</f>
        <v>0.67413111630231737</v>
      </c>
      <c r="D172" s="3">
        <v>940316544907617</v>
      </c>
      <c r="E172" s="3">
        <f>[1]!nefin_factors__1[[#This Row],[SMB]]/D171-1</f>
        <v>4.5704462580370482</v>
      </c>
      <c r="F172" s="3">
        <v>-645195714282349</v>
      </c>
      <c r="G172" s="3">
        <f>[1]!nefin_factors__1[[#This Row],[HML]]/F171-1</f>
        <v>3.5064029253776976</v>
      </c>
      <c r="H172" s="3">
        <v>40812814179314</v>
      </c>
      <c r="I172" s="4">
        <f>[1]!nefin_factors__1[[#This Row],[Risk_Free]]/H171-1</f>
        <v>-0.9000876843941954</v>
      </c>
      <c r="J172">
        <v>58450</v>
      </c>
      <c r="K172">
        <v>59010</v>
      </c>
      <c r="L172">
        <v>58320</v>
      </c>
      <c r="M172">
        <v>58878</v>
      </c>
      <c r="N172">
        <v>3300100</v>
      </c>
      <c r="O172">
        <v>58878</v>
      </c>
      <c r="P172">
        <v>7.3397320741159797E-3</v>
      </c>
      <c r="Q172">
        <v>7.3129273205517903E-3</v>
      </c>
      <c r="R172" s="8">
        <v>12.0084419250488</v>
      </c>
      <c r="S172" s="8">
        <v>2.9682083338971901E-2</v>
      </c>
      <c r="T172" s="9">
        <v>2.92500976447287E-2</v>
      </c>
      <c r="U172" s="12">
        <v>4.1063000000000002E-2</v>
      </c>
      <c r="V172" s="16">
        <v>2.2703000000000002</v>
      </c>
      <c r="W172" s="17">
        <f t="shared" si="2"/>
        <v>4.8475233562483844E-4</v>
      </c>
    </row>
    <row r="173" spans="1:23" x14ac:dyDescent="0.2">
      <c r="A173" s="15">
        <v>41780</v>
      </c>
      <c r="B173" s="5">
        <v>-313328061747201</v>
      </c>
      <c r="C173" s="5">
        <f>[1]!nefin_factors__1[[#This Row],[Rm_minus_Rf]]/B172-1</f>
        <v>0.80973643041278875</v>
      </c>
      <c r="D173" s="5">
        <v>-396987737617696</v>
      </c>
      <c r="E173" s="5">
        <f>[1]!nefin_factors__1[[#This Row],[SMB]]/D172-1</f>
        <v>-1.4221852096165113</v>
      </c>
      <c r="F173" s="5">
        <v>-702370128278875</v>
      </c>
      <c r="G173" s="5">
        <f>[1]!nefin_factors__1[[#This Row],[HML]]/F172-1</f>
        <v>8.8615613419132933E-2</v>
      </c>
      <c r="H173" s="5">
        <v>40812814179314</v>
      </c>
      <c r="I173" s="6">
        <f>[1]!nefin_factors__1[[#This Row],[Risk_Free]]/H172-1</f>
        <v>0</v>
      </c>
      <c r="J173">
        <v>58878</v>
      </c>
      <c r="K173">
        <v>59207</v>
      </c>
      <c r="L173">
        <v>58558</v>
      </c>
      <c r="M173">
        <v>58992</v>
      </c>
      <c r="N173">
        <v>3322000</v>
      </c>
      <c r="O173">
        <v>58992</v>
      </c>
      <c r="P173">
        <v>1.9362070722510601E-3</v>
      </c>
      <c r="Q173">
        <v>1.93433503937711E-3</v>
      </c>
      <c r="R173" s="8">
        <v>12.362842559814499</v>
      </c>
      <c r="S173" s="8">
        <v>2.9512670946934001E-2</v>
      </c>
      <c r="T173" s="9">
        <v>2.9085555274884801E-2</v>
      </c>
      <c r="U173" s="12">
        <v>4.1098999999999997E-2</v>
      </c>
      <c r="V173" s="16">
        <v>2.2690000000000001</v>
      </c>
      <c r="W173" s="17">
        <f t="shared" si="2"/>
        <v>-5.7261154913446077E-4</v>
      </c>
    </row>
    <row r="174" spans="1:23" x14ac:dyDescent="0.2">
      <c r="A174" s="14">
        <v>41781</v>
      </c>
      <c r="B174" s="3">
        <v>112768908863223</v>
      </c>
      <c r="C174" s="3">
        <f>[1]!nefin_factors__1[[#This Row],[Rm_minus_Rf]]/B173-1</f>
        <v>-1.3599068281161713</v>
      </c>
      <c r="D174" s="3">
        <v>-615392157753344</v>
      </c>
      <c r="E174" s="3">
        <f>[1]!nefin_factors__1[[#This Row],[SMB]]/D173-1</f>
        <v>0.55015407137329286</v>
      </c>
      <c r="F174" s="3">
        <v>715929562902891</v>
      </c>
      <c r="G174" s="3">
        <f>[1]!nefin_factors__1[[#This Row],[HML]]/F173-1</f>
        <v>-2.0193052552750821</v>
      </c>
      <c r="H174" s="3">
        <v>407769930846458</v>
      </c>
      <c r="I174" s="4">
        <f>[1]!nefin_factors__1[[#This Row],[Risk_Free]]/H173-1</f>
        <v>8.9912230765291472</v>
      </c>
      <c r="J174">
        <v>58992</v>
      </c>
      <c r="K174">
        <v>58992</v>
      </c>
      <c r="L174">
        <v>58164</v>
      </c>
      <c r="M174">
        <v>58407</v>
      </c>
      <c r="N174">
        <v>2327300</v>
      </c>
      <c r="O174">
        <v>58407</v>
      </c>
      <c r="P174">
        <v>-9.9165988608624894E-3</v>
      </c>
      <c r="Q174">
        <v>-9.9660958269057395E-3</v>
      </c>
      <c r="R174" s="8">
        <v>12.568890571594199</v>
      </c>
      <c r="S174" s="8">
        <v>1.66666255816754E-2</v>
      </c>
      <c r="T174" s="9">
        <v>1.65292615397429E-2</v>
      </c>
      <c r="U174" s="12">
        <v>4.1063000000000002E-2</v>
      </c>
      <c r="V174" s="16">
        <v>2.2595000000000001</v>
      </c>
      <c r="W174" s="17">
        <f t="shared" si="2"/>
        <v>-4.1868664609960859E-3</v>
      </c>
    </row>
    <row r="175" spans="1:23" x14ac:dyDescent="0.2">
      <c r="A175" s="15">
        <v>41782</v>
      </c>
      <c r="B175" s="5">
        <v>-40708275254489</v>
      </c>
      <c r="C175" s="5">
        <f>[1]!nefin_factors__1[[#This Row],[Rm_minus_Rf]]/B174-1</f>
        <v>-1.360988464505442</v>
      </c>
      <c r="D175" s="5">
        <v>319915084425331</v>
      </c>
      <c r="E175" s="5">
        <f>[1]!nefin_factors__1[[#This Row],[SMB]]/D174-1</f>
        <v>-1.5198556406589057</v>
      </c>
      <c r="F175" s="5">
        <v>-158716327189151</v>
      </c>
      <c r="G175" s="5">
        <f>[1]!nefin_factors__1[[#This Row],[HML]]/F174-1</f>
        <v>-1.2216926572295763</v>
      </c>
      <c r="H175" s="5">
        <v>40812814179314</v>
      </c>
      <c r="I175" s="6">
        <f>[1]!nefin_factors__1[[#This Row],[Risk_Free]]/H174-1</f>
        <v>-0.89991215366323396</v>
      </c>
      <c r="J175">
        <v>58408</v>
      </c>
      <c r="K175">
        <v>59743</v>
      </c>
      <c r="L175">
        <v>58408</v>
      </c>
      <c r="M175">
        <v>59735</v>
      </c>
      <c r="N175">
        <v>2875600</v>
      </c>
      <c r="O175">
        <v>59735</v>
      </c>
      <c r="P175">
        <v>2.2737000701970701E-2</v>
      </c>
      <c r="Q175">
        <v>2.24823676043042E-2</v>
      </c>
      <c r="R175" s="8">
        <v>12.5771331787109</v>
      </c>
      <c r="S175" s="8">
        <v>6.5587813240486304E-4</v>
      </c>
      <c r="T175" s="9">
        <v>6.5566313834404598E-4</v>
      </c>
      <c r="U175" s="12">
        <v>4.1063000000000002E-2</v>
      </c>
      <c r="V175" s="16">
        <v>2.2587000000000002</v>
      </c>
      <c r="W175" s="17">
        <f t="shared" si="2"/>
        <v>-3.5406063288334622E-4</v>
      </c>
    </row>
    <row r="176" spans="1:23" x14ac:dyDescent="0.2">
      <c r="A176" s="14">
        <v>41785</v>
      </c>
      <c r="B176" s="3">
        <v>515967670697303</v>
      </c>
      <c r="C176" s="3">
        <f>[1]!nefin_factors__1[[#This Row],[Rm_minus_Rf]]/B175-1</f>
        <v>-13.674761273272219</v>
      </c>
      <c r="D176" s="3">
        <v>-87335349907348</v>
      </c>
      <c r="E176" s="3">
        <f>[1]!nefin_factors__1[[#This Row],[SMB]]/D175-1</f>
        <v>-1.2729954108423178</v>
      </c>
      <c r="F176" s="3">
        <v>231569572726447</v>
      </c>
      <c r="G176" s="3">
        <f>[1]!nefin_factors__1[[#This Row],[HML]]/F175-1</f>
        <v>-2.4590154448979451</v>
      </c>
      <c r="H176" s="3">
        <v>40812814179314</v>
      </c>
      <c r="I176" s="4">
        <f>[1]!nefin_factors__1[[#This Row],[Risk_Free]]/H175-1</f>
        <v>0</v>
      </c>
      <c r="J176">
        <v>59735</v>
      </c>
      <c r="K176">
        <v>60093</v>
      </c>
      <c r="L176">
        <v>59522</v>
      </c>
      <c r="M176">
        <v>59821</v>
      </c>
      <c r="N176">
        <v>4014100</v>
      </c>
      <c r="O176">
        <v>59821</v>
      </c>
      <c r="P176">
        <v>1.4396919728803001E-3</v>
      </c>
      <c r="Q176">
        <v>1.43865661000852E-3</v>
      </c>
      <c r="R176" s="8">
        <v>12.7749376296997</v>
      </c>
      <c r="S176" s="8">
        <v>1.5727209608694701E-2</v>
      </c>
      <c r="T176" s="9">
        <v>1.5604818625563E-2</v>
      </c>
      <c r="U176" s="12">
        <v>4.1098999999999997E-2</v>
      </c>
      <c r="V176" s="16">
        <v>2.2549999999999999</v>
      </c>
      <c r="W176" s="17">
        <f t="shared" si="2"/>
        <v>-1.6381104174969519E-3</v>
      </c>
    </row>
    <row r="177" spans="1:23" x14ac:dyDescent="0.2">
      <c r="A177" s="15">
        <v>41786</v>
      </c>
      <c r="B177" s="5">
        <v>-151277020362166</v>
      </c>
      <c r="C177" s="5">
        <f>[1]!nefin_factors__1[[#This Row],[Rm_minus_Rf]]/B176-1</f>
        <v>-1.2931908895720601</v>
      </c>
      <c r="D177" s="5">
        <v>107443328220616</v>
      </c>
      <c r="E177" s="5">
        <f>[1]!nefin_factors__1[[#This Row],[SMB]]/D176-1</f>
        <v>-2.2302387101511596</v>
      </c>
      <c r="F177" s="5">
        <v>293435743544462</v>
      </c>
      <c r="G177" s="5">
        <f>[1]!nefin_factors__1[[#This Row],[HML]]/F176-1</f>
        <v>0.26716018900763561</v>
      </c>
      <c r="H177" s="5">
        <v>408844467119085</v>
      </c>
      <c r="I177" s="6">
        <f>[1]!nefin_factors__1[[#This Row],[Risk_Free]]/H176-1</f>
        <v>9.0175514808363317</v>
      </c>
      <c r="J177">
        <v>59822</v>
      </c>
      <c r="K177">
        <v>61247</v>
      </c>
      <c r="L177">
        <v>59822</v>
      </c>
      <c r="M177">
        <v>60951</v>
      </c>
      <c r="N177">
        <v>5389100</v>
      </c>
      <c r="O177">
        <v>60951</v>
      </c>
      <c r="P177">
        <v>1.8889687567911002E-2</v>
      </c>
      <c r="Q177">
        <v>1.87134928043876E-2</v>
      </c>
      <c r="R177" s="8">
        <v>13.079888343811</v>
      </c>
      <c r="S177" s="8">
        <v>2.3871053930643898E-2</v>
      </c>
      <c r="T177" s="9">
        <v>2.3590594792381101E-2</v>
      </c>
      <c r="U177" s="12">
        <v>4.1098999999999997E-2</v>
      </c>
      <c r="V177" s="16">
        <v>2.2582</v>
      </c>
      <c r="W177" s="17">
        <f t="shared" si="2"/>
        <v>1.4190687361419485E-3</v>
      </c>
    </row>
    <row r="178" spans="1:23" x14ac:dyDescent="0.2">
      <c r="A178" s="14">
        <v>41787</v>
      </c>
      <c r="B178" s="3">
        <v>848067875546188</v>
      </c>
      <c r="C178" s="3">
        <f>[1]!nefin_factors__1[[#This Row],[Rm_minus_Rf]]/B177-1</f>
        <v>-6.6060588284715296</v>
      </c>
      <c r="D178" s="3">
        <v>-667926358595747</v>
      </c>
      <c r="E178" s="3">
        <f>[1]!nefin_factors__1[[#This Row],[SMB]]/D177-1</f>
        <v>-7.2165456865248769</v>
      </c>
      <c r="F178" s="3">
        <v>527428423593951</v>
      </c>
      <c r="G178" s="3">
        <f>[1]!nefin_factors__1[[#This Row],[HML]]/F177-1</f>
        <v>0.79742391715150385</v>
      </c>
      <c r="H178" s="3">
        <v>408486320548684</v>
      </c>
      <c r="I178" s="4">
        <f>[1]!nefin_factors__1[[#This Row],[Risk_Free]]/H177-1</f>
        <v>-8.7599710697972011E-4</v>
      </c>
      <c r="J178">
        <v>60945</v>
      </c>
      <c r="K178">
        <v>60980</v>
      </c>
      <c r="L178">
        <v>60189</v>
      </c>
      <c r="M178">
        <v>60291</v>
      </c>
      <c r="N178">
        <v>4462600</v>
      </c>
      <c r="O178">
        <v>60291</v>
      </c>
      <c r="P178">
        <v>-1.08283703302653E-2</v>
      </c>
      <c r="Q178">
        <v>-1.08874238212332E-2</v>
      </c>
      <c r="R178" s="8">
        <v>12.980985641479499</v>
      </c>
      <c r="S178" s="8">
        <v>-7.5613081569878603E-3</v>
      </c>
      <c r="T178" s="9">
        <v>-7.5900397715346398E-3</v>
      </c>
      <c r="U178" s="12">
        <v>4.1063000000000002E-2</v>
      </c>
      <c r="V178" s="16">
        <v>2.2778</v>
      </c>
      <c r="W178" s="17">
        <f t="shared" si="2"/>
        <v>8.6794792312461233E-3</v>
      </c>
    </row>
    <row r="179" spans="1:23" x14ac:dyDescent="0.2">
      <c r="A179" s="15">
        <v>41788</v>
      </c>
      <c r="B179" s="5">
        <v>-576264370776702</v>
      </c>
      <c r="C179" s="5">
        <f>[1]!nefin_factors__1[[#This Row],[Rm_minus_Rf]]/B178-1</f>
        <v>-1.6795026523149055</v>
      </c>
      <c r="D179" s="5">
        <v>765028154641716</v>
      </c>
      <c r="E179" s="5">
        <f>[1]!nefin_factors__1[[#This Row],[SMB]]/D178-1</f>
        <v>-2.1453779968350348</v>
      </c>
      <c r="F179" s="5">
        <v>-777687330237064</v>
      </c>
      <c r="G179" s="5">
        <f>[1]!nefin_factors__1[[#This Row],[HML]]/F178-1</f>
        <v>-2.4744888509000393</v>
      </c>
      <c r="H179" s="5">
        <v>407411687703085</v>
      </c>
      <c r="I179" s="6">
        <f>[1]!nefin_factors__1[[#This Row],[Risk_Free]]/H178-1</f>
        <v>-2.6307682571977686E-3</v>
      </c>
      <c r="J179">
        <v>60291</v>
      </c>
      <c r="K179">
        <v>61442</v>
      </c>
      <c r="L179">
        <v>60272</v>
      </c>
      <c r="M179">
        <v>61288</v>
      </c>
      <c r="N179">
        <v>4942400</v>
      </c>
      <c r="O179">
        <v>61288</v>
      </c>
      <c r="P179">
        <v>1.6536464812327002E-2</v>
      </c>
      <c r="Q179">
        <v>1.6401226352169999E-2</v>
      </c>
      <c r="R179" s="8">
        <v>13.178791046142599</v>
      </c>
      <c r="S179" s="8">
        <v>1.5238001968389999E-2</v>
      </c>
      <c r="T179" s="9">
        <v>1.51230697044318E-2</v>
      </c>
      <c r="U179" s="12">
        <v>4.1063000000000002E-2</v>
      </c>
      <c r="V179" s="16">
        <v>2.2808000000000002</v>
      </c>
      <c r="W179" s="17">
        <f t="shared" si="2"/>
        <v>1.3170603213628063E-3</v>
      </c>
    </row>
    <row r="180" spans="1:23" x14ac:dyDescent="0.2">
      <c r="A180" s="14">
        <v>41789</v>
      </c>
      <c r="B180" s="3">
        <v>-181977473578095</v>
      </c>
      <c r="C180" s="3">
        <f>[1]!nefin_factors__1[[#This Row],[Rm_minus_Rf]]/B179-1</f>
        <v>-0.68421182567157213</v>
      </c>
      <c r="D180" s="3">
        <v>439030705640191</v>
      </c>
      <c r="E180" s="3">
        <f>[1]!nefin_factors__1[[#This Row],[SMB]]/D179-1</f>
        <v>-0.42612477334798049</v>
      </c>
      <c r="F180" s="3">
        <v>-64927542835768</v>
      </c>
      <c r="G180" s="3">
        <f>[1]!nefin_factors__1[[#This Row],[HML]]/F179-1</f>
        <v>-0.91651202184819447</v>
      </c>
      <c r="H180" s="3">
        <v>407411687703085</v>
      </c>
      <c r="I180" s="4">
        <f>[1]!nefin_factors__1[[#This Row],[Risk_Free]]/H179-1</f>
        <v>0</v>
      </c>
      <c r="J180">
        <v>61294</v>
      </c>
      <c r="K180">
        <v>62279</v>
      </c>
      <c r="L180">
        <v>61141</v>
      </c>
      <c r="M180">
        <v>61141</v>
      </c>
      <c r="N180">
        <v>2769100</v>
      </c>
      <c r="O180">
        <v>61141</v>
      </c>
      <c r="P180">
        <v>-2.3985119436105199E-3</v>
      </c>
      <c r="Q180">
        <v>-2.4013929811062002E-3</v>
      </c>
      <c r="R180" s="8">
        <v>13.187032699585</v>
      </c>
      <c r="S180" s="8">
        <v>6.2527698093717298E-4</v>
      </c>
      <c r="T180" s="9">
        <v>6.2508157673598404E-4</v>
      </c>
      <c r="U180" s="12">
        <v>4.1063000000000002E-2</v>
      </c>
      <c r="V180" s="16">
        <v>2.2747999999999999</v>
      </c>
      <c r="W180" s="17">
        <f t="shared" si="2"/>
        <v>-2.6306559102070581E-3</v>
      </c>
    </row>
    <row r="181" spans="1:23" x14ac:dyDescent="0.2">
      <c r="A181" s="15">
        <v>41792</v>
      </c>
      <c r="B181" s="5">
        <v>719455145531735</v>
      </c>
      <c r="C181" s="5">
        <f>[1]!nefin_factors__1[[#This Row],[Rm_minus_Rf]]/B180-1</f>
        <v>-4.9535395858926643</v>
      </c>
      <c r="D181" s="5">
        <v>-165558700790478</v>
      </c>
      <c r="E181" s="5">
        <f>[1]!nefin_factors__1[[#This Row],[SMB]]/D180-1</f>
        <v>-1.3771005049614051</v>
      </c>
      <c r="F181" s="5">
        <v>217249574281734</v>
      </c>
      <c r="G181" s="5">
        <f>[1]!nefin_factors__1[[#This Row],[HML]]/F180-1</f>
        <v>-4.3460310492768741</v>
      </c>
      <c r="H181" s="5">
        <v>407769930846458</v>
      </c>
      <c r="I181" s="6">
        <f>[1]!nefin_factors__1[[#This Row],[Risk_Free]]/H180-1</f>
        <v>8.7931484094805334E-4</v>
      </c>
      <c r="J181">
        <v>61142</v>
      </c>
      <c r="K181">
        <v>62231</v>
      </c>
      <c r="L181">
        <v>60930</v>
      </c>
      <c r="M181">
        <v>61896</v>
      </c>
      <c r="N181">
        <v>3995800</v>
      </c>
      <c r="O181">
        <v>61896</v>
      </c>
      <c r="P181">
        <v>1.2348505912562801E-2</v>
      </c>
      <c r="Q181">
        <v>1.2272885013739699E-2</v>
      </c>
      <c r="R181" s="8">
        <v>13.351870536804199</v>
      </c>
      <c r="S181" s="8">
        <v>1.25000361098582E-2</v>
      </c>
      <c r="T181" s="9">
        <v>1.2422555662614E-2</v>
      </c>
      <c r="U181" s="12">
        <v>4.1063000000000002E-2</v>
      </c>
      <c r="V181" s="16">
        <v>2.2591000000000001</v>
      </c>
      <c r="W181" s="17">
        <f t="shared" si="2"/>
        <v>-6.9017056444521385E-3</v>
      </c>
    </row>
    <row r="182" spans="1:23" x14ac:dyDescent="0.2">
      <c r="A182" s="14">
        <v>41793</v>
      </c>
      <c r="B182" s="3">
        <v>770218372056339</v>
      </c>
      <c r="C182" s="3">
        <f>[1]!nefin_factors__1[[#This Row],[Rm_minus_Rf]]/B181-1</f>
        <v>7.0557875414298366E-2</v>
      </c>
      <c r="D182" s="3">
        <v>-568498176370755</v>
      </c>
      <c r="E182" s="3">
        <f>[1]!nefin_factors__1[[#This Row],[SMB]]/D181-1</f>
        <v>2.4338163663788053</v>
      </c>
      <c r="F182" s="3">
        <v>129447278640493</v>
      </c>
      <c r="G182" s="3">
        <f>[1]!nefin_factors__1[[#This Row],[HML]]/F181-1</f>
        <v>-0.40415405153971473</v>
      </c>
      <c r="H182" s="3">
        <v>407411687703085</v>
      </c>
      <c r="I182" s="4">
        <f>[1]!nefin_factors__1[[#This Row],[Risk_Free]]/H181-1</f>
        <v>-8.7854232564266166E-4</v>
      </c>
      <c r="J182">
        <v>61900</v>
      </c>
      <c r="K182">
        <v>62305</v>
      </c>
      <c r="L182">
        <v>61199</v>
      </c>
      <c r="M182">
        <v>61837</v>
      </c>
      <c r="N182">
        <v>4164300</v>
      </c>
      <c r="O182">
        <v>61837</v>
      </c>
      <c r="P182">
        <v>-9.5321183921415198E-4</v>
      </c>
      <c r="Q182">
        <v>-9.5366643452607597E-4</v>
      </c>
      <c r="R182" s="8">
        <v>13.4754991531372</v>
      </c>
      <c r="S182" s="8">
        <v>9.2592041592358693E-3</v>
      </c>
      <c r="T182" s="9">
        <v>9.2166005104039293E-3</v>
      </c>
      <c r="U182" s="12">
        <v>4.1063000000000002E-2</v>
      </c>
      <c r="V182" s="16">
        <v>2.2498999999999998</v>
      </c>
      <c r="W182" s="17">
        <f t="shared" si="2"/>
        <v>-4.072418219645102E-3</v>
      </c>
    </row>
    <row r="183" spans="1:23" x14ac:dyDescent="0.2">
      <c r="A183" s="15">
        <v>41794</v>
      </c>
      <c r="B183" s="5">
        <v>-378997913815343</v>
      </c>
      <c r="C183" s="5">
        <f>[1]!nefin_factors__1[[#This Row],[Rm_minus_Rf]]/B182-1</f>
        <v>-1.492065533055891</v>
      </c>
      <c r="D183" s="5">
        <v>633203804803164</v>
      </c>
      <c r="E183" s="5">
        <f>[1]!nefin_factors__1[[#This Row],[SMB]]/D182-1</f>
        <v>-2.1138185329731121</v>
      </c>
      <c r="F183" s="5">
        <v>-515416858791798</v>
      </c>
      <c r="G183" s="5">
        <f>[1]!nefin_factors__1[[#This Row],[HML]]/F182-1</f>
        <v>-4.981673961823776</v>
      </c>
      <c r="H183" s="5">
        <v>407411687703085</v>
      </c>
      <c r="I183" s="6">
        <f>[1]!nefin_factors__1[[#This Row],[Risk_Free]]/H182-1</f>
        <v>0</v>
      </c>
      <c r="J183">
        <v>61836</v>
      </c>
      <c r="K183">
        <v>61836</v>
      </c>
      <c r="L183">
        <v>60739</v>
      </c>
      <c r="M183">
        <v>60800</v>
      </c>
      <c r="N183">
        <v>4010700</v>
      </c>
      <c r="O183">
        <v>60800</v>
      </c>
      <c r="P183">
        <v>-1.6769895046654899E-2</v>
      </c>
      <c r="Q183">
        <v>-1.6912101840506E-2</v>
      </c>
      <c r="R183" s="8">
        <v>13.5744018554688</v>
      </c>
      <c r="S183" s="8">
        <v>7.3395678063148404E-3</v>
      </c>
      <c r="T183" s="9">
        <v>7.3127642496341001E-3</v>
      </c>
      <c r="U183" s="12">
        <v>4.1063000000000002E-2</v>
      </c>
      <c r="V183" s="16">
        <v>2.2395999999999998</v>
      </c>
      <c r="W183" s="17">
        <f t="shared" si="2"/>
        <v>-4.5779812436108624E-3</v>
      </c>
    </row>
    <row r="184" spans="1:23" x14ac:dyDescent="0.2">
      <c r="A184" s="14">
        <v>41795</v>
      </c>
      <c r="B184" s="3">
        <v>-457413224351772</v>
      </c>
      <c r="C184" s="3">
        <f>[1]!nefin_factors__1[[#This Row],[Rm_minus_Rf]]/B183-1</f>
        <v>0.20690169438408801</v>
      </c>
      <c r="D184" s="3">
        <v>460997740273125</v>
      </c>
      <c r="E184" s="3">
        <f>[1]!nefin_factors__1[[#This Row],[SMB]]/D183-1</f>
        <v>-0.2719599333165259</v>
      </c>
      <c r="F184" s="3">
        <v>-463714871497151</v>
      </c>
      <c r="G184" s="3">
        <f>[1]!nefin_factors__1[[#This Row],[HML]]/F183-1</f>
        <v>-0.10031101313962254</v>
      </c>
      <c r="H184" s="3">
        <v>407411687703085</v>
      </c>
      <c r="I184" s="4">
        <f>[1]!nefin_factors__1[[#This Row],[Risk_Free]]/H183-1</f>
        <v>0</v>
      </c>
      <c r="J184">
        <v>60800</v>
      </c>
      <c r="K184">
        <v>61029</v>
      </c>
      <c r="L184">
        <v>60243</v>
      </c>
      <c r="M184">
        <v>60681</v>
      </c>
      <c r="N184">
        <v>3808600</v>
      </c>
      <c r="O184">
        <v>60681</v>
      </c>
      <c r="P184">
        <v>-1.9572368421052499E-3</v>
      </c>
      <c r="Q184">
        <v>-1.9591547330530998E-3</v>
      </c>
      <c r="R184" s="8">
        <v>13.763965606689499</v>
      </c>
      <c r="S184" s="8">
        <v>1.3964727204966601E-2</v>
      </c>
      <c r="T184" s="9">
        <v>1.38681187700331E-2</v>
      </c>
      <c r="U184" s="12">
        <v>4.1063000000000002E-2</v>
      </c>
      <c r="V184" s="16">
        <v>2.2364000000000002</v>
      </c>
      <c r="W184" s="17">
        <f t="shared" si="2"/>
        <v>-1.4288265761741581E-3</v>
      </c>
    </row>
    <row r="185" spans="1:23" x14ac:dyDescent="0.2">
      <c r="A185" s="15">
        <v>41796</v>
      </c>
      <c r="B185" s="5">
        <v>266300467157294</v>
      </c>
      <c r="C185" s="5">
        <f>[1]!nefin_factors__1[[#This Row],[Rm_minus_Rf]]/B184-1</f>
        <v>-1.5821879494950863</v>
      </c>
      <c r="D185" s="5">
        <v>-400267673522392</v>
      </c>
      <c r="E185" s="5">
        <f>[1]!nefin_factors__1[[#This Row],[SMB]]/D184-1</f>
        <v>-1.8682638515434966</v>
      </c>
      <c r="F185" s="5">
        <v>-13699788947799</v>
      </c>
      <c r="G185" s="5">
        <f>[1]!nefin_factors__1[[#This Row],[HML]]/F184-1</f>
        <v>-0.9704564382341937</v>
      </c>
      <c r="H185" s="5">
        <v>407411687703085</v>
      </c>
      <c r="I185" s="6">
        <f>[1]!nefin_factors__1[[#This Row],[Risk_Free]]/H184-1</f>
        <v>0</v>
      </c>
      <c r="J185">
        <v>60708</v>
      </c>
      <c r="K185">
        <v>61513</v>
      </c>
      <c r="L185">
        <v>59191</v>
      </c>
      <c r="M185">
        <v>59193</v>
      </c>
      <c r="N185">
        <v>4386000</v>
      </c>
      <c r="O185">
        <v>59193</v>
      </c>
      <c r="P185">
        <v>-2.45216789439857E-2</v>
      </c>
      <c r="Q185">
        <v>-2.4827342583634799E-2</v>
      </c>
      <c r="R185" s="8">
        <v>13.8875942230225</v>
      </c>
      <c r="S185" s="8">
        <v>8.9822196523894303E-3</v>
      </c>
      <c r="T185" s="9">
        <v>8.9421194643630394E-3</v>
      </c>
      <c r="U185" s="12">
        <v>4.1063000000000002E-2</v>
      </c>
      <c r="V185" s="16">
        <v>2.2521</v>
      </c>
      <c r="W185" s="17">
        <f t="shared" si="2"/>
        <v>7.0202110534787199E-3</v>
      </c>
    </row>
    <row r="186" spans="1:23" x14ac:dyDescent="0.2">
      <c r="A186" s="14">
        <v>41799</v>
      </c>
      <c r="B186" s="3">
        <v>201952155039561</v>
      </c>
      <c r="C186" s="3">
        <f>[1]!nefin_factors__1[[#This Row],[Rm_minus_Rf]]/B185-1</f>
        <v>-0.24163799937956842</v>
      </c>
      <c r="D186" s="3">
        <v>-660852674979364</v>
      </c>
      <c r="E186" s="3">
        <f>[1]!nefin_factors__1[[#This Row],[SMB]]/D185-1</f>
        <v>0.65102684701914648</v>
      </c>
      <c r="F186" s="3">
        <v>846316544514683</v>
      </c>
      <c r="G186" s="3">
        <f>[1]!nefin_factors__1[[#This Row],[HML]]/F185-1</f>
        <v>-62.775881930695853</v>
      </c>
      <c r="H186" s="3">
        <v>407411687703085</v>
      </c>
      <c r="I186" s="4">
        <f>[1]!nefin_factors__1[[#This Row],[Risk_Free]]/H185-1</f>
        <v>0</v>
      </c>
      <c r="J186">
        <v>59158</v>
      </c>
      <c r="K186">
        <v>59485</v>
      </c>
      <c r="L186">
        <v>58306</v>
      </c>
      <c r="M186">
        <v>58676</v>
      </c>
      <c r="N186">
        <v>4461200</v>
      </c>
      <c r="O186">
        <v>58676</v>
      </c>
      <c r="P186">
        <v>-8.7341408612504595E-3</v>
      </c>
      <c r="Q186">
        <v>-8.7725070299169705E-3</v>
      </c>
      <c r="R186" s="8">
        <v>13.7309980392456</v>
      </c>
      <c r="S186" s="8">
        <v>-1.1276182534370601E-2</v>
      </c>
      <c r="T186" s="9">
        <v>-1.13402406901993E-2</v>
      </c>
      <c r="U186" s="12">
        <v>4.1063000000000002E-2</v>
      </c>
      <c r="V186" s="16">
        <v>2.2319</v>
      </c>
      <c r="W186" s="17">
        <f t="shared" si="2"/>
        <v>-8.9694063318680461E-3</v>
      </c>
    </row>
    <row r="187" spans="1:23" x14ac:dyDescent="0.2">
      <c r="A187" s="15">
        <v>41800</v>
      </c>
      <c r="B187" s="5">
        <v>576505609817994</v>
      </c>
      <c r="C187" s="5">
        <f>[1]!nefin_factors__1[[#This Row],[Rm_minus_Rf]]/B186-1</f>
        <v>1.8546643124707463</v>
      </c>
      <c r="D187" s="5">
        <v>-252593331507592</v>
      </c>
      <c r="E187" s="5">
        <f>[1]!nefin_factors__1[[#This Row],[SMB]]/D186-1</f>
        <v>-0.61777663756073986</v>
      </c>
      <c r="F187" s="5">
        <v>-177617537613115</v>
      </c>
      <c r="G187" s="5">
        <f>[1]!nefin_factors__1[[#This Row],[HML]]/F186-1</f>
        <v>-1.2098712813359558</v>
      </c>
      <c r="H187" s="5">
        <v>407769930846458</v>
      </c>
      <c r="I187" s="6">
        <f>[1]!nefin_factors__1[[#This Row],[Risk_Free]]/H186-1</f>
        <v>8.7931484094805334E-4</v>
      </c>
      <c r="J187">
        <v>58675</v>
      </c>
      <c r="K187">
        <v>58675</v>
      </c>
      <c r="L187">
        <v>57450</v>
      </c>
      <c r="M187">
        <v>58199</v>
      </c>
      <c r="N187">
        <v>3805800</v>
      </c>
      <c r="O187">
        <v>58199</v>
      </c>
      <c r="P187">
        <v>-8.12938850637401E-3</v>
      </c>
      <c r="Q187">
        <v>-8.1626121663229308E-3</v>
      </c>
      <c r="R187" s="8">
        <v>13.5167093276978</v>
      </c>
      <c r="S187" s="8">
        <v>-1.56062558191925E-2</v>
      </c>
      <c r="T187" s="9">
        <v>-1.5729315441943201E-2</v>
      </c>
      <c r="U187" s="12">
        <v>4.1063000000000002E-2</v>
      </c>
      <c r="V187" s="16">
        <v>2.2355999999999998</v>
      </c>
      <c r="W187" s="17">
        <f t="shared" si="2"/>
        <v>1.6577803665038804E-3</v>
      </c>
    </row>
    <row r="188" spans="1:23" x14ac:dyDescent="0.2">
      <c r="A188" s="14">
        <v>41801</v>
      </c>
      <c r="B188" s="3">
        <v>623345107322274</v>
      </c>
      <c r="C188" s="3">
        <f>[1]!nefin_factors__1[[#This Row],[Rm_minus_Rf]]/B187-1</f>
        <v>8.1247253637423356E-2</v>
      </c>
      <c r="D188" s="3">
        <v>-225220876588076</v>
      </c>
      <c r="E188" s="3">
        <f>[1]!nefin_factors__1[[#This Row],[SMB]]/D187-1</f>
        <v>-0.10836570687018821</v>
      </c>
      <c r="F188" s="3">
        <v>-240892083649643</v>
      </c>
      <c r="G188" s="3">
        <f>[1]!nefin_factors__1[[#This Row],[HML]]/F187-1</f>
        <v>0.35624041908717419</v>
      </c>
      <c r="H188" s="3">
        <v>407411687703085</v>
      </c>
      <c r="I188" s="4">
        <f>[1]!nefin_factors__1[[#This Row],[Risk_Free]]/H187-1</f>
        <v>-8.7854232564266166E-4</v>
      </c>
      <c r="J188">
        <v>58202</v>
      </c>
      <c r="K188">
        <v>58809</v>
      </c>
      <c r="L188">
        <v>58112</v>
      </c>
      <c r="M188">
        <v>58337</v>
      </c>
      <c r="N188">
        <v>2893100</v>
      </c>
      <c r="O188">
        <v>58337</v>
      </c>
      <c r="P188">
        <v>2.3711747624528502E-3</v>
      </c>
      <c r="Q188">
        <v>2.3683679636405199E-3</v>
      </c>
      <c r="R188" s="8">
        <v>13.7804498672485</v>
      </c>
      <c r="S188" s="8">
        <v>1.9512348313430499E-2</v>
      </c>
      <c r="T188" s="9">
        <v>1.9324423085976501E-2</v>
      </c>
      <c r="U188" s="12">
        <v>4.1063000000000002E-2</v>
      </c>
      <c r="V188" s="16">
        <v>2.2416</v>
      </c>
      <c r="W188" s="17">
        <f t="shared" si="2"/>
        <v>2.6838432635534204E-3</v>
      </c>
    </row>
    <row r="189" spans="1:23" x14ac:dyDescent="0.2">
      <c r="A189" s="15">
        <v>41803</v>
      </c>
      <c r="B189" s="5">
        <v>-508441484003771</v>
      </c>
      <c r="C189" s="5">
        <f>[1]!nefin_factors__1[[#This Row],[Rm_minus_Rf]]/B188-1</f>
        <v>-1.8156661182244638</v>
      </c>
      <c r="D189" s="5">
        <v>264844172836862</v>
      </c>
      <c r="E189" s="5">
        <f>[1]!nefin_factors__1[[#This Row],[SMB]]/D188-1</f>
        <v>-2.1759308322081354</v>
      </c>
      <c r="F189" s="5">
        <v>202883520612079</v>
      </c>
      <c r="G189" s="5">
        <f>[1]!nefin_factors__1[[#This Row],[HML]]/F188-1</f>
        <v>-1.8422174674164711</v>
      </c>
      <c r="H189" s="5">
        <v>407411687703085</v>
      </c>
      <c r="I189" s="6">
        <f>[1]!nefin_factors__1[[#This Row],[Risk_Free]]/H188-1</f>
        <v>0</v>
      </c>
      <c r="J189">
        <v>58336</v>
      </c>
      <c r="K189">
        <v>58336</v>
      </c>
      <c r="L189">
        <v>56666</v>
      </c>
      <c r="M189">
        <v>56928</v>
      </c>
      <c r="N189">
        <v>4620200</v>
      </c>
      <c r="O189">
        <v>56928</v>
      </c>
      <c r="P189">
        <v>-2.4152767540326001E-2</v>
      </c>
      <c r="Q189">
        <v>-2.4449228939409401E-2</v>
      </c>
      <c r="R189" s="8">
        <v>13.426048278808601</v>
      </c>
      <c r="S189" s="8">
        <v>-2.5717758240293199E-2</v>
      </c>
      <c r="T189" s="9">
        <v>-2.6054241382548301E-2</v>
      </c>
      <c r="U189" s="12">
        <v>4.1063000000000002E-2</v>
      </c>
      <c r="V189" s="16">
        <v>2.2490999999999999</v>
      </c>
      <c r="W189" s="17">
        <f t="shared" si="2"/>
        <v>3.3458244111348456E-3</v>
      </c>
    </row>
    <row r="190" spans="1:23" x14ac:dyDescent="0.2">
      <c r="A190" s="14">
        <v>41806</v>
      </c>
      <c r="B190" s="3">
        <v>-466009076123495</v>
      </c>
      <c r="C190" s="3">
        <f>[1]!nefin_factors__1[[#This Row],[Rm_minus_Rf]]/B189-1</f>
        <v>-8.3455833591975948E-2</v>
      </c>
      <c r="D190" s="3">
        <v>887792727312149</v>
      </c>
      <c r="E190" s="3">
        <f>[1]!nefin_factors__1[[#This Row],[SMB]]/D189-1</f>
        <v>2.3521323795899001</v>
      </c>
      <c r="F190" s="3">
        <v>-385123626319984</v>
      </c>
      <c r="G190" s="3">
        <f>[1]!nefin_factors__1[[#This Row],[HML]]/F189-1</f>
        <v>-2.8982499177759982</v>
      </c>
      <c r="H190" s="3">
        <v>407411687703085</v>
      </c>
      <c r="I190" s="4">
        <f>[1]!nefin_factors__1[[#This Row],[Risk_Free]]/H189-1</f>
        <v>0</v>
      </c>
      <c r="J190">
        <v>56930</v>
      </c>
      <c r="K190">
        <v>57949</v>
      </c>
      <c r="L190">
        <v>56852</v>
      </c>
      <c r="M190">
        <v>57949</v>
      </c>
      <c r="N190">
        <v>2902300</v>
      </c>
      <c r="O190">
        <v>57949</v>
      </c>
      <c r="P190">
        <v>1.7934935356941999E-2</v>
      </c>
      <c r="Q190">
        <v>1.77760018980525E-2</v>
      </c>
      <c r="R190" s="8">
        <v>13.4013223648071</v>
      </c>
      <c r="S190" s="8">
        <v>-1.84160957828305E-3</v>
      </c>
      <c r="T190" s="9">
        <v>-1.84330742603781E-3</v>
      </c>
      <c r="U190" s="12">
        <v>4.1063000000000002E-2</v>
      </c>
      <c r="V190" s="16">
        <v>2.2812999999999999</v>
      </c>
      <c r="W190" s="17">
        <f t="shared" si="2"/>
        <v>1.4316837846249708E-2</v>
      </c>
    </row>
    <row r="191" spans="1:23" x14ac:dyDescent="0.2">
      <c r="A191" s="15">
        <v>41807</v>
      </c>
      <c r="B191" s="5">
        <v>-615971201329572</v>
      </c>
      <c r="C191" s="5">
        <f>[1]!nefin_factors__1[[#This Row],[Rm_minus_Rf]]/B190-1</f>
        <v>0.32180086802930896</v>
      </c>
      <c r="D191" s="5">
        <v>2054816307625</v>
      </c>
      <c r="E191" s="5">
        <f>[1]!nefin_factors__1[[#This Row],[SMB]]/D190-1</f>
        <v>-0.99768547742686953</v>
      </c>
      <c r="F191" s="5">
        <v>-168196879778958</v>
      </c>
      <c r="G191" s="5">
        <f>[1]!nefin_factors__1[[#This Row],[HML]]/F190-1</f>
        <v>-0.56326522632187237</v>
      </c>
      <c r="H191" s="5">
        <v>407769930846458</v>
      </c>
      <c r="I191" s="6">
        <f>[1]!nefin_factors__1[[#This Row],[Risk_Free]]/H190-1</f>
        <v>8.7931484094805334E-4</v>
      </c>
      <c r="J191">
        <v>57949</v>
      </c>
      <c r="K191">
        <v>60243</v>
      </c>
      <c r="L191">
        <v>57946</v>
      </c>
      <c r="M191">
        <v>59115</v>
      </c>
      <c r="N191">
        <v>4876300</v>
      </c>
      <c r="O191">
        <v>59115</v>
      </c>
      <c r="P191">
        <v>2.0121141003296001E-2</v>
      </c>
      <c r="Q191">
        <v>1.9921385933599399E-2</v>
      </c>
      <c r="R191" s="8">
        <v>13.434289932251</v>
      </c>
      <c r="S191" s="8">
        <v>2.4600639600387301E-3</v>
      </c>
      <c r="T191" s="9">
        <v>2.4570429562556198E-3</v>
      </c>
      <c r="U191" s="12">
        <v>4.1063000000000002E-2</v>
      </c>
      <c r="V191" s="16">
        <v>2.2967</v>
      </c>
      <c r="W191" s="17">
        <f t="shared" si="2"/>
        <v>6.7505369745322064E-3</v>
      </c>
    </row>
    <row r="192" spans="1:23" x14ac:dyDescent="0.2">
      <c r="A192" s="14">
        <v>41808</v>
      </c>
      <c r="B192" s="3">
        <v>15722001443731</v>
      </c>
      <c r="C192" s="3">
        <f>[1]!nefin_factors__1[[#This Row],[Rm_minus_Rf]]/B191-1</f>
        <v>-1.0255239228876205</v>
      </c>
      <c r="D192" s="3">
        <v>-73283409491138</v>
      </c>
      <c r="E192" s="3">
        <f>[1]!nefin_factors__1[[#This Row],[SMB]]/D191-1</f>
        <v>-36.664214469779303</v>
      </c>
      <c r="F192" s="3">
        <v>945224784779808</v>
      </c>
      <c r="G192" s="3">
        <f>[1]!nefin_factors__1[[#This Row],[HML]]/F191-1</f>
        <v>-6.6197521976745897</v>
      </c>
      <c r="H192" s="3">
        <v>407411687703085</v>
      </c>
      <c r="I192" s="4">
        <f>[1]!nefin_factors__1[[#This Row],[Risk_Free]]/H191-1</f>
        <v>-8.7854232564266166E-4</v>
      </c>
      <c r="J192">
        <v>59115</v>
      </c>
      <c r="K192">
        <v>60025</v>
      </c>
      <c r="L192">
        <v>59096</v>
      </c>
      <c r="M192">
        <v>59108</v>
      </c>
      <c r="N192">
        <v>3525800</v>
      </c>
      <c r="O192">
        <v>59108</v>
      </c>
      <c r="P192">
        <v>-1.18413262285344E-4</v>
      </c>
      <c r="Q192">
        <v>-1.18420273689187E-4</v>
      </c>
      <c r="R192" s="8">
        <v>13.351870536804199</v>
      </c>
      <c r="S192" s="8">
        <v>-6.1350672422814103E-3</v>
      </c>
      <c r="T192" s="9">
        <v>-6.1539640959378701E-3</v>
      </c>
      <c r="U192" s="12">
        <v>4.1063000000000002E-2</v>
      </c>
      <c r="V192" s="16">
        <v>2.2879999999999998</v>
      </c>
      <c r="W192" s="17">
        <f t="shared" si="2"/>
        <v>-3.7880437148953838E-3</v>
      </c>
    </row>
    <row r="193" spans="1:23" x14ac:dyDescent="0.2">
      <c r="A193" s="15">
        <v>41810</v>
      </c>
      <c r="B193" s="5">
        <v>-945124955927402</v>
      </c>
      <c r="C193" s="5">
        <f>[1]!nefin_factors__1[[#This Row],[Rm_minus_Rf]]/B192-1</f>
        <v>-61.114798952919678</v>
      </c>
      <c r="D193" s="5">
        <v>741354893062361</v>
      </c>
      <c r="E193" s="5">
        <f>[1]!nefin_factors__1[[#This Row],[SMB]]/D192-1</f>
        <v>-11.116271857575232</v>
      </c>
      <c r="F193" s="5">
        <v>-652132877887355</v>
      </c>
      <c r="G193" s="5">
        <f>[1]!nefin_factors__1[[#This Row],[HML]]/F192-1</f>
        <v>-1.6899235910739165</v>
      </c>
      <c r="H193" s="5">
        <v>407411687703085</v>
      </c>
      <c r="I193" s="6">
        <f>[1]!nefin_factors__1[[#This Row],[Risk_Free]]/H192-1</f>
        <v>0</v>
      </c>
      <c r="J193">
        <v>59108</v>
      </c>
      <c r="K193">
        <v>59267</v>
      </c>
      <c r="L193">
        <v>58118</v>
      </c>
      <c r="M193">
        <v>58374</v>
      </c>
      <c r="N193">
        <v>3848200</v>
      </c>
      <c r="O193">
        <v>58374</v>
      </c>
      <c r="P193">
        <v>-1.24179468092306E-2</v>
      </c>
      <c r="Q193">
        <v>-1.2495693820041899E-2</v>
      </c>
      <c r="R193" s="8">
        <v>13.1046142578125</v>
      </c>
      <c r="S193" s="8">
        <v>-1.8518408318471999E-2</v>
      </c>
      <c r="T193" s="9">
        <v>-1.8692020732866101E-2</v>
      </c>
      <c r="U193" s="12">
        <v>4.1063000000000002E-2</v>
      </c>
      <c r="V193" s="16">
        <v>2.3250999999999999</v>
      </c>
      <c r="W193" s="17">
        <f t="shared" si="2"/>
        <v>1.6215034965034958E-2</v>
      </c>
    </row>
    <row r="194" spans="1:23" x14ac:dyDescent="0.2">
      <c r="A194" s="14">
        <v>41813</v>
      </c>
      <c r="B194" s="3">
        <v>-979635037606757</v>
      </c>
      <c r="C194" s="3">
        <f>[1]!nefin_factors__1[[#This Row],[Rm_minus_Rf]]/B193-1</f>
        <v>3.6513776789961039E-2</v>
      </c>
      <c r="D194" s="3">
        <v>700493401584834</v>
      </c>
      <c r="E194" s="3">
        <f>[1]!nefin_factors__1[[#This Row],[SMB]]/D193-1</f>
        <v>-5.5117315417907209E-2</v>
      </c>
      <c r="F194" s="3">
        <v>680910946180303</v>
      </c>
      <c r="G194" s="3">
        <f>[1]!nefin_factors__1[[#This Row],[HML]]/F193-1</f>
        <v>-2.0441291480137869</v>
      </c>
      <c r="H194" s="3">
        <v>407411687703085</v>
      </c>
      <c r="I194" s="4">
        <f>[1]!nefin_factors__1[[#This Row],[Risk_Free]]/H193-1</f>
        <v>0</v>
      </c>
      <c r="J194">
        <v>58356</v>
      </c>
      <c r="K194">
        <v>58516</v>
      </c>
      <c r="L194">
        <v>57514</v>
      </c>
      <c r="M194">
        <v>57789</v>
      </c>
      <c r="N194">
        <v>3464700</v>
      </c>
      <c r="O194">
        <v>57789</v>
      </c>
      <c r="P194">
        <v>-1.0021584952204701E-2</v>
      </c>
      <c r="Q194">
        <v>-1.00721390732149E-2</v>
      </c>
      <c r="R194" s="8">
        <v>13.0634050369263</v>
      </c>
      <c r="S194" s="8">
        <v>-3.1447457629653099E-3</v>
      </c>
      <c r="T194" s="9">
        <v>-3.1497008670107601E-3</v>
      </c>
      <c r="U194" s="12">
        <v>4.1063000000000002E-2</v>
      </c>
      <c r="V194" s="16">
        <v>2.3401000000000001</v>
      </c>
      <c r="W194" s="17">
        <f t="shared" si="2"/>
        <v>6.4513354264332801E-3</v>
      </c>
    </row>
    <row r="195" spans="1:23" x14ac:dyDescent="0.2">
      <c r="A195" s="15">
        <v>41814</v>
      </c>
      <c r="B195" s="5">
        <v>837949654442072</v>
      </c>
      <c r="C195" s="5">
        <f>[1]!nefin_factors__1[[#This Row],[Rm_minus_Rf]]/B194-1</f>
        <v>-1.8553692163656972</v>
      </c>
      <c r="D195" s="5">
        <v>-386080320613364</v>
      </c>
      <c r="E195" s="5">
        <f>[1]!nefin_factors__1[[#This Row],[SMB]]/D194-1</f>
        <v>-1.5511548284964214</v>
      </c>
      <c r="F195" s="5">
        <v>-139551297824777</v>
      </c>
      <c r="G195" s="5">
        <f>[1]!nefin_factors__1[[#This Row],[HML]]/F194-1</f>
        <v>-1.2049479430571883</v>
      </c>
      <c r="H195" s="5">
        <v>407411687703085</v>
      </c>
      <c r="I195" s="6">
        <f>[1]!nefin_factors__1[[#This Row],[Risk_Free]]/H194-1</f>
        <v>0</v>
      </c>
      <c r="J195">
        <v>57788</v>
      </c>
      <c r="K195">
        <v>57788</v>
      </c>
      <c r="L195">
        <v>55974</v>
      </c>
      <c r="M195">
        <v>56818</v>
      </c>
      <c r="N195">
        <v>3814900</v>
      </c>
      <c r="O195">
        <v>56818</v>
      </c>
      <c r="P195">
        <v>-1.68025056671685E-2</v>
      </c>
      <c r="Q195">
        <v>-1.6945269215219699E-2</v>
      </c>
      <c r="R195" s="8">
        <v>12.923292160034199</v>
      </c>
      <c r="S195" s="8">
        <v>-1.07255990975003E-2</v>
      </c>
      <c r="T195" s="9">
        <v>-1.0783532958132201E-2</v>
      </c>
      <c r="U195" s="12">
        <v>4.1063000000000002E-2</v>
      </c>
      <c r="V195" s="16">
        <v>2.3351000000000002</v>
      </c>
      <c r="W195" s="17">
        <f t="shared" si="2"/>
        <v>-2.136660826460357E-3</v>
      </c>
    </row>
    <row r="196" spans="1:23" x14ac:dyDescent="0.2">
      <c r="A196" s="14">
        <v>41815</v>
      </c>
      <c r="B196" s="3">
        <v>-137051191143016</v>
      </c>
      <c r="C196" s="3">
        <f>[1]!nefin_factors__1[[#This Row],[Rm_minus_Rf]]/B195-1</f>
        <v>-1.1635554002755311</v>
      </c>
      <c r="D196" s="3">
        <v>486089212247849</v>
      </c>
      <c r="E196" s="3">
        <f>[1]!nefin_factors__1[[#This Row],[SMB]]/D195-1</f>
        <v>-2.2590364913591072</v>
      </c>
      <c r="F196" s="3">
        <v>-3503826084.2912598</v>
      </c>
      <c r="G196" s="3">
        <f>[1]!nefin_factors__1[[#This Row],[HML]]/F195-1</f>
        <v>-0.99997489219993718</v>
      </c>
      <c r="H196" s="3">
        <v>407411687703085</v>
      </c>
      <c r="I196" s="4">
        <f>[1]!nefin_factors__1[[#This Row],[Risk_Free]]/H195-1</f>
        <v>0</v>
      </c>
      <c r="J196">
        <v>56818</v>
      </c>
      <c r="K196">
        <v>57332</v>
      </c>
      <c r="L196">
        <v>56086</v>
      </c>
      <c r="M196">
        <v>56541</v>
      </c>
      <c r="N196">
        <v>3317200</v>
      </c>
      <c r="O196">
        <v>56541</v>
      </c>
      <c r="P196">
        <v>-4.8752156006899297E-3</v>
      </c>
      <c r="Q196">
        <v>-4.8871382303105398E-3</v>
      </c>
      <c r="R196" s="8">
        <v>13.055163383483899</v>
      </c>
      <c r="S196" s="8">
        <v>1.02042457781364E-2</v>
      </c>
      <c r="T196" s="9">
        <v>1.0152533951453E-2</v>
      </c>
      <c r="U196" s="12">
        <v>4.1063000000000002E-2</v>
      </c>
      <c r="V196" s="16">
        <v>2.3384</v>
      </c>
      <c r="W196" s="17">
        <f t="shared" ref="W196:W259" si="3">V196/V195-1</f>
        <v>1.4132157081065966E-3</v>
      </c>
    </row>
    <row r="197" spans="1:23" x14ac:dyDescent="0.2">
      <c r="A197" s="15">
        <v>41816</v>
      </c>
      <c r="B197" s="5">
        <v>205128606556451</v>
      </c>
      <c r="C197" s="5">
        <f>[1]!nefin_factors__1[[#This Row],[Rm_minus_Rf]]/B196-1</f>
        <v>-2.4967298339085189</v>
      </c>
      <c r="D197" s="5">
        <v>352440824467045</v>
      </c>
      <c r="E197" s="5">
        <f>[1]!nefin_factors__1[[#This Row],[SMB]]/D196-1</f>
        <v>-0.27494621236864414</v>
      </c>
      <c r="F197" s="5">
        <v>148475024699961</v>
      </c>
      <c r="G197" s="5">
        <f>[1]!nefin_factors__1[[#This Row],[HML]]/F196-1</f>
        <v>-42376.112556419575</v>
      </c>
      <c r="H197" s="5">
        <v>407769930846458</v>
      </c>
      <c r="I197" s="6">
        <f>[1]!nefin_factors__1[[#This Row],[Risk_Free]]/H196-1</f>
        <v>8.7931484094805334E-4</v>
      </c>
      <c r="J197">
        <v>56539</v>
      </c>
      <c r="K197">
        <v>57131</v>
      </c>
      <c r="L197">
        <v>55934</v>
      </c>
      <c r="M197">
        <v>56824</v>
      </c>
      <c r="N197">
        <v>2848300</v>
      </c>
      <c r="O197">
        <v>56824</v>
      </c>
      <c r="P197">
        <v>5.0052174528218999E-3</v>
      </c>
      <c r="Q197">
        <v>4.99273299290848E-3</v>
      </c>
      <c r="R197" s="8">
        <v>13.1046142578125</v>
      </c>
      <c r="S197" s="8">
        <v>3.78785573466978E-3</v>
      </c>
      <c r="T197" s="9">
        <v>3.7806998736900099E-3</v>
      </c>
      <c r="U197" s="12">
        <v>4.1063000000000002E-2</v>
      </c>
      <c r="V197" s="16">
        <v>2.3668</v>
      </c>
      <c r="W197" s="17">
        <f t="shared" si="3"/>
        <v>1.2145056448853886E-2</v>
      </c>
    </row>
    <row r="198" spans="1:23" x14ac:dyDescent="0.2">
      <c r="A198" s="14">
        <v>41817</v>
      </c>
      <c r="B198" s="3">
        <v>-698021855771467</v>
      </c>
      <c r="C198" s="3">
        <f>[1]!nefin_factors__1[[#This Row],[Rm_minus_Rf]]/B197-1</f>
        <v>-4.4028498876356021</v>
      </c>
      <c r="D198" s="3">
        <v>655928743489925</v>
      </c>
      <c r="E198" s="3">
        <f>[1]!nefin_factors__1[[#This Row],[SMB]]/D197-1</f>
        <v>0.86110319223605614</v>
      </c>
      <c r="F198" s="3">
        <v>-444051170965044</v>
      </c>
      <c r="G198" s="3">
        <f>[1]!nefin_factors__1[[#This Row],[HML]]/F197-1</f>
        <v>-3.9907465707608711</v>
      </c>
      <c r="H198" s="3">
        <v>407053412356806</v>
      </c>
      <c r="I198" s="4">
        <f>[1]!nefin_factors__1[[#This Row],[Risk_Free]]/H197-1</f>
        <v>-1.7571636245091726E-3</v>
      </c>
      <c r="J198">
        <v>56822</v>
      </c>
      <c r="K198">
        <v>56822</v>
      </c>
      <c r="L198">
        <v>55876</v>
      </c>
      <c r="M198">
        <v>55962</v>
      </c>
      <c r="N198">
        <v>2845400</v>
      </c>
      <c r="O198">
        <v>55962</v>
      </c>
      <c r="P198">
        <v>-1.5169646628185301E-2</v>
      </c>
      <c r="Q198">
        <v>-1.5285882722727399E-2</v>
      </c>
      <c r="R198" s="8">
        <v>12.7996635437012</v>
      </c>
      <c r="S198" s="8">
        <v>-2.3270520643420799E-2</v>
      </c>
      <c r="T198" s="9">
        <v>-2.35455543727662E-2</v>
      </c>
      <c r="U198" s="12">
        <v>4.1063000000000002E-2</v>
      </c>
      <c r="V198" s="16">
        <v>2.3656000000000001</v>
      </c>
      <c r="W198" s="17">
        <f t="shared" si="3"/>
        <v>-5.0701368936956204E-4</v>
      </c>
    </row>
    <row r="199" spans="1:23" x14ac:dyDescent="0.2">
      <c r="A199" s="15">
        <v>41820</v>
      </c>
      <c r="B199" s="5">
        <v>688864204438007</v>
      </c>
      <c r="C199" s="5">
        <f>[1]!nefin_factors__1[[#This Row],[Rm_minus_Rf]]/B198-1</f>
        <v>-1.9868805664783393</v>
      </c>
      <c r="D199" s="5">
        <v>545209411893719</v>
      </c>
      <c r="E199" s="5">
        <f>[1]!nefin_factors__1[[#This Row],[SMB]]/D198-1</f>
        <v>-0.16879780417475587</v>
      </c>
      <c r="F199" s="5">
        <v>384491139343559</v>
      </c>
      <c r="G199" s="5">
        <f>[1]!nefin_factors__1[[#This Row],[HML]]/F198-1</f>
        <v>-1.8658712429649835</v>
      </c>
      <c r="H199" s="5">
        <v>407411687703085</v>
      </c>
      <c r="I199" s="6">
        <f>[1]!nefin_factors__1[[#This Row],[Risk_Free]]/H198-1</f>
        <v>8.8016789788003535E-4</v>
      </c>
      <c r="J199">
        <v>55965</v>
      </c>
      <c r="K199">
        <v>57489</v>
      </c>
      <c r="L199">
        <v>55946</v>
      </c>
      <c r="M199">
        <v>57212</v>
      </c>
      <c r="N199">
        <v>2982200</v>
      </c>
      <c r="O199">
        <v>57212</v>
      </c>
      <c r="P199">
        <v>2.2336585540188001E-2</v>
      </c>
      <c r="Q199">
        <v>2.2090777619872201E-2</v>
      </c>
      <c r="R199" s="8">
        <v>13.1046142578125</v>
      </c>
      <c r="S199" s="8">
        <v>2.38249393872603E-2</v>
      </c>
      <c r="T199" s="9">
        <v>2.3545554372766099E-2</v>
      </c>
      <c r="U199" s="12">
        <v>4.1063000000000002E-2</v>
      </c>
      <c r="V199" s="16">
        <v>2.387</v>
      </c>
      <c r="W199" s="17">
        <f t="shared" si="3"/>
        <v>9.0463307406154492E-3</v>
      </c>
    </row>
    <row r="200" spans="1:23" x14ac:dyDescent="0.2">
      <c r="A200" s="14">
        <v>41821</v>
      </c>
      <c r="B200" s="3">
        <v>-1639303049</v>
      </c>
      <c r="C200" s="3">
        <f>[1]!nefin_factors__1[[#This Row],[Rm_minus_Rf]]/B199-1</f>
        <v>-1.000002379718729</v>
      </c>
      <c r="D200" s="3">
        <v>135737876220425</v>
      </c>
      <c r="E200" s="3">
        <f>[1]!nefin_factors__1[[#This Row],[SMB]]/D199-1</f>
        <v>-0.75103533934061062</v>
      </c>
      <c r="F200" s="3">
        <v>169512426942952</v>
      </c>
      <c r="G200" s="3">
        <f>[1]!nefin_factors__1[[#This Row],[HML]]/F199-1</f>
        <v>-0.55912527078683727</v>
      </c>
      <c r="H200" s="3">
        <v>407769930846458</v>
      </c>
      <c r="I200" s="4">
        <f>[1]!nefin_factors__1[[#This Row],[Risk_Free]]/H199-1</f>
        <v>8.7931484094805334E-4</v>
      </c>
      <c r="J200">
        <v>57211</v>
      </c>
      <c r="K200">
        <v>57211</v>
      </c>
      <c r="L200">
        <v>54124</v>
      </c>
      <c r="M200">
        <v>54625</v>
      </c>
      <c r="N200">
        <v>5186400</v>
      </c>
      <c r="O200">
        <v>54625</v>
      </c>
      <c r="P200">
        <v>-4.5217786478361201E-2</v>
      </c>
      <c r="Q200">
        <v>-4.6272013176899399E-2</v>
      </c>
      <c r="R200" s="8">
        <v>13.0221948623657</v>
      </c>
      <c r="S200" s="8">
        <v>-6.2894915259305E-3</v>
      </c>
      <c r="T200" s="9">
        <v>-6.3093537035535802E-3</v>
      </c>
      <c r="U200" s="12">
        <v>4.1063000000000002E-2</v>
      </c>
      <c r="V200" s="16">
        <v>2.4026000000000001</v>
      </c>
      <c r="W200" s="17">
        <f t="shared" si="3"/>
        <v>6.5354000837871684E-3</v>
      </c>
    </row>
    <row r="201" spans="1:23" x14ac:dyDescent="0.2">
      <c r="A201" s="15">
        <v>41822</v>
      </c>
      <c r="B201" s="5">
        <v>-466932425418165</v>
      </c>
      <c r="C201" s="5">
        <f>[1]!nefin_factors__1[[#This Row],[Rm_minus_Rf]]/B200-1</f>
        <v>284834.94031195203</v>
      </c>
      <c r="D201" s="5">
        <v>-12062275212797</v>
      </c>
      <c r="E201" s="5">
        <f>[1]!nefin_factors__1[[#This Row],[SMB]]/D200-1</f>
        <v>-1.0888644757724737</v>
      </c>
      <c r="F201" s="5">
        <v>693728549278018</v>
      </c>
      <c r="G201" s="5">
        <f>[1]!nefin_factors__1[[#This Row],[HML]]/F200-1</f>
        <v>3.0924937586521999</v>
      </c>
      <c r="H201" s="5">
        <v>407053412356806</v>
      </c>
      <c r="I201" s="6">
        <f>[1]!nefin_factors__1[[#This Row],[Risk_Free]]/H200-1</f>
        <v>-1.7571636245091726E-3</v>
      </c>
      <c r="J201">
        <v>54626</v>
      </c>
      <c r="K201">
        <v>54626</v>
      </c>
      <c r="L201">
        <v>53536</v>
      </c>
      <c r="M201">
        <v>54116</v>
      </c>
      <c r="N201">
        <v>5222300</v>
      </c>
      <c r="O201">
        <v>54116</v>
      </c>
      <c r="P201">
        <v>-9.3180778032037094E-3</v>
      </c>
      <c r="Q201">
        <v>-9.3617626746404399E-3</v>
      </c>
      <c r="R201" s="8">
        <v>12.8573570251465</v>
      </c>
      <c r="S201" s="8">
        <v>-1.2658181296328799E-2</v>
      </c>
      <c r="T201" s="9">
        <v>-1.27389786288408E-2</v>
      </c>
      <c r="U201" s="12">
        <v>4.1063000000000002E-2</v>
      </c>
      <c r="V201" s="16">
        <v>2.407</v>
      </c>
      <c r="W201" s="17">
        <f t="shared" si="3"/>
        <v>1.8313493715140794E-3</v>
      </c>
    </row>
    <row r="202" spans="1:23" x14ac:dyDescent="0.2">
      <c r="A202" s="14">
        <v>41823</v>
      </c>
      <c r="B202" s="3">
        <v>138091306441648</v>
      </c>
      <c r="C202" s="3">
        <f>[1]!nefin_factors__1[[#This Row],[Rm_minus_Rf]]/B201-1</f>
        <v>-1.2957415225939368</v>
      </c>
      <c r="D202" s="3">
        <v>-156861711734639</v>
      </c>
      <c r="E202" s="3">
        <f>[1]!nefin_factors__1[[#This Row],[SMB]]/D201-1</f>
        <v>12.004322067550133</v>
      </c>
      <c r="F202" s="3">
        <v>18596968797871</v>
      </c>
      <c r="G202" s="3">
        <f>[1]!nefin_factors__1[[#This Row],[HML]]/F201-1</f>
        <v>-0.97319272960983749</v>
      </c>
      <c r="H202" s="3">
        <v>407411687703085</v>
      </c>
      <c r="I202" s="4">
        <f>[1]!nefin_factors__1[[#This Row],[Risk_Free]]/H201-1</f>
        <v>8.8016789788003535E-4</v>
      </c>
      <c r="J202">
        <v>54115</v>
      </c>
      <c r="K202">
        <v>54115</v>
      </c>
      <c r="L202">
        <v>52647</v>
      </c>
      <c r="M202">
        <v>52858</v>
      </c>
      <c r="N202">
        <v>4918800</v>
      </c>
      <c r="O202">
        <v>52858</v>
      </c>
      <c r="P202">
        <v>-2.32463596718161E-2</v>
      </c>
      <c r="Q202">
        <v>-2.3520818073422201E-2</v>
      </c>
      <c r="R202" s="8">
        <v>12.8903245925903</v>
      </c>
      <c r="S202" s="8">
        <v>2.5641438053789498E-3</v>
      </c>
      <c r="T202" s="9">
        <v>2.5608619974727899E-3</v>
      </c>
      <c r="U202" s="12">
        <v>4.1063000000000002E-2</v>
      </c>
      <c r="V202" s="16">
        <v>2.4085000000000001</v>
      </c>
      <c r="W202" s="17">
        <f t="shared" si="3"/>
        <v>6.2318238471137377E-4</v>
      </c>
    </row>
    <row r="203" spans="1:23" x14ac:dyDescent="0.2">
      <c r="A203" s="15">
        <v>41824</v>
      </c>
      <c r="B203" s="5">
        <v>293959126669614</v>
      </c>
      <c r="C203" s="5">
        <f>[1]!nefin_factors__1[[#This Row],[Rm_minus_Rf]]/B202-1</f>
        <v>1.1287301441660968</v>
      </c>
      <c r="D203" s="5">
        <v>-190487498989947</v>
      </c>
      <c r="E203" s="5">
        <f>[1]!nefin_factors__1[[#This Row],[SMB]]/D202-1</f>
        <v>0.21436580592842391</v>
      </c>
      <c r="F203" s="5">
        <v>-179341367071172</v>
      </c>
      <c r="G203" s="5">
        <f>[1]!nefin_factors__1[[#This Row],[HML]]/F202-1</f>
        <v>-10.643580575975541</v>
      </c>
      <c r="H203" s="5">
        <v>407411687703085</v>
      </c>
      <c r="I203" s="6">
        <f>[1]!nefin_factors__1[[#This Row],[Risk_Free]]/H202-1</f>
        <v>0</v>
      </c>
      <c r="J203">
        <v>52859</v>
      </c>
      <c r="K203">
        <v>54022</v>
      </c>
      <c r="L203">
        <v>52480</v>
      </c>
      <c r="M203">
        <v>53519</v>
      </c>
      <c r="N203">
        <v>3986300</v>
      </c>
      <c r="O203">
        <v>53519</v>
      </c>
      <c r="P203">
        <v>1.25052026183359E-2</v>
      </c>
      <c r="Q203">
        <v>1.2427658373835601E-2</v>
      </c>
      <c r="R203" s="8">
        <v>12.5771331787109</v>
      </c>
      <c r="S203" s="8">
        <v>-2.4296558362604699E-2</v>
      </c>
      <c r="T203" s="9">
        <v>-2.4596589522403699E-2</v>
      </c>
      <c r="U203" s="12">
        <v>4.1063000000000002E-2</v>
      </c>
      <c r="V203" s="16">
        <v>2.431</v>
      </c>
      <c r="W203" s="17">
        <f t="shared" si="3"/>
        <v>9.3419140543906654E-3</v>
      </c>
    </row>
    <row r="204" spans="1:23" x14ac:dyDescent="0.2">
      <c r="A204" s="14">
        <v>41827</v>
      </c>
      <c r="B204" s="3">
        <v>-534842391598032</v>
      </c>
      <c r="C204" s="3">
        <f>[1]!nefin_factors__1[[#This Row],[Rm_minus_Rf]]/B203-1</f>
        <v>-2.8194447563424392</v>
      </c>
      <c r="D204" s="3">
        <v>-40731516771108</v>
      </c>
      <c r="E204" s="3">
        <f>[1]!nefin_factors__1[[#This Row],[SMB]]/D203-1</f>
        <v>-0.78617223184153617</v>
      </c>
      <c r="F204" s="3">
        <v>590492463518734</v>
      </c>
      <c r="G204" s="3">
        <f>[1]!nefin_factors__1[[#This Row],[HML]]/F203-1</f>
        <v>-4.2925614048899039</v>
      </c>
      <c r="H204" s="3">
        <v>407411687703085</v>
      </c>
      <c r="I204" s="4">
        <f>[1]!nefin_factors__1[[#This Row],[Risk_Free]]/H203-1</f>
        <v>0</v>
      </c>
      <c r="J204">
        <v>53519</v>
      </c>
      <c r="K204">
        <v>54540</v>
      </c>
      <c r="L204">
        <v>53368</v>
      </c>
      <c r="M204">
        <v>54540</v>
      </c>
      <c r="N204">
        <v>3708600</v>
      </c>
      <c r="O204">
        <v>54540</v>
      </c>
      <c r="P204">
        <v>1.9077337020497302E-2</v>
      </c>
      <c r="Q204">
        <v>1.8897646375915102E-2</v>
      </c>
      <c r="R204" s="8">
        <v>12.7914218902588</v>
      </c>
      <c r="S204" s="8">
        <v>1.7037846467437699E-2</v>
      </c>
      <c r="T204" s="9">
        <v>1.68943302062942E-2</v>
      </c>
      <c r="U204" s="12">
        <v>4.1063000000000002E-2</v>
      </c>
      <c r="V204" s="16">
        <v>2.4521999999999999</v>
      </c>
      <c r="W204" s="17">
        <f t="shared" si="3"/>
        <v>8.7206910736321586E-3</v>
      </c>
    </row>
    <row r="205" spans="1:23" x14ac:dyDescent="0.2">
      <c r="A205" s="15">
        <v>41828</v>
      </c>
      <c r="B205" s="5">
        <v>-295871919213727</v>
      </c>
      <c r="C205" s="5">
        <f>[1]!nefin_factors__1[[#This Row],[Rm_minus_Rf]]/B204-1</f>
        <v>-0.44680540686069337</v>
      </c>
      <c r="D205" s="5">
        <v>-206692821350815</v>
      </c>
      <c r="E205" s="5">
        <f>[1]!nefin_factors__1[[#This Row],[SMB]]/D204-1</f>
        <v>4.074518155371714</v>
      </c>
      <c r="F205" s="5">
        <v>968492089132881</v>
      </c>
      <c r="G205" s="5">
        <f>[1]!nefin_factors__1[[#This Row],[HML]]/F204-1</f>
        <v>0.64014301446229127</v>
      </c>
      <c r="H205" s="5">
        <v>407411687703085</v>
      </c>
      <c r="I205" s="6">
        <f>[1]!nefin_factors__1[[#This Row],[Risk_Free]]/H204-1</f>
        <v>0</v>
      </c>
      <c r="J205">
        <v>54542</v>
      </c>
      <c r="K205">
        <v>58897</v>
      </c>
      <c r="L205">
        <v>54542</v>
      </c>
      <c r="M205">
        <v>57116</v>
      </c>
      <c r="N205">
        <v>6714000</v>
      </c>
      <c r="O205">
        <v>57116</v>
      </c>
      <c r="P205">
        <v>4.7231389805647297E-2</v>
      </c>
      <c r="Q205">
        <v>4.6149910150606398E-2</v>
      </c>
      <c r="R205" s="8">
        <v>13.0221948623657</v>
      </c>
      <c r="S205" s="8">
        <v>1.80411868930512E-2</v>
      </c>
      <c r="T205" s="9">
        <v>1.7880375947477298E-2</v>
      </c>
      <c r="U205" s="12">
        <v>4.1063000000000002E-2</v>
      </c>
      <c r="V205" s="16">
        <v>2.4510000000000001</v>
      </c>
      <c r="W205" s="17">
        <f t="shared" si="3"/>
        <v>-4.8935649620740485E-4</v>
      </c>
    </row>
    <row r="206" spans="1:23" x14ac:dyDescent="0.2">
      <c r="A206" s="14">
        <v>41830</v>
      </c>
      <c r="B206" s="3">
        <v>114590033799041</v>
      </c>
      <c r="C206" s="3">
        <f>[1]!nefin_factors__1[[#This Row],[Rm_minus_Rf]]/B205-1</f>
        <v>-1.3872960776526595</v>
      </c>
      <c r="D206" s="3">
        <v>-169638276019074</v>
      </c>
      <c r="E206" s="3">
        <f>[1]!nefin_factors__1[[#This Row],[SMB]]/D205-1</f>
        <v>-0.17927349914513557</v>
      </c>
      <c r="F206" s="3">
        <v>-346032321324208</v>
      </c>
      <c r="G206" s="3">
        <f>[1]!nefin_factors__1[[#This Row],[HML]]/F205-1</f>
        <v>-1.3572897757316951</v>
      </c>
      <c r="H206" s="3">
        <v>407411687703085</v>
      </c>
      <c r="I206" s="4">
        <f>[1]!nefin_factors__1[[#This Row],[Risk_Free]]/H205-1</f>
        <v>0</v>
      </c>
      <c r="J206">
        <v>57124</v>
      </c>
      <c r="K206">
        <v>58318</v>
      </c>
      <c r="L206">
        <v>57124</v>
      </c>
      <c r="M206">
        <v>57436</v>
      </c>
      <c r="N206">
        <v>4874100</v>
      </c>
      <c r="O206">
        <v>57436</v>
      </c>
      <c r="P206">
        <v>5.60263323762178E-3</v>
      </c>
      <c r="Q206">
        <v>5.5869968640817197E-3</v>
      </c>
      <c r="R206" s="8">
        <v>13.3024196624756</v>
      </c>
      <c r="S206" s="8">
        <v>2.15192508882842E-2</v>
      </c>
      <c r="T206" s="9">
        <v>2.12909808035751E-2</v>
      </c>
      <c r="U206" s="12">
        <v>4.1063000000000002E-2</v>
      </c>
      <c r="V206" s="16">
        <v>2.4622999999999999</v>
      </c>
      <c r="W206" s="17">
        <f t="shared" si="3"/>
        <v>4.6103631170950621E-3</v>
      </c>
    </row>
    <row r="207" spans="1:23" x14ac:dyDescent="0.2">
      <c r="A207" s="15">
        <v>41831</v>
      </c>
      <c r="B207" s="5">
        <v>347949972050568</v>
      </c>
      <c r="C207" s="5">
        <f>[1]!nefin_factors__1[[#This Row],[Rm_minus_Rf]]/B206-1</f>
        <v>2.036476738114724</v>
      </c>
      <c r="D207" s="5">
        <v>501607354955623</v>
      </c>
      <c r="E207" s="5">
        <f>[1]!nefin_factors__1[[#This Row],[SMB]]/D206-1</f>
        <v>-3.9569232058171981</v>
      </c>
      <c r="F207" s="5">
        <v>38821040990903</v>
      </c>
      <c r="G207" s="5">
        <f>[1]!nefin_factors__1[[#This Row],[HML]]/F206-1</f>
        <v>-1.1121890603812423</v>
      </c>
      <c r="H207" s="5">
        <v>407411687703085</v>
      </c>
      <c r="I207" s="6">
        <f>[1]!nefin_factors__1[[#This Row],[Risk_Free]]/H206-1</f>
        <v>0</v>
      </c>
      <c r="J207">
        <v>57440</v>
      </c>
      <c r="K207">
        <v>58191</v>
      </c>
      <c r="L207">
        <v>56199</v>
      </c>
      <c r="M207">
        <v>57058</v>
      </c>
      <c r="N207">
        <v>4807200</v>
      </c>
      <c r="O207">
        <v>57058</v>
      </c>
      <c r="P207">
        <v>-6.5812382477888898E-3</v>
      </c>
      <c r="Q207">
        <v>-6.60299008476538E-3</v>
      </c>
      <c r="R207" s="8">
        <v>13.351870536804199</v>
      </c>
      <c r="S207" s="8">
        <v>3.7172856647138498E-3</v>
      </c>
      <c r="T207" s="9">
        <v>3.7103936328444199E-3</v>
      </c>
      <c r="U207" s="12">
        <v>4.1063000000000002E-2</v>
      </c>
      <c r="V207" s="16">
        <v>2.4784999999999999</v>
      </c>
      <c r="W207" s="17">
        <f t="shared" si="3"/>
        <v>6.5792145554968151E-3</v>
      </c>
    </row>
    <row r="208" spans="1:23" x14ac:dyDescent="0.2">
      <c r="A208" s="14">
        <v>41834</v>
      </c>
      <c r="B208" s="3">
        <v>140915431980279</v>
      </c>
      <c r="C208" s="3">
        <f>[1]!nefin_factors__1[[#This Row],[Rm_minus_Rf]]/B207-1</f>
        <v>-0.59501237735463997</v>
      </c>
      <c r="D208" s="3">
        <v>-11868415301333</v>
      </c>
      <c r="E208" s="3">
        <f>[1]!nefin_factors__1[[#This Row],[SMB]]/D207-1</f>
        <v>-1.0236607680969569</v>
      </c>
      <c r="F208" s="3">
        <v>948639625054585</v>
      </c>
      <c r="G208" s="3">
        <f>[1]!nefin_factors__1[[#This Row],[HML]]/F207-1</f>
        <v>23.436223265545127</v>
      </c>
      <c r="H208" s="3">
        <v>40669510480229</v>
      </c>
      <c r="I208" s="4">
        <f>[1]!nefin_factors__1[[#This Row],[Risk_Free]]/H207-1</f>
        <v>-0.90017588668229798</v>
      </c>
      <c r="J208">
        <v>57079</v>
      </c>
      <c r="K208">
        <v>58246</v>
      </c>
      <c r="L208">
        <v>57077</v>
      </c>
      <c r="M208">
        <v>57268</v>
      </c>
      <c r="N208">
        <v>4503200</v>
      </c>
      <c r="O208">
        <v>57268</v>
      </c>
      <c r="P208">
        <v>3.68046549125456E-3</v>
      </c>
      <c r="Q208">
        <v>3.6737091507160302E-3</v>
      </c>
      <c r="R208" s="8">
        <v>13.549675941467299</v>
      </c>
      <c r="S208" s="8">
        <v>1.48148081726203E-2</v>
      </c>
      <c r="T208" s="9">
        <v>1.4706140844467201E-2</v>
      </c>
      <c r="U208" s="12">
        <v>4.1063000000000002E-2</v>
      </c>
      <c r="V208" s="16">
        <v>2.4931999999999999</v>
      </c>
      <c r="W208" s="17">
        <f t="shared" si="3"/>
        <v>5.9310066572524356E-3</v>
      </c>
    </row>
    <row r="209" spans="1:23" x14ac:dyDescent="0.2">
      <c r="A209" s="15">
        <v>41835</v>
      </c>
      <c r="B209" s="5">
        <v>30531482555164</v>
      </c>
      <c r="C209" s="5">
        <f>[1]!nefin_factors__1[[#This Row],[Rm_minus_Rf]]/B208-1</f>
        <v>-0.78333471269891253</v>
      </c>
      <c r="D209" s="5">
        <v>-917928269363686</v>
      </c>
      <c r="E209" s="5">
        <f>[1]!nefin_factors__1[[#This Row],[SMB]]/D208-1</f>
        <v>76.342108955404427</v>
      </c>
      <c r="F209" s="5">
        <v>834752311401031</v>
      </c>
      <c r="G209" s="5">
        <f>[1]!nefin_factors__1[[#This Row],[HML]]/F208-1</f>
        <v>-0.12005329594681535</v>
      </c>
      <c r="H209" s="5">
        <v>407053412356806</v>
      </c>
      <c r="I209" s="6">
        <f>[1]!nefin_factors__1[[#This Row],[Risk_Free]]/H208-1</f>
        <v>9.0088102254068243</v>
      </c>
      <c r="J209">
        <v>57266</v>
      </c>
      <c r="K209">
        <v>57266</v>
      </c>
      <c r="L209">
        <v>55312</v>
      </c>
      <c r="M209">
        <v>55312</v>
      </c>
      <c r="N209">
        <v>3635700</v>
      </c>
      <c r="O209">
        <v>55312</v>
      </c>
      <c r="P209">
        <v>-3.4155200111755199E-2</v>
      </c>
      <c r="Q209">
        <v>-3.47521203188123E-2</v>
      </c>
      <c r="R209" s="8">
        <v>13.3024196624756</v>
      </c>
      <c r="S209" s="8">
        <v>-1.8247986382831101E-2</v>
      </c>
      <c r="T209" s="9">
        <v>-1.8416534477311799E-2</v>
      </c>
      <c r="U209" s="12">
        <v>4.1063000000000002E-2</v>
      </c>
      <c r="V209" s="16">
        <v>2.4098000000000002</v>
      </c>
      <c r="W209" s="17">
        <f t="shared" si="3"/>
        <v>-3.3450986683779771E-2</v>
      </c>
    </row>
    <row r="210" spans="1:23" x14ac:dyDescent="0.2">
      <c r="A210" s="14">
        <v>41836</v>
      </c>
      <c r="B210" s="3">
        <v>-414096039448373</v>
      </c>
      <c r="C210" s="3">
        <f>[1]!nefin_factors__1[[#This Row],[Rm_minus_Rf]]/B209-1</f>
        <v>-14.562919478285671</v>
      </c>
      <c r="D210" s="3">
        <v>-286438268665956</v>
      </c>
      <c r="E210" s="3">
        <f>[1]!nefin_factors__1[[#This Row],[SMB]]/D209-1</f>
        <v>-0.6879513593534744</v>
      </c>
      <c r="F210" s="3">
        <v>877386739655474</v>
      </c>
      <c r="G210" s="3">
        <f>[1]!nefin_factors__1[[#This Row],[HML]]/F209-1</f>
        <v>5.1074345853425962E-2</v>
      </c>
      <c r="H210" s="3">
        <v>407053412356806</v>
      </c>
      <c r="I210" s="4">
        <f>[1]!nefin_factors__1[[#This Row],[Risk_Free]]/H209-1</f>
        <v>0</v>
      </c>
      <c r="J210">
        <v>55313</v>
      </c>
      <c r="K210">
        <v>58747</v>
      </c>
      <c r="L210">
        <v>55313</v>
      </c>
      <c r="M210">
        <v>57957</v>
      </c>
      <c r="N210">
        <v>4544400</v>
      </c>
      <c r="O210">
        <v>57957</v>
      </c>
      <c r="P210">
        <v>4.7819641307492097E-2</v>
      </c>
      <c r="Q210">
        <v>4.6711473099257897E-2</v>
      </c>
      <c r="R210" s="8">
        <v>13.3189029693604</v>
      </c>
      <c r="S210" s="8">
        <v>1.2390134007036499E-3</v>
      </c>
      <c r="T210" s="9">
        <v>1.2382464570370401E-3</v>
      </c>
      <c r="U210" s="12">
        <v>4.1063000000000002E-2</v>
      </c>
      <c r="V210" s="16">
        <v>2.4037999999999999</v>
      </c>
      <c r="W210" s="17">
        <f t="shared" si="3"/>
        <v>-2.4898331811769037E-3</v>
      </c>
    </row>
    <row r="211" spans="1:23" x14ac:dyDescent="0.2">
      <c r="A211" s="15">
        <v>41837</v>
      </c>
      <c r="B211" s="5">
        <v>-102263247966187</v>
      </c>
      <c r="C211" s="5">
        <f>[1]!nefin_factors__1[[#This Row],[Rm_minus_Rf]]/B210-1</f>
        <v>-0.75304461230198128</v>
      </c>
      <c r="D211" s="5">
        <v>283081692683143</v>
      </c>
      <c r="E211" s="5">
        <f>[1]!nefin_factors__1[[#This Row],[SMB]]/D210-1</f>
        <v>-1.9882816775899192</v>
      </c>
      <c r="F211" s="5">
        <v>2021972296.25016</v>
      </c>
      <c r="G211" s="5">
        <f>[1]!nefin_factors__1[[#This Row],[HML]]/F210-1</f>
        <v>-0.99999769546061634</v>
      </c>
      <c r="H211" s="5">
        <v>407053412356806</v>
      </c>
      <c r="I211" s="6">
        <f>[1]!nefin_factors__1[[#This Row],[Risk_Free]]/H210-1</f>
        <v>0</v>
      </c>
      <c r="J211">
        <v>57945</v>
      </c>
      <c r="K211">
        <v>58856</v>
      </c>
      <c r="L211">
        <v>57258</v>
      </c>
      <c r="M211">
        <v>58015</v>
      </c>
      <c r="N211">
        <v>3904700</v>
      </c>
      <c r="O211">
        <v>58015</v>
      </c>
      <c r="P211">
        <v>1.00074192936139E-3</v>
      </c>
      <c r="Q211">
        <v>1.00024152098207E-3</v>
      </c>
      <c r="R211" s="8">
        <v>13.393079757690399</v>
      </c>
      <c r="S211" s="8">
        <v>5.5691918354911999E-3</v>
      </c>
      <c r="T211" s="9">
        <v>5.5537412250391098E-3</v>
      </c>
      <c r="U211" s="12">
        <v>4.1063000000000002E-2</v>
      </c>
      <c r="V211" s="16">
        <v>2.4072</v>
      </c>
      <c r="W211" s="17">
        <f t="shared" si="3"/>
        <v>1.4144271570013522E-3</v>
      </c>
    </row>
    <row r="212" spans="1:23" x14ac:dyDescent="0.2">
      <c r="A212" s="14">
        <v>41838</v>
      </c>
      <c r="B212" s="3">
        <v>216709597458532</v>
      </c>
      <c r="C212" s="3">
        <f>[1]!nefin_factors__1[[#This Row],[Rm_minus_Rf]]/B211-1</f>
        <v>-3.1191347015516886</v>
      </c>
      <c r="D212" s="3">
        <v>-895840800258708</v>
      </c>
      <c r="E212" s="3">
        <f>[1]!nefin_factors__1[[#This Row],[SMB]]/D211-1</f>
        <v>-4.1646016800578982</v>
      </c>
      <c r="F212" s="3">
        <v>367509057053129</v>
      </c>
      <c r="G212" s="3">
        <f>[1]!nefin_factors__1[[#This Row],[HML]]/F211-1</f>
        <v>181756.711386398</v>
      </c>
      <c r="H212" s="3">
        <v>407053412356806</v>
      </c>
      <c r="I212" s="4">
        <f>[1]!nefin_factors__1[[#This Row],[Risk_Free]]/H211-1</f>
        <v>0</v>
      </c>
      <c r="J212">
        <v>58012</v>
      </c>
      <c r="K212">
        <v>58012</v>
      </c>
      <c r="L212">
        <v>54919</v>
      </c>
      <c r="M212">
        <v>56135</v>
      </c>
      <c r="N212">
        <v>5671200</v>
      </c>
      <c r="O212">
        <v>56135</v>
      </c>
      <c r="P212">
        <v>-3.24054123933466E-2</v>
      </c>
      <c r="Q212">
        <v>-3.2942093888765997E-2</v>
      </c>
      <c r="R212" s="8">
        <v>13.187032699585</v>
      </c>
      <c r="S212" s="8">
        <v>-1.53845791270198E-2</v>
      </c>
      <c r="T212" s="9">
        <v>-1.5504149711845499E-2</v>
      </c>
      <c r="U212" s="12">
        <v>4.1063000000000002E-2</v>
      </c>
      <c r="V212" s="16">
        <v>2.3914</v>
      </c>
      <c r="W212" s="17">
        <f t="shared" si="3"/>
        <v>-6.5636424061149556E-3</v>
      </c>
    </row>
    <row r="213" spans="1:23" x14ac:dyDescent="0.2">
      <c r="A213" s="15">
        <v>41841</v>
      </c>
      <c r="B213" s="5">
        <v>108604253700547</v>
      </c>
      <c r="C213" s="5">
        <f>[1]!nefin_factors__1[[#This Row],[Rm_minus_Rf]]/B212-1</f>
        <v>-0.49884889744521477</v>
      </c>
      <c r="D213" s="5">
        <v>-107261069924651</v>
      </c>
      <c r="E213" s="5">
        <f>[1]!nefin_factors__1[[#This Row],[SMB]]/D212-1</f>
        <v>-0.88026771063153708</v>
      </c>
      <c r="F213" s="5">
        <v>-837411137136107</v>
      </c>
      <c r="G213" s="5">
        <f>[1]!nefin_factors__1[[#This Row],[HML]]/F212-1</f>
        <v>-3.278613604385392</v>
      </c>
      <c r="H213" s="5">
        <v>407769930846458</v>
      </c>
      <c r="I213" s="6">
        <f>[1]!nefin_factors__1[[#This Row],[Risk_Free]]/H212-1</f>
        <v>1.7602566835233091E-3</v>
      </c>
      <c r="J213">
        <v>56124</v>
      </c>
      <c r="K213">
        <v>56124</v>
      </c>
      <c r="L213">
        <v>54132</v>
      </c>
      <c r="M213">
        <v>54298</v>
      </c>
      <c r="N213">
        <v>5427800</v>
      </c>
      <c r="O213">
        <v>54298</v>
      </c>
      <c r="P213">
        <v>-3.2724681571212201E-2</v>
      </c>
      <c r="Q213">
        <v>-3.3272110061706002E-2</v>
      </c>
      <c r="R213" s="8">
        <v>13.187032699585</v>
      </c>
      <c r="S213" s="8">
        <v>0</v>
      </c>
      <c r="T213" s="9">
        <v>0</v>
      </c>
      <c r="U213" s="12">
        <v>4.1063000000000002E-2</v>
      </c>
      <c r="V213" s="16">
        <v>2.4102999999999999</v>
      </c>
      <c r="W213" s="17">
        <f t="shared" si="3"/>
        <v>7.9033202308271822E-3</v>
      </c>
    </row>
    <row r="214" spans="1:23" x14ac:dyDescent="0.2">
      <c r="A214" s="14">
        <v>41842</v>
      </c>
      <c r="B214" s="3">
        <v>459655127976323</v>
      </c>
      <c r="C214" s="3">
        <f>[1]!nefin_factors__1[[#This Row],[Rm_minus_Rf]]/B213-1</f>
        <v>3.2323860467171359</v>
      </c>
      <c r="D214" s="3">
        <v>287226083932476</v>
      </c>
      <c r="E214" s="3">
        <f>[1]!nefin_factors__1[[#This Row],[SMB]]/D213-1</f>
        <v>-3.6778222903635704</v>
      </c>
      <c r="F214" s="3">
        <v>-797375389986592</v>
      </c>
      <c r="G214" s="3">
        <f>[1]!nefin_factors__1[[#This Row],[HML]]/F213-1</f>
        <v>-4.7808949957884095E-2</v>
      </c>
      <c r="H214" s="3">
        <v>407053412356806</v>
      </c>
      <c r="I214" s="4">
        <f>[1]!nefin_factors__1[[#This Row],[Risk_Free]]/H213-1</f>
        <v>-1.7571636245091726E-3</v>
      </c>
      <c r="J214">
        <v>54298</v>
      </c>
      <c r="K214">
        <v>55949</v>
      </c>
      <c r="L214">
        <v>54298</v>
      </c>
      <c r="M214">
        <v>55724</v>
      </c>
      <c r="N214">
        <v>4406300</v>
      </c>
      <c r="O214">
        <v>55724</v>
      </c>
      <c r="P214">
        <v>2.6262477439316301E-2</v>
      </c>
      <c r="Q214">
        <v>2.5923539994941701E-2</v>
      </c>
      <c r="R214" s="8">
        <v>13.211758613586399</v>
      </c>
      <c r="S214" s="8">
        <v>1.87523651957089E-3</v>
      </c>
      <c r="T214" s="9">
        <v>1.87348045857913E-3</v>
      </c>
      <c r="U214" s="12">
        <v>4.1063000000000002E-2</v>
      </c>
      <c r="V214" s="16">
        <v>2.3923000000000001</v>
      </c>
      <c r="W214" s="17">
        <f t="shared" si="3"/>
        <v>-7.4679500477118355E-3</v>
      </c>
    </row>
    <row r="215" spans="1:23" x14ac:dyDescent="0.2">
      <c r="A215" s="15">
        <v>41843</v>
      </c>
      <c r="B215" s="5">
        <v>-845939723050457</v>
      </c>
      <c r="C215" s="5">
        <f>[1]!nefin_factors__1[[#This Row],[Rm_minus_Rf]]/B214-1</f>
        <v>-2.8403791703027226</v>
      </c>
      <c r="D215" s="5">
        <v>114887781589105</v>
      </c>
      <c r="E215" s="5">
        <f>[1]!nefin_factors__1[[#This Row],[SMB]]/D214-1</f>
        <v>-0.60000923308861465</v>
      </c>
      <c r="F215" s="5">
        <v>127358566454186</v>
      </c>
      <c r="G215" s="5">
        <f>[1]!nefin_factors__1[[#This Row],[HML]]/F214-1</f>
        <v>-1.1597222187360554</v>
      </c>
      <c r="H215" s="5">
        <v>407411687703085</v>
      </c>
      <c r="I215" s="6">
        <f>[1]!nefin_factors__1[[#This Row],[Risk_Free]]/H214-1</f>
        <v>8.8016789788003535E-4</v>
      </c>
      <c r="J215">
        <v>55720</v>
      </c>
      <c r="K215">
        <v>55720</v>
      </c>
      <c r="L215">
        <v>54300</v>
      </c>
      <c r="M215">
        <v>54303</v>
      </c>
      <c r="N215">
        <v>3868300</v>
      </c>
      <c r="O215">
        <v>54303</v>
      </c>
      <c r="P215">
        <v>-2.5500681932381E-2</v>
      </c>
      <c r="Q215">
        <v>-2.5831459811452899E-2</v>
      </c>
      <c r="R215" s="8">
        <v>13.013953208923301</v>
      </c>
      <c r="S215" s="8">
        <v>-1.49720003048146E-2</v>
      </c>
      <c r="T215" s="9">
        <v>-1.5085212127579101E-2</v>
      </c>
      <c r="U215" s="12">
        <v>4.1063000000000002E-2</v>
      </c>
      <c r="V215" s="16">
        <v>2.3990999999999998</v>
      </c>
      <c r="W215" s="17">
        <f t="shared" si="3"/>
        <v>2.8424528696231466E-3</v>
      </c>
    </row>
    <row r="216" spans="1:23" x14ac:dyDescent="0.2">
      <c r="A216" s="14">
        <v>41844</v>
      </c>
      <c r="B216" s="3">
        <v>803935062317885</v>
      </c>
      <c r="C216" s="3">
        <f>[1]!nefin_factors__1[[#This Row],[Rm_minus_Rf]]/B215-1</f>
        <v>-1.9503455629425899</v>
      </c>
      <c r="D216" s="3">
        <v>419620267574805</v>
      </c>
      <c r="E216" s="3">
        <f>[1]!nefin_factors__1[[#This Row],[SMB]]/D215-1</f>
        <v>2.6524359837982829</v>
      </c>
      <c r="F216" s="3">
        <v>101833046030229</v>
      </c>
      <c r="G216" s="3">
        <f>[1]!nefin_factors__1[[#This Row],[HML]]/F215-1</f>
        <v>-0.20042248538608631</v>
      </c>
      <c r="H216" s="3">
        <v>407769930846458</v>
      </c>
      <c r="I216" s="4">
        <f>[1]!nefin_factors__1[[#This Row],[Risk_Free]]/H215-1</f>
        <v>8.7931484094805334E-4</v>
      </c>
      <c r="J216">
        <v>54300</v>
      </c>
      <c r="K216">
        <v>54300</v>
      </c>
      <c r="L216">
        <v>51922</v>
      </c>
      <c r="M216">
        <v>52432</v>
      </c>
      <c r="N216">
        <v>6578000</v>
      </c>
      <c r="O216">
        <v>52432</v>
      </c>
      <c r="P216">
        <v>-3.4454818334162002E-2</v>
      </c>
      <c r="Q216">
        <v>-3.5062382076066698E-2</v>
      </c>
      <c r="R216" s="8">
        <v>12.8573570251465</v>
      </c>
      <c r="S216" s="8">
        <v>-1.20330821315124E-2</v>
      </c>
      <c r="T216" s="9">
        <v>-1.2106065733646599E-2</v>
      </c>
      <c r="U216" s="12">
        <v>4.1063000000000002E-2</v>
      </c>
      <c r="V216" s="16">
        <v>2.4316</v>
      </c>
      <c r="W216" s="17">
        <f t="shared" si="3"/>
        <v>1.3546746696678102E-2</v>
      </c>
    </row>
    <row r="217" spans="1:23" x14ac:dyDescent="0.2">
      <c r="A217" s="15">
        <v>41845</v>
      </c>
      <c r="B217" s="5">
        <v>-395027664799438</v>
      </c>
      <c r="C217" s="5">
        <f>[1]!nefin_factors__1[[#This Row],[Rm_minus_Rf]]/B216-1</f>
        <v>-1.4913676282018404</v>
      </c>
      <c r="D217" s="5">
        <v>-271686606969387</v>
      </c>
      <c r="E217" s="5">
        <f>[1]!nefin_factors__1[[#This Row],[SMB]]/D216-1</f>
        <v>-1.6474582568177643</v>
      </c>
      <c r="F217" s="5">
        <v>-879185463333062</v>
      </c>
      <c r="G217" s="5">
        <f>[1]!nefin_factors__1[[#This Row],[HML]]/F216-1</f>
        <v>-9.6335968293836274</v>
      </c>
      <c r="H217" s="5">
        <v>407411687703085</v>
      </c>
      <c r="I217" s="6">
        <f>[1]!nefin_factors__1[[#This Row],[Risk_Free]]/H216-1</f>
        <v>-8.7854232564266166E-4</v>
      </c>
      <c r="J217">
        <v>52427</v>
      </c>
      <c r="K217">
        <v>53229</v>
      </c>
      <c r="L217">
        <v>52064</v>
      </c>
      <c r="M217">
        <v>52411</v>
      </c>
      <c r="N217">
        <v>3755400</v>
      </c>
      <c r="O217">
        <v>52411</v>
      </c>
      <c r="P217">
        <v>-4.0051876716507001E-4</v>
      </c>
      <c r="Q217">
        <v>-4.0059899622937498E-4</v>
      </c>
      <c r="R217" s="8">
        <v>12.3710851669312</v>
      </c>
      <c r="S217" s="8">
        <v>-3.7820570883888897E-2</v>
      </c>
      <c r="T217" s="9">
        <v>-3.8554328955803303E-2</v>
      </c>
      <c r="U217" s="12">
        <v>4.1063000000000002E-2</v>
      </c>
      <c r="V217" s="16">
        <v>2.4769999999999999</v>
      </c>
      <c r="W217" s="17">
        <f t="shared" si="3"/>
        <v>1.8670834018753135E-2</v>
      </c>
    </row>
    <row r="218" spans="1:23" x14ac:dyDescent="0.2">
      <c r="A218" s="14">
        <v>41848</v>
      </c>
      <c r="B218" s="3">
        <v>-357202065140727</v>
      </c>
      <c r="C218" s="3">
        <f>[1]!nefin_factors__1[[#This Row],[Rm_minus_Rf]]/B217-1</f>
        <v>-9.5754305405206686E-2</v>
      </c>
      <c r="D218" s="3">
        <v>-117050372433243</v>
      </c>
      <c r="E218" s="3">
        <f>[1]!nefin_factors__1[[#This Row],[SMB]]/D217-1</f>
        <v>-0.56917135614847603</v>
      </c>
      <c r="F218" s="3">
        <v>-515155732948919</v>
      </c>
      <c r="G218" s="3">
        <f>[1]!nefin_factors__1[[#This Row],[HML]]/F217-1</f>
        <v>-0.41405340006882885</v>
      </c>
      <c r="H218" s="3">
        <v>407411687703085</v>
      </c>
      <c r="I218" s="4">
        <f>[1]!nefin_factors__1[[#This Row],[Risk_Free]]/H217-1</f>
        <v>0</v>
      </c>
      <c r="J218">
        <v>52409</v>
      </c>
      <c r="K218">
        <v>52409</v>
      </c>
      <c r="L218">
        <v>50654</v>
      </c>
      <c r="M218">
        <v>50713</v>
      </c>
      <c r="N218">
        <v>6346100</v>
      </c>
      <c r="O218">
        <v>50713</v>
      </c>
      <c r="P218">
        <v>-3.2397779092175297E-2</v>
      </c>
      <c r="Q218">
        <v>-3.2934204974173202E-2</v>
      </c>
      <c r="R218" s="8">
        <v>12.1732797622681</v>
      </c>
      <c r="S218" s="8">
        <v>-1.5989246656230399E-2</v>
      </c>
      <c r="T218" s="9">
        <v>-1.6118453794708099E-2</v>
      </c>
      <c r="U218" s="12">
        <v>4.1063000000000002E-2</v>
      </c>
      <c r="V218" s="16">
        <v>2.4477000000000002</v>
      </c>
      <c r="W218" s="17">
        <f t="shared" si="3"/>
        <v>-1.1828825191764092E-2</v>
      </c>
    </row>
    <row r="219" spans="1:23" x14ac:dyDescent="0.2">
      <c r="A219" s="15">
        <v>41849</v>
      </c>
      <c r="B219" s="5">
        <v>-910867646049068</v>
      </c>
      <c r="C219" s="5">
        <f>[1]!nefin_factors__1[[#This Row],[Rm_minus_Rf]]/B218-1</f>
        <v>1.5500066627280367</v>
      </c>
      <c r="D219" s="5">
        <v>-194068700268812</v>
      </c>
      <c r="E219" s="5">
        <f>[1]!nefin_factors__1[[#This Row],[SMB]]/D218-1</f>
        <v>0.65799301817253619</v>
      </c>
      <c r="F219" s="5">
        <v>-104009933663895</v>
      </c>
      <c r="G219" s="5">
        <f>[1]!nefin_factors__1[[#This Row],[HML]]/F218-1</f>
        <v>-0.79810001711810852</v>
      </c>
      <c r="H219" s="5">
        <v>407411687703085</v>
      </c>
      <c r="I219" s="6">
        <f>[1]!nefin_factors__1[[#This Row],[Risk_Free]]/H218-1</f>
        <v>0</v>
      </c>
      <c r="J219">
        <v>50687</v>
      </c>
      <c r="K219">
        <v>53146</v>
      </c>
      <c r="L219">
        <v>50596</v>
      </c>
      <c r="M219">
        <v>51941</v>
      </c>
      <c r="N219">
        <v>5852100</v>
      </c>
      <c r="O219">
        <v>51941</v>
      </c>
      <c r="P219">
        <v>2.42146984008045E-2</v>
      </c>
      <c r="Q219">
        <v>2.3926171047422399E-2</v>
      </c>
      <c r="R219" s="8">
        <v>12.362842559814499</v>
      </c>
      <c r="S219" s="8">
        <v>1.55721320127682E-2</v>
      </c>
      <c r="T219" s="9">
        <v>1.5452130547493699E-2</v>
      </c>
      <c r="U219" s="12">
        <v>4.1063000000000002E-2</v>
      </c>
      <c r="V219" s="16">
        <v>2.4554</v>
      </c>
      <c r="W219" s="17">
        <f t="shared" si="3"/>
        <v>3.145810352575884E-3</v>
      </c>
    </row>
    <row r="220" spans="1:23" x14ac:dyDescent="0.2">
      <c r="A220" s="14">
        <v>41850</v>
      </c>
      <c r="B220" s="3">
        <v>-518055453994897</v>
      </c>
      <c r="C220" s="3">
        <f>[1]!nefin_factors__1[[#This Row],[Rm_minus_Rf]]/B219-1</f>
        <v>-0.43125057054997251</v>
      </c>
      <c r="D220" s="3">
        <v>476151181288271</v>
      </c>
      <c r="E220" s="3">
        <f>[1]!nefin_factors__1[[#This Row],[SMB]]/D219-1</f>
        <v>-3.4535186798733424</v>
      </c>
      <c r="F220" s="3">
        <v>777856557774043</v>
      </c>
      <c r="G220" s="3">
        <f>[1]!nefin_factors__1[[#This Row],[HML]]/F219-1</f>
        <v>-8.4786756454211698</v>
      </c>
      <c r="H220" s="3">
        <v>407411687703085</v>
      </c>
      <c r="I220" s="4">
        <f>[1]!nefin_factors__1[[#This Row],[Risk_Free]]/H219-1</f>
        <v>0</v>
      </c>
      <c r="J220">
        <v>51937</v>
      </c>
      <c r="K220">
        <v>51937</v>
      </c>
      <c r="L220">
        <v>48722</v>
      </c>
      <c r="M220">
        <v>50504</v>
      </c>
      <c r="N220">
        <v>7999300</v>
      </c>
      <c r="O220">
        <v>50504</v>
      </c>
      <c r="P220">
        <v>-2.7666005660268299E-2</v>
      </c>
      <c r="Q220">
        <v>-2.8055917968154102E-2</v>
      </c>
      <c r="R220" s="8">
        <v>12.2804250717163</v>
      </c>
      <c r="S220" s="8">
        <v>-6.6665093698431398E-3</v>
      </c>
      <c r="T220" s="9">
        <v>-6.6888297983022397E-3</v>
      </c>
      <c r="U220" s="12">
        <v>4.1063000000000002E-2</v>
      </c>
      <c r="V220" s="16">
        <v>2.4796999999999998</v>
      </c>
      <c r="W220" s="17">
        <f t="shared" si="3"/>
        <v>9.8965545328661975E-3</v>
      </c>
    </row>
    <row r="221" spans="1:23" x14ac:dyDescent="0.2">
      <c r="A221" s="15">
        <v>41851</v>
      </c>
      <c r="B221" s="5">
        <v>-20042832281546</v>
      </c>
      <c r="C221" s="5">
        <f>[1]!nefin_factors__1[[#This Row],[Rm_minus_Rf]]/B220-1</f>
        <v>-0.96131141535719955</v>
      </c>
      <c r="D221" s="5">
        <v>473666124317835</v>
      </c>
      <c r="E221" s="5">
        <f>[1]!nefin_factors__1[[#This Row],[SMB]]/D220-1</f>
        <v>-5.2190503102658159E-3</v>
      </c>
      <c r="F221" s="5">
        <v>784129320440354</v>
      </c>
      <c r="G221" s="5">
        <f>[1]!nefin_factors__1[[#This Row],[HML]]/F220-1</f>
        <v>8.0641637633827035E-3</v>
      </c>
      <c r="H221" s="5">
        <v>407411687703085</v>
      </c>
      <c r="I221" s="6">
        <f>[1]!nefin_factors__1[[#This Row],[Risk_Free]]/H220-1</f>
        <v>0</v>
      </c>
      <c r="J221">
        <v>50504</v>
      </c>
      <c r="K221">
        <v>52374</v>
      </c>
      <c r="L221">
        <v>50503</v>
      </c>
      <c r="M221">
        <v>52330</v>
      </c>
      <c r="N221">
        <v>5761300</v>
      </c>
      <c r="O221">
        <v>52330</v>
      </c>
      <c r="P221">
        <v>3.6155552035482402E-2</v>
      </c>
      <c r="Q221">
        <v>3.5517279318791999E-2</v>
      </c>
      <c r="R221" s="8">
        <v>12.1485538482666</v>
      </c>
      <c r="S221" s="8">
        <v>-1.07384253937349E-2</v>
      </c>
      <c r="T221" s="9">
        <v>-1.0796498399644101E-2</v>
      </c>
      <c r="U221" s="12">
        <v>4.1063000000000002E-2</v>
      </c>
      <c r="V221" s="16">
        <v>2.4781</v>
      </c>
      <c r="W221" s="17">
        <f t="shared" si="3"/>
        <v>-6.4523934346893963E-4</v>
      </c>
    </row>
    <row r="222" spans="1:23" x14ac:dyDescent="0.2">
      <c r="A222" s="14">
        <v>41852</v>
      </c>
      <c r="B222" s="3">
        <v>734023416606245</v>
      </c>
      <c r="C222" s="3">
        <f>[1]!nefin_factors__1[[#This Row],[Rm_minus_Rf]]/B221-1</f>
        <v>-37.622739056798927</v>
      </c>
      <c r="D222" s="3">
        <v>-767766872518981</v>
      </c>
      <c r="E222" s="3">
        <f>[1]!nefin_factors__1[[#This Row],[SMB]]/D221-1</f>
        <v>-2.6209030646316629</v>
      </c>
      <c r="F222" s="3">
        <v>-114793212990378</v>
      </c>
      <c r="G222" s="3">
        <f>[1]!nefin_factors__1[[#This Row],[HML]]/F221-1</f>
        <v>-1.1463957666139968</v>
      </c>
      <c r="H222" s="3">
        <v>40812814179314</v>
      </c>
      <c r="I222" s="4">
        <f>[1]!nefin_factors__1[[#This Row],[Risk_Free]]/H221-1</f>
        <v>-0.89982414493455154</v>
      </c>
      <c r="J222">
        <v>52330</v>
      </c>
      <c r="K222">
        <v>52330</v>
      </c>
      <c r="L222">
        <v>51049</v>
      </c>
      <c r="M222">
        <v>51049</v>
      </c>
      <c r="N222">
        <v>4915300</v>
      </c>
      <c r="O222">
        <v>51049</v>
      </c>
      <c r="P222">
        <v>-2.4479266195299099E-2</v>
      </c>
      <c r="Q222">
        <v>-2.4783864603891401E-2</v>
      </c>
      <c r="R222" s="8">
        <v>11.579862594604499</v>
      </c>
      <c r="S222" s="8">
        <v>-4.6811386738526799E-2</v>
      </c>
      <c r="T222" s="9">
        <v>-4.7942479630964999E-2</v>
      </c>
      <c r="U222" s="12">
        <v>4.1063000000000002E-2</v>
      </c>
      <c r="V222" s="16">
        <v>2.5004</v>
      </c>
      <c r="W222" s="17">
        <f t="shared" si="3"/>
        <v>8.9988297485976698E-3</v>
      </c>
    </row>
    <row r="223" spans="1:23" x14ac:dyDescent="0.2">
      <c r="A223" s="15">
        <v>41855</v>
      </c>
      <c r="B223" s="5">
        <v>104548847353806</v>
      </c>
      <c r="C223" s="5">
        <f>[1]!nefin_factors__1[[#This Row],[Rm_minus_Rf]]/B222-1</f>
        <v>-0.85756742225311111</v>
      </c>
      <c r="D223" s="5">
        <v>179349451873706</v>
      </c>
      <c r="E223" s="5">
        <f>[1]!nefin_factors__1[[#This Row],[SMB]]/D222-1</f>
        <v>-1.233598841384332</v>
      </c>
      <c r="F223" s="5">
        <v>-600436355455782</v>
      </c>
      <c r="G223" s="5">
        <f>[1]!nefin_factors__1[[#This Row],[HML]]/F222-1</f>
        <v>4.2305910760256422</v>
      </c>
      <c r="H223" s="5">
        <v>407411687703085</v>
      </c>
      <c r="I223" s="6">
        <f>[1]!nefin_factors__1[[#This Row],[Risk_Free]]/H222-1</f>
        <v>8.9824453641714772</v>
      </c>
      <c r="J223">
        <v>51049</v>
      </c>
      <c r="K223">
        <v>52574</v>
      </c>
      <c r="L223">
        <v>51049</v>
      </c>
      <c r="M223">
        <v>52337</v>
      </c>
      <c r="N223">
        <v>4299700</v>
      </c>
      <c r="O223">
        <v>52337</v>
      </c>
      <c r="P223">
        <v>2.52306607377226E-2</v>
      </c>
      <c r="Q223">
        <v>2.4917622139894902E-2</v>
      </c>
      <c r="R223" s="8">
        <v>12.2639408111572</v>
      </c>
      <c r="S223" s="8">
        <v>5.90748808744124E-2</v>
      </c>
      <c r="T223" s="9">
        <v>5.7395773160496703E-2</v>
      </c>
      <c r="U223" s="12">
        <v>4.1063000000000002E-2</v>
      </c>
      <c r="V223" s="16">
        <v>2.4805000000000001</v>
      </c>
      <c r="W223" s="17">
        <f t="shared" si="3"/>
        <v>-7.9587266037433047E-3</v>
      </c>
    </row>
    <row r="224" spans="1:23" x14ac:dyDescent="0.2">
      <c r="A224" s="14">
        <v>41856</v>
      </c>
      <c r="B224" s="3">
        <v>-833660140269398</v>
      </c>
      <c r="C224" s="3">
        <f>[1]!nefin_factors__1[[#This Row],[Rm_minus_Rf]]/B223-1</f>
        <v>-8.9738816961624721</v>
      </c>
      <c r="D224" s="3">
        <v>18393582803045</v>
      </c>
      <c r="E224" s="3">
        <f>[1]!nefin_factors__1[[#This Row],[SMB]]/D223-1</f>
        <v>-0.89744277102113834</v>
      </c>
      <c r="F224" s="3">
        <v>-493621262404821</v>
      </c>
      <c r="G224" s="3">
        <f>[1]!nefin_factors__1[[#This Row],[HML]]/F223-1</f>
        <v>-0.17789577876222917</v>
      </c>
      <c r="H224" s="3">
        <v>407411687703085</v>
      </c>
      <c r="I224" s="4">
        <f>[1]!nefin_factors__1[[#This Row],[Risk_Free]]/H223-1</f>
        <v>0</v>
      </c>
      <c r="J224">
        <v>52338</v>
      </c>
      <c r="K224">
        <v>54629</v>
      </c>
      <c r="L224">
        <v>52335</v>
      </c>
      <c r="M224">
        <v>54629</v>
      </c>
      <c r="N224">
        <v>5348200</v>
      </c>
      <c r="O224">
        <v>54629</v>
      </c>
      <c r="P224">
        <v>4.3793110036876498E-2</v>
      </c>
      <c r="Q224">
        <v>4.2861299359324298E-2</v>
      </c>
      <c r="R224" s="8">
        <v>12.2886657714844</v>
      </c>
      <c r="S224" s="8">
        <v>2.01602793684352E-3</v>
      </c>
      <c r="T224" s="9">
        <v>2.0139984796929099E-3</v>
      </c>
      <c r="U224" s="12">
        <v>4.1063000000000002E-2</v>
      </c>
      <c r="V224" s="16">
        <v>2.5341</v>
      </c>
      <c r="W224" s="17">
        <f t="shared" si="3"/>
        <v>2.1608546663979045E-2</v>
      </c>
    </row>
    <row r="225" spans="1:23" x14ac:dyDescent="0.2">
      <c r="A225" s="15">
        <v>41857</v>
      </c>
      <c r="B225" s="5">
        <v>315278942777304</v>
      </c>
      <c r="C225" s="5">
        <f>[1]!nefin_factors__1[[#This Row],[Rm_minus_Rf]]/B224-1</f>
        <v>-1.3781864185990964</v>
      </c>
      <c r="D225" s="5">
        <v>-895722658492835</v>
      </c>
      <c r="E225" s="5">
        <f>[1]!nefin_factors__1[[#This Row],[SMB]]/D224-1</f>
        <v>-49.697563062295345</v>
      </c>
      <c r="F225" s="5">
        <v>537531970184169</v>
      </c>
      <c r="G225" s="5">
        <f>[1]!nefin_factors__1[[#This Row],[HML]]/F224-1</f>
        <v>-2.0889562730045785</v>
      </c>
      <c r="H225" s="5">
        <v>407769930846458</v>
      </c>
      <c r="I225" s="6">
        <f>[1]!nefin_factors__1[[#This Row],[Risk_Free]]/H224-1</f>
        <v>8.7931484094805334E-4</v>
      </c>
      <c r="J225">
        <v>54629</v>
      </c>
      <c r="K225">
        <v>54629</v>
      </c>
      <c r="L225">
        <v>53054</v>
      </c>
      <c r="M225">
        <v>53947</v>
      </c>
      <c r="N225">
        <v>3665200</v>
      </c>
      <c r="O225">
        <v>53947</v>
      </c>
      <c r="P225">
        <v>-1.2484211682439701E-2</v>
      </c>
      <c r="Q225">
        <v>-1.2562794164988299E-2</v>
      </c>
      <c r="R225" s="8">
        <v>12.255699157714799</v>
      </c>
      <c r="S225" s="8">
        <v>-2.68280613550409E-3</v>
      </c>
      <c r="T225" s="9">
        <v>-2.68641130931635E-3</v>
      </c>
      <c r="U225" s="12">
        <v>4.1063000000000002E-2</v>
      </c>
      <c r="V225" s="16">
        <v>2.4868999999999999</v>
      </c>
      <c r="W225" s="17">
        <f t="shared" si="3"/>
        <v>-1.8625942149086527E-2</v>
      </c>
    </row>
    <row r="226" spans="1:23" x14ac:dyDescent="0.2">
      <c r="A226" s="14">
        <v>41858</v>
      </c>
      <c r="B226" s="3">
        <v>-48484059675269</v>
      </c>
      <c r="C226" s="3">
        <f>[1]!nefin_factors__1[[#This Row],[Rm_minus_Rf]]/B225-1</f>
        <v>-1.1537814712526346</v>
      </c>
      <c r="D226" s="3">
        <v>190385137852082</v>
      </c>
      <c r="E226" s="3">
        <f>[1]!nefin_factors__1[[#This Row],[SMB]]/D225-1</f>
        <v>-1.2125492037595975</v>
      </c>
      <c r="F226" s="3">
        <v>705455674292857</v>
      </c>
      <c r="G226" s="3">
        <f>[1]!nefin_factors__1[[#This Row],[HML]]/F225-1</f>
        <v>0.31239761246415543</v>
      </c>
      <c r="H226" s="3">
        <v>407769930846458</v>
      </c>
      <c r="I226" s="4">
        <f>[1]!nefin_factors__1[[#This Row],[Risk_Free]]/H225-1</f>
        <v>0</v>
      </c>
      <c r="J226">
        <v>53947</v>
      </c>
      <c r="K226">
        <v>54384</v>
      </c>
      <c r="L226">
        <v>53432</v>
      </c>
      <c r="M226">
        <v>54384</v>
      </c>
      <c r="N226">
        <v>3529800</v>
      </c>
      <c r="O226">
        <v>54384</v>
      </c>
      <c r="P226">
        <v>8.1005431256604404E-3</v>
      </c>
      <c r="Q226">
        <v>8.0679098393044105E-3</v>
      </c>
      <c r="R226" s="8">
        <v>12.527681350708001</v>
      </c>
      <c r="S226" s="8">
        <v>2.2192289660676101E-2</v>
      </c>
      <c r="T226" s="9">
        <v>2.1949624436366999E-2</v>
      </c>
      <c r="U226" s="12">
        <v>4.1063000000000002E-2</v>
      </c>
      <c r="V226" s="16">
        <v>2.4346000000000001</v>
      </c>
      <c r="W226" s="17">
        <f t="shared" si="3"/>
        <v>-2.1030198238771058E-2</v>
      </c>
    </row>
    <row r="227" spans="1:23" x14ac:dyDescent="0.2">
      <c r="A227" s="15">
        <v>41859</v>
      </c>
      <c r="B227" s="5">
        <v>-973552502118246</v>
      </c>
      <c r="C227" s="5">
        <f>[1]!nefin_factors__1[[#This Row],[Rm_minus_Rf]]/B226-1</f>
        <v>19.079847039187619</v>
      </c>
      <c r="D227" s="5">
        <v>594407219777416</v>
      </c>
      <c r="E227" s="5">
        <f>[1]!nefin_factors__1[[#This Row],[SMB]]/D226-1</f>
        <v>2.1221303641843896</v>
      </c>
      <c r="F227" s="5">
        <v>-279043639811547</v>
      </c>
      <c r="G227" s="5">
        <f>[1]!nefin_factors__1[[#This Row],[HML]]/F226-1</f>
        <v>-1.3955509183355255</v>
      </c>
      <c r="H227" s="5">
        <v>407769930846458</v>
      </c>
      <c r="I227" s="6">
        <f>[1]!nefin_factors__1[[#This Row],[Risk_Free]]/H226-1</f>
        <v>0</v>
      </c>
      <c r="J227">
        <v>54384</v>
      </c>
      <c r="K227">
        <v>54384</v>
      </c>
      <c r="L227">
        <v>53589</v>
      </c>
      <c r="M227">
        <v>53698</v>
      </c>
      <c r="N227">
        <v>2901600</v>
      </c>
      <c r="O227">
        <v>53698</v>
      </c>
      <c r="P227">
        <v>-1.2614004118858499E-2</v>
      </c>
      <c r="Q227">
        <v>-1.2694236080372699E-2</v>
      </c>
      <c r="R227" s="8">
        <v>12.5029563903809</v>
      </c>
      <c r="S227" s="8">
        <v>-1.9737593739017601E-3</v>
      </c>
      <c r="T227" s="9">
        <v>-1.9757098038102501E-3</v>
      </c>
      <c r="U227" s="12">
        <v>4.1957000000000001E-2</v>
      </c>
      <c r="V227" s="16">
        <v>2.4119000000000002</v>
      </c>
      <c r="W227" s="17">
        <f t="shared" si="3"/>
        <v>-9.3239135792326788E-3</v>
      </c>
    </row>
    <row r="228" spans="1:23" x14ac:dyDescent="0.2">
      <c r="A228" s="14">
        <v>41862</v>
      </c>
      <c r="B228" s="3">
        <v>174800136839675</v>
      </c>
      <c r="C228" s="3">
        <f>[1]!nefin_factors__1[[#This Row],[Rm_minus_Rf]]/B227-1</f>
        <v>-1.1795487520799819</v>
      </c>
      <c r="D228" s="3">
        <v>-113869432312952</v>
      </c>
      <c r="E228" s="3">
        <f>[1]!nefin_factors__1[[#This Row],[SMB]]/D227-1</f>
        <v>-1.1915680505287132</v>
      </c>
      <c r="F228" s="3">
        <v>-316156482756675</v>
      </c>
      <c r="G228" s="3">
        <f>[1]!nefin_factors__1[[#This Row],[HML]]/F227-1</f>
        <v>0.13300013922622389</v>
      </c>
      <c r="H228" s="3">
        <v>407411687703085</v>
      </c>
      <c r="I228" s="4">
        <f>[1]!nefin_factors__1[[#This Row],[Risk_Free]]/H227-1</f>
        <v>-8.7854232564266166E-4</v>
      </c>
      <c r="J228">
        <v>53697</v>
      </c>
      <c r="K228">
        <v>53697</v>
      </c>
      <c r="L228">
        <v>52418</v>
      </c>
      <c r="M228">
        <v>52637</v>
      </c>
      <c r="N228">
        <v>3692500</v>
      </c>
      <c r="O228">
        <v>52637</v>
      </c>
      <c r="P228">
        <v>-1.9758650229058799E-2</v>
      </c>
      <c r="Q228">
        <v>-1.9956462361826601E-2</v>
      </c>
      <c r="R228" s="8">
        <v>12.156796455383301</v>
      </c>
      <c r="S228" s="8">
        <v>-2.76859734713919E-2</v>
      </c>
      <c r="T228" s="9">
        <v>-2.8076454138103599E-2</v>
      </c>
      <c r="U228" s="12">
        <v>4.1957000000000001E-2</v>
      </c>
      <c r="V228" s="16">
        <v>2.4441999999999999</v>
      </c>
      <c r="W228" s="17">
        <f t="shared" si="3"/>
        <v>1.3391931672125601E-2</v>
      </c>
    </row>
    <row r="229" spans="1:23" x14ac:dyDescent="0.2">
      <c r="A229" s="15">
        <v>41863</v>
      </c>
      <c r="B229" s="5">
        <v>-268195340621375</v>
      </c>
      <c r="C229" s="5">
        <f>[1]!nefin_factors__1[[#This Row],[Rm_minus_Rf]]/B228-1</f>
        <v>-2.534297086205151</v>
      </c>
      <c r="D229" s="5">
        <v>239876650960342</v>
      </c>
      <c r="E229" s="5">
        <f>[1]!nefin_factors__1[[#This Row],[SMB]]/D228-1</f>
        <v>-3.1065938951998922</v>
      </c>
      <c r="F229" s="5">
        <v>-862919966698639</v>
      </c>
      <c r="G229" s="5">
        <f>[1]!nefin_factors__1[[#This Row],[HML]]/F228-1</f>
        <v>1.7294077893786923</v>
      </c>
      <c r="H229" s="5">
        <v>407769930846458</v>
      </c>
      <c r="I229" s="6">
        <f>[1]!nefin_factors__1[[#This Row],[Risk_Free]]/H228-1</f>
        <v>8.7931484094805334E-4</v>
      </c>
      <c r="J229">
        <v>52637</v>
      </c>
      <c r="K229">
        <v>53483</v>
      </c>
      <c r="L229">
        <v>52197</v>
      </c>
      <c r="M229">
        <v>53223</v>
      </c>
      <c r="N229">
        <v>3592600</v>
      </c>
      <c r="O229">
        <v>53223</v>
      </c>
      <c r="P229">
        <v>1.11328533161084E-2</v>
      </c>
      <c r="Q229">
        <v>1.1071339235060399E-2</v>
      </c>
      <c r="R229" s="8">
        <v>12.4452619552612</v>
      </c>
      <c r="S229" s="8">
        <v>2.3728608699233399E-2</v>
      </c>
      <c r="T229" s="9">
        <v>2.34514609233538E-2</v>
      </c>
      <c r="U229" s="12">
        <v>4.1957000000000001E-2</v>
      </c>
      <c r="V229" s="16">
        <v>2.4839000000000002</v>
      </c>
      <c r="W229" s="17">
        <f t="shared" si="3"/>
        <v>1.6242533344243526E-2</v>
      </c>
    </row>
    <row r="230" spans="1:23" x14ac:dyDescent="0.2">
      <c r="A230" s="14">
        <v>41864</v>
      </c>
      <c r="B230" s="3">
        <v>-129080507820202</v>
      </c>
      <c r="C230" s="3">
        <f>[1]!nefin_factors__1[[#This Row],[Rm_minus_Rf]]/B229-1</f>
        <v>-0.51870712026115506</v>
      </c>
      <c r="D230" s="3">
        <v>299617892438995</v>
      </c>
      <c r="E230" s="3">
        <f>[1]!nefin_factors__1[[#This Row],[SMB]]/D229-1</f>
        <v>0.24904983973838202</v>
      </c>
      <c r="F230" s="3">
        <v>-663839462538156</v>
      </c>
      <c r="G230" s="3">
        <f>[1]!nefin_factors__1[[#This Row],[HML]]/F229-1</f>
        <v>-0.23070564112929914</v>
      </c>
      <c r="H230" s="3">
        <v>407769930846458</v>
      </c>
      <c r="I230" s="4">
        <f>[1]!nefin_factors__1[[#This Row],[Risk_Free]]/H229-1</f>
        <v>0</v>
      </c>
      <c r="J230">
        <v>53223</v>
      </c>
      <c r="K230">
        <v>53830</v>
      </c>
      <c r="L230">
        <v>52716</v>
      </c>
      <c r="M230">
        <v>52725</v>
      </c>
      <c r="N230">
        <v>2973700</v>
      </c>
      <c r="O230">
        <v>52725</v>
      </c>
      <c r="P230">
        <v>-9.3568569979144405E-3</v>
      </c>
      <c r="Q230">
        <v>-9.4009073817829802E-3</v>
      </c>
      <c r="R230" s="8">
        <v>12.2804250717163</v>
      </c>
      <c r="S230" s="8">
        <v>-1.3244808969791E-2</v>
      </c>
      <c r="T230" s="9">
        <v>-1.33333037180711E-2</v>
      </c>
      <c r="U230" s="12">
        <v>4.1957000000000001E-2</v>
      </c>
      <c r="V230" s="16">
        <v>2.5194999999999999</v>
      </c>
      <c r="W230" s="17">
        <f t="shared" si="3"/>
        <v>1.4332300012077637E-2</v>
      </c>
    </row>
    <row r="231" spans="1:23" x14ac:dyDescent="0.2">
      <c r="A231" s="15">
        <v>41865</v>
      </c>
      <c r="B231" s="5">
        <v>263141604926721</v>
      </c>
      <c r="C231" s="5">
        <f>[1]!nefin_factors__1[[#This Row],[Rm_minus_Rf]]/B230-1</f>
        <v>-3.0385851386117455</v>
      </c>
      <c r="D231" s="5">
        <v>-818003779636948</v>
      </c>
      <c r="E231" s="5">
        <f>[1]!nefin_factors__1[[#This Row],[SMB]]/D230-1</f>
        <v>-3.7301566437775446</v>
      </c>
      <c r="F231" s="5">
        <v>-129758499688472</v>
      </c>
      <c r="G231" s="5">
        <f>[1]!nefin_factors__1[[#This Row],[HML]]/F230-1</f>
        <v>-0.80453331413539797</v>
      </c>
      <c r="H231" s="5">
        <v>407769930846458</v>
      </c>
      <c r="I231" s="6">
        <f>[1]!nefin_factors__1[[#This Row],[Risk_Free]]/H230-1</f>
        <v>0</v>
      </c>
      <c r="J231">
        <v>52718</v>
      </c>
      <c r="K231">
        <v>52718</v>
      </c>
      <c r="L231">
        <v>52003</v>
      </c>
      <c r="M231">
        <v>52474</v>
      </c>
      <c r="N231">
        <v>2678500</v>
      </c>
      <c r="O231">
        <v>52474</v>
      </c>
      <c r="P231">
        <v>-4.7605500237078999E-3</v>
      </c>
      <c r="Q231">
        <v>-4.7719175333863304E-3</v>
      </c>
      <c r="R231" s="8">
        <v>11.942506790161101</v>
      </c>
      <c r="S231" s="8">
        <v>-2.7516904866024101E-2</v>
      </c>
      <c r="T231" s="9">
        <v>-2.7902586536274601E-2</v>
      </c>
      <c r="U231" s="12">
        <v>4.1957000000000001E-2</v>
      </c>
      <c r="V231" s="16">
        <v>2.5167999999999999</v>
      </c>
      <c r="W231" s="17">
        <f t="shared" si="3"/>
        <v>-1.0716411986504415E-3</v>
      </c>
    </row>
    <row r="232" spans="1:23" x14ac:dyDescent="0.2">
      <c r="A232" s="14">
        <v>41866</v>
      </c>
      <c r="B232" s="3">
        <v>192270595798014</v>
      </c>
      <c r="C232" s="3">
        <f>[1]!nefin_factors__1[[#This Row],[Rm_minus_Rf]]/B231-1</f>
        <v>-0.26932650634415256</v>
      </c>
      <c r="D232" s="3">
        <v>-130340722317442</v>
      </c>
      <c r="E232" s="3">
        <f>[1]!nefin_factors__1[[#This Row],[SMB]]/D231-1</f>
        <v>-0.84065999991431495</v>
      </c>
      <c r="F232" s="3">
        <v>-149347408013404</v>
      </c>
      <c r="G232" s="3">
        <f>[1]!nefin_factors__1[[#This Row],[HML]]/F231-1</f>
        <v>0.15096435587619794</v>
      </c>
      <c r="H232" s="3">
        <v>407411687703085</v>
      </c>
      <c r="I232" s="4">
        <f>[1]!nefin_factors__1[[#This Row],[Risk_Free]]/H231-1</f>
        <v>-8.7854232564266166E-4</v>
      </c>
      <c r="J232">
        <v>52473</v>
      </c>
      <c r="K232">
        <v>53435</v>
      </c>
      <c r="L232">
        <v>52187</v>
      </c>
      <c r="M232">
        <v>52979</v>
      </c>
      <c r="N232">
        <v>3198600</v>
      </c>
      <c r="O232">
        <v>52979</v>
      </c>
      <c r="P232">
        <v>9.6238136982125192E-3</v>
      </c>
      <c r="Q232">
        <v>9.5777997871482196E-3</v>
      </c>
      <c r="R232" s="8">
        <v>12.346360206604</v>
      </c>
      <c r="S232" s="8">
        <v>3.3816555883925598E-2</v>
      </c>
      <c r="T232" s="9">
        <v>3.3257348242327699E-2</v>
      </c>
      <c r="U232" s="12">
        <v>4.1957000000000001E-2</v>
      </c>
      <c r="V232" s="16">
        <v>2.5325000000000002</v>
      </c>
      <c r="W232" s="17">
        <f t="shared" si="3"/>
        <v>6.2380801017165588E-3</v>
      </c>
    </row>
    <row r="233" spans="1:23" x14ac:dyDescent="0.2">
      <c r="A233" s="15">
        <v>41869</v>
      </c>
      <c r="B233" s="5">
        <v>101261403117788</v>
      </c>
      <c r="C233" s="5">
        <f>[1]!nefin_factors__1[[#This Row],[Rm_minus_Rf]]/B232-1</f>
        <v>-0.47333910992731243</v>
      </c>
      <c r="D233" s="5">
        <v>-133126119996027</v>
      </c>
      <c r="E233" s="5">
        <f>[1]!nefin_factors__1[[#This Row],[SMB]]/D232-1</f>
        <v>2.1370126151374347E-2</v>
      </c>
      <c r="F233" s="5">
        <v>-313165851206064</v>
      </c>
      <c r="G233" s="5">
        <f>[1]!nefin_factors__1[[#This Row],[HML]]/F232-1</f>
        <v>1.0968951210586608</v>
      </c>
      <c r="H233" s="5">
        <v>407769930846458</v>
      </c>
      <c r="I233" s="6">
        <f>[1]!nefin_factors__1[[#This Row],[Risk_Free]]/H232-1</f>
        <v>8.7931484094805334E-4</v>
      </c>
      <c r="J233">
        <v>52979</v>
      </c>
      <c r="K233">
        <v>53323</v>
      </c>
      <c r="L233">
        <v>51846</v>
      </c>
      <c r="M233">
        <v>51846</v>
      </c>
      <c r="N233">
        <v>3032900</v>
      </c>
      <c r="O233">
        <v>51846</v>
      </c>
      <c r="P233">
        <v>-2.1385832122161601E-2</v>
      </c>
      <c r="Q233">
        <v>-2.1617822531282801E-2</v>
      </c>
      <c r="R233" s="8">
        <v>12.0166835784912</v>
      </c>
      <c r="S233" s="8">
        <v>-2.6702428940112901E-2</v>
      </c>
      <c r="T233" s="9">
        <v>-2.7065415124685199E-2</v>
      </c>
      <c r="U233" s="12">
        <v>4.1957000000000001E-2</v>
      </c>
      <c r="V233" s="16">
        <v>2.5720999999999998</v>
      </c>
      <c r="W233" s="17">
        <f t="shared" si="3"/>
        <v>1.5636722606120257E-2</v>
      </c>
    </row>
    <row r="234" spans="1:23" x14ac:dyDescent="0.2">
      <c r="A234" s="14">
        <v>41870</v>
      </c>
      <c r="B234" s="3">
        <v>133961603300706</v>
      </c>
      <c r="C234" s="3">
        <f>[1]!nefin_factors__1[[#This Row],[Rm_minus_Rf]]/B233-1</f>
        <v>0.32292857076926818</v>
      </c>
      <c r="D234" s="3">
        <v>-304079740008297</v>
      </c>
      <c r="E234" s="3">
        <f>[1]!nefin_factors__1[[#This Row],[SMB]]/D233-1</f>
        <v>1.2841478442951084</v>
      </c>
      <c r="F234" s="3">
        <v>7685590816.9756203</v>
      </c>
      <c r="G234" s="3">
        <f>[1]!nefin_factors__1[[#This Row],[HML]]/F233-1</f>
        <v>-1.0000245415992433</v>
      </c>
      <c r="H234" s="3">
        <v>407411687703085</v>
      </c>
      <c r="I234" s="4">
        <f>[1]!nefin_factors__1[[#This Row],[Risk_Free]]/H233-1</f>
        <v>-8.7854232564266166E-4</v>
      </c>
      <c r="J234">
        <v>51834</v>
      </c>
      <c r="K234">
        <v>51900</v>
      </c>
      <c r="L234">
        <v>50886</v>
      </c>
      <c r="M234">
        <v>51772</v>
      </c>
      <c r="N234">
        <v>3789300</v>
      </c>
      <c r="O234">
        <v>51772</v>
      </c>
      <c r="P234">
        <v>-1.4273039385873699E-3</v>
      </c>
      <c r="Q234">
        <v>-1.4283235071255299E-3</v>
      </c>
      <c r="R234" s="8">
        <v>11.794153213501</v>
      </c>
      <c r="S234" s="8">
        <v>-1.8518498390656699E-2</v>
      </c>
      <c r="T234" s="9">
        <v>-1.8692112504519898E-2</v>
      </c>
      <c r="U234" s="12">
        <v>4.1957000000000001E-2</v>
      </c>
      <c r="V234" s="16">
        <v>2.5390000000000001</v>
      </c>
      <c r="W234" s="17">
        <f t="shared" si="3"/>
        <v>-1.2868862019361438E-2</v>
      </c>
    </row>
    <row r="235" spans="1:23" x14ac:dyDescent="0.2">
      <c r="A235" s="15">
        <v>41871</v>
      </c>
      <c r="B235" s="5">
        <v>673407681581328</v>
      </c>
      <c r="C235" s="5">
        <f>[1]!nefin_factors__1[[#This Row],[Rm_minus_Rf]]/B234-1</f>
        <v>4.0268708718700372</v>
      </c>
      <c r="D235" s="5">
        <v>-537044554738194</v>
      </c>
      <c r="E235" s="5">
        <f>[1]!nefin_factors__1[[#This Row],[SMB]]/D234-1</f>
        <v>0.76613066928937923</v>
      </c>
      <c r="F235" s="5">
        <v>321471768333228</v>
      </c>
      <c r="G235" s="5">
        <f>[1]!nefin_factors__1[[#This Row],[HML]]/F234-1</f>
        <v>41826.853705556925</v>
      </c>
      <c r="H235" s="5">
        <v>407411687703085</v>
      </c>
      <c r="I235" s="6">
        <f>[1]!nefin_factors__1[[#This Row],[Risk_Free]]/H234-1</f>
        <v>0</v>
      </c>
      <c r="J235">
        <v>51772</v>
      </c>
      <c r="K235">
        <v>52223</v>
      </c>
      <c r="L235">
        <v>51047</v>
      </c>
      <c r="M235">
        <v>51257</v>
      </c>
      <c r="N235">
        <v>2824600</v>
      </c>
      <c r="O235">
        <v>51257</v>
      </c>
      <c r="P235">
        <v>-9.9474619485435695E-3</v>
      </c>
      <c r="Q235">
        <v>-9.9972685227522704E-3</v>
      </c>
      <c r="R235" s="8">
        <v>11.7859106063843</v>
      </c>
      <c r="S235" s="8">
        <v>-6.9877706630650004E-4</v>
      </c>
      <c r="T235" s="9">
        <v>-6.9902132479547998E-4</v>
      </c>
      <c r="U235" s="12">
        <v>4.1957000000000001E-2</v>
      </c>
      <c r="V235" s="16">
        <v>2.5644</v>
      </c>
      <c r="W235" s="17">
        <f t="shared" si="3"/>
        <v>1.000393855848758E-2</v>
      </c>
    </row>
    <row r="236" spans="1:23" x14ac:dyDescent="0.2">
      <c r="A236" s="14">
        <v>41872</v>
      </c>
      <c r="B236" s="3">
        <v>135928346406976</v>
      </c>
      <c r="C236" s="3">
        <f>[1]!nefin_factors__1[[#This Row],[Rm_minus_Rf]]/B235-1</f>
        <v>-0.79814850628406475</v>
      </c>
      <c r="D236" s="3">
        <v>31328644941086</v>
      </c>
      <c r="E236" s="3">
        <f>[1]!nefin_factors__1[[#This Row],[SMB]]/D235-1</f>
        <v>-1.0583352808713582</v>
      </c>
      <c r="F236" s="3">
        <v>-55963645751033</v>
      </c>
      <c r="G236" s="3">
        <f>[1]!nefin_factors__1[[#This Row],[HML]]/F235-1</f>
        <v>-1.1740857246693674</v>
      </c>
      <c r="H236" s="3">
        <v>407769930846458</v>
      </c>
      <c r="I236" s="4">
        <f>[1]!nefin_factors__1[[#This Row],[Risk_Free]]/H235-1</f>
        <v>8.7931484094805334E-4</v>
      </c>
      <c r="J236">
        <v>51257</v>
      </c>
      <c r="K236">
        <v>52122</v>
      </c>
      <c r="L236">
        <v>51067</v>
      </c>
      <c r="M236">
        <v>52062</v>
      </c>
      <c r="N236">
        <v>3639700</v>
      </c>
      <c r="O236">
        <v>52062</v>
      </c>
      <c r="P236">
        <v>1.5705171976510401E-2</v>
      </c>
      <c r="Q236">
        <v>1.55831219819682E-2</v>
      </c>
      <c r="R236" s="8">
        <v>12.0331678390503</v>
      </c>
      <c r="S236" s="8">
        <v>2.0978894402937698E-2</v>
      </c>
      <c r="T236" s="9">
        <v>2.0761867473216601E-2</v>
      </c>
      <c r="U236" s="12">
        <v>4.1957000000000001E-2</v>
      </c>
      <c r="V236" s="16">
        <v>2.5550000000000002</v>
      </c>
      <c r="W236" s="17">
        <f t="shared" si="3"/>
        <v>-3.6655747933239669E-3</v>
      </c>
    </row>
    <row r="237" spans="1:23" x14ac:dyDescent="0.2">
      <c r="A237" s="15">
        <v>41873</v>
      </c>
      <c r="B237" s="5">
        <v>-933620060024693</v>
      </c>
      <c r="C237" s="5">
        <f>[1]!nefin_factors__1[[#This Row],[Rm_minus_Rf]]/B236-1</f>
        <v>-7.8684721377349041</v>
      </c>
      <c r="D237" s="5">
        <v>736789037519629</v>
      </c>
      <c r="E237" s="5">
        <f>[1]!nefin_factors__1[[#This Row],[SMB]]/D236-1</f>
        <v>22.518062747532557</v>
      </c>
      <c r="F237" s="5">
        <v>622863080415062</v>
      </c>
      <c r="G237" s="5">
        <f>[1]!nefin_factors__1[[#This Row],[HML]]/F236-1</f>
        <v>-12.129780271750164</v>
      </c>
      <c r="H237" s="5">
        <v>407769930846458</v>
      </c>
      <c r="I237" s="6">
        <f>[1]!nefin_factors__1[[#This Row],[Risk_Free]]/H236-1</f>
        <v>0</v>
      </c>
      <c r="J237">
        <v>52062</v>
      </c>
      <c r="K237">
        <v>53403</v>
      </c>
      <c r="L237">
        <v>52032</v>
      </c>
      <c r="M237">
        <v>53403</v>
      </c>
      <c r="N237">
        <v>4251300</v>
      </c>
      <c r="O237">
        <v>53403</v>
      </c>
      <c r="P237">
        <v>2.5757750374553402E-2</v>
      </c>
      <c r="Q237">
        <v>2.54316081239979E-2</v>
      </c>
      <c r="R237" s="8">
        <v>11.9507493972778</v>
      </c>
      <c r="S237" s="8">
        <v>-6.84924444212887E-3</v>
      </c>
      <c r="T237" s="9">
        <v>-6.8728081743219104E-3</v>
      </c>
      <c r="U237" s="12">
        <v>4.1957000000000001E-2</v>
      </c>
      <c r="V237" s="16">
        <v>2.5724999999999998</v>
      </c>
      <c r="W237" s="17">
        <f t="shared" si="3"/>
        <v>6.849315068492956E-3</v>
      </c>
    </row>
    <row r="238" spans="1:23" x14ac:dyDescent="0.2">
      <c r="A238" s="14">
        <v>41876</v>
      </c>
      <c r="B238" s="3">
        <v>214526194183147</v>
      </c>
      <c r="C238" s="3">
        <f>[1]!nefin_factors__1[[#This Row],[Rm_minus_Rf]]/B237-1</f>
        <v>-1.229778904040979</v>
      </c>
      <c r="D238" s="3">
        <v>-114520044804726</v>
      </c>
      <c r="E238" s="3">
        <f>[1]!nefin_factors__1[[#This Row],[SMB]]/D237-1</f>
        <v>-1.1554312550445283</v>
      </c>
      <c r="F238" s="3">
        <v>-38656726707632</v>
      </c>
      <c r="G238" s="3">
        <f>[1]!nefin_factors__1[[#This Row],[HML]]/F237-1</f>
        <v>-1.0620629604212084</v>
      </c>
      <c r="H238" s="3">
        <v>407411687703085</v>
      </c>
      <c r="I238" s="4">
        <f>[1]!nefin_factors__1[[#This Row],[Risk_Free]]/H237-1</f>
        <v>-8.7854232564266166E-4</v>
      </c>
      <c r="J238">
        <v>53403</v>
      </c>
      <c r="K238">
        <v>56214</v>
      </c>
      <c r="L238">
        <v>53403</v>
      </c>
      <c r="M238">
        <v>56084</v>
      </c>
      <c r="N238">
        <v>6026200</v>
      </c>
      <c r="O238">
        <v>56084</v>
      </c>
      <c r="P238">
        <v>5.0203172106436003E-2</v>
      </c>
      <c r="Q238">
        <v>4.8983642695479598E-2</v>
      </c>
      <c r="R238" s="8">
        <v>12.7749376296997</v>
      </c>
      <c r="S238" s="8">
        <v>6.8965438728358502E-2</v>
      </c>
      <c r="T238" s="9">
        <v>6.6691301051004903E-2</v>
      </c>
      <c r="U238" s="12">
        <v>4.1957000000000001E-2</v>
      </c>
      <c r="V238" s="16">
        <v>2.6135999999999999</v>
      </c>
      <c r="W238" s="17">
        <f t="shared" si="3"/>
        <v>1.5976676384839683E-2</v>
      </c>
    </row>
    <row r="239" spans="1:23" x14ac:dyDescent="0.2">
      <c r="A239" s="15">
        <v>41877</v>
      </c>
      <c r="B239" s="5">
        <v>124872686767682</v>
      </c>
      <c r="C239" s="5">
        <f>[1]!nefin_factors__1[[#This Row],[Rm_minus_Rf]]/B238-1</f>
        <v>-0.41791403495894441</v>
      </c>
      <c r="D239" s="5">
        <v>15914365882381</v>
      </c>
      <c r="E239" s="5">
        <f>[1]!nefin_factors__1[[#This Row],[SMB]]/D238-1</f>
        <v>-1.1389657671678124</v>
      </c>
      <c r="F239" s="5">
        <v>437675721097993</v>
      </c>
      <c r="G239" s="5">
        <f>[1]!nefin_factors__1[[#This Row],[HML]]/F238-1</f>
        <v>-12.32211023473911</v>
      </c>
      <c r="H239" s="5">
        <v>407769930846458</v>
      </c>
      <c r="I239" s="6">
        <f>[1]!nefin_factors__1[[#This Row],[Risk_Free]]/H238-1</f>
        <v>8.7931484094805334E-4</v>
      </c>
      <c r="J239">
        <v>56086</v>
      </c>
      <c r="K239">
        <v>57359</v>
      </c>
      <c r="L239">
        <v>55292</v>
      </c>
      <c r="M239">
        <v>55407</v>
      </c>
      <c r="N239">
        <v>4588700</v>
      </c>
      <c r="O239">
        <v>55407</v>
      </c>
      <c r="P239">
        <v>-1.2071178945866999E-2</v>
      </c>
      <c r="Q239">
        <v>-1.21446272970012E-2</v>
      </c>
      <c r="R239" s="8">
        <v>12.939776420593301</v>
      </c>
      <c r="S239" s="8">
        <v>1.2903433582802701E-2</v>
      </c>
      <c r="T239" s="9">
        <v>1.28208935585589E-2</v>
      </c>
      <c r="U239" s="12">
        <v>4.1957000000000001E-2</v>
      </c>
      <c r="V239" s="16">
        <v>2.6034999999999999</v>
      </c>
      <c r="W239" s="17">
        <f t="shared" si="3"/>
        <v>-3.8644015916743379E-3</v>
      </c>
    </row>
    <row r="240" spans="1:23" x14ac:dyDescent="0.2">
      <c r="A240" s="14">
        <v>41878</v>
      </c>
      <c r="B240" s="3">
        <v>176390812108752</v>
      </c>
      <c r="C240" s="3">
        <f>[1]!nefin_factors__1[[#This Row],[Rm_minus_Rf]]/B239-1</f>
        <v>0.41256520280464803</v>
      </c>
      <c r="D240" s="3">
        <v>-102763734131365</v>
      </c>
      <c r="E240" s="3">
        <f>[1]!nefin_factors__1[[#This Row],[SMB]]/D239-1</f>
        <v>-7.4572936735818081</v>
      </c>
      <c r="F240" s="3">
        <v>-501392033747421</v>
      </c>
      <c r="G240" s="3">
        <f>[1]!nefin_factors__1[[#This Row],[HML]]/F239-1</f>
        <v>-2.1455788145835082</v>
      </c>
      <c r="H240" s="3">
        <v>407769930846458</v>
      </c>
      <c r="I240" s="4">
        <f>[1]!nefin_factors__1[[#This Row],[Risk_Free]]/H239-1</f>
        <v>0</v>
      </c>
      <c r="J240">
        <v>55410</v>
      </c>
      <c r="K240">
        <v>56387</v>
      </c>
      <c r="L240">
        <v>55204</v>
      </c>
      <c r="M240">
        <v>55561</v>
      </c>
      <c r="N240">
        <v>5033200</v>
      </c>
      <c r="O240">
        <v>55561</v>
      </c>
      <c r="P240">
        <v>2.7794322017074E-3</v>
      </c>
      <c r="Q240">
        <v>2.7755767224021E-3</v>
      </c>
      <c r="R240" s="8">
        <v>12.7749376296997</v>
      </c>
      <c r="S240" s="8">
        <v>-1.27390560195467E-2</v>
      </c>
      <c r="T240" s="9">
        <v>-1.28208935585588E-2</v>
      </c>
      <c r="U240" s="12">
        <v>4.1957000000000001E-2</v>
      </c>
      <c r="V240" s="16">
        <v>2.5966999999999998</v>
      </c>
      <c r="W240" s="17">
        <f t="shared" si="3"/>
        <v>-2.611868638371484E-3</v>
      </c>
    </row>
    <row r="241" spans="1:23" x14ac:dyDescent="0.2">
      <c r="A241" s="15">
        <v>41879</v>
      </c>
      <c r="B241" s="5">
        <v>-960666148961182</v>
      </c>
      <c r="C241" s="5">
        <f>[1]!nefin_factors__1[[#This Row],[Rm_minus_Rf]]/B240-1</f>
        <v>-6.4462368956547058</v>
      </c>
      <c r="D241" s="5">
        <v>127359869814978</v>
      </c>
      <c r="E241" s="5">
        <f>[1]!nefin_factors__1[[#This Row],[SMB]]/D240-1</f>
        <v>-2.2393464571088009</v>
      </c>
      <c r="F241" s="5">
        <v>-751777877252441</v>
      </c>
      <c r="G241" s="5">
        <f>[1]!nefin_factors__1[[#This Row],[HML]]/F240-1</f>
        <v>0.49938137555482842</v>
      </c>
      <c r="H241" s="5">
        <v>407053412356806</v>
      </c>
      <c r="I241" s="6">
        <f>[1]!nefin_factors__1[[#This Row],[Risk_Free]]/H240-1</f>
        <v>-1.7571636245091726E-3</v>
      </c>
      <c r="J241">
        <v>55561</v>
      </c>
      <c r="K241">
        <v>56100</v>
      </c>
      <c r="L241">
        <v>54977</v>
      </c>
      <c r="M241">
        <v>55098</v>
      </c>
      <c r="N241">
        <v>3033300</v>
      </c>
      <c r="O241">
        <v>55098</v>
      </c>
      <c r="P241">
        <v>-8.3331833480318994E-3</v>
      </c>
      <c r="Q241">
        <v>-8.3680984248459302E-3</v>
      </c>
      <c r="R241" s="8">
        <v>12.7749376296997</v>
      </c>
      <c r="S241" s="8">
        <v>0</v>
      </c>
      <c r="T241" s="9">
        <v>0</v>
      </c>
      <c r="U241" s="12">
        <v>4.1957000000000001E-2</v>
      </c>
      <c r="V241" s="16">
        <v>2.5849000000000002</v>
      </c>
      <c r="W241" s="17">
        <f t="shared" si="3"/>
        <v>-4.5442292140022156E-3</v>
      </c>
    </row>
    <row r="242" spans="1:23" x14ac:dyDescent="0.2">
      <c r="A242" s="14">
        <v>41880</v>
      </c>
      <c r="B242" s="3">
        <v>15707644760454</v>
      </c>
      <c r="C242" s="3">
        <f>[1]!nefin_factors__1[[#This Row],[Rm_minus_Rf]]/B241-1</f>
        <v>-1.0163507840652442</v>
      </c>
      <c r="D242" s="3">
        <v>-582703238274078</v>
      </c>
      <c r="E242" s="3">
        <f>[1]!nefin_factors__1[[#This Row],[SMB]]/D241-1</f>
        <v>-5.5752499521285621</v>
      </c>
      <c r="F242" s="3">
        <v>-363698622878572</v>
      </c>
      <c r="G242" s="3">
        <f>[1]!nefin_factors__1[[#This Row],[HML]]/F241-1</f>
        <v>-0.51621531587521707</v>
      </c>
      <c r="H242" s="3">
        <v>407053412356806</v>
      </c>
      <c r="I242" s="4">
        <f>[1]!nefin_factors__1[[#This Row],[Risk_Free]]/H241-1</f>
        <v>0</v>
      </c>
      <c r="J242">
        <v>55099</v>
      </c>
      <c r="K242">
        <v>56065</v>
      </c>
      <c r="L242">
        <v>54592</v>
      </c>
      <c r="M242">
        <v>54721</v>
      </c>
      <c r="N242">
        <v>2292700</v>
      </c>
      <c r="O242">
        <v>54721</v>
      </c>
      <c r="P242">
        <v>-6.8423536244509604E-3</v>
      </c>
      <c r="Q242">
        <v>-6.8658698583270398E-3</v>
      </c>
      <c r="R242" s="8">
        <v>12.6760358810425</v>
      </c>
      <c r="S242" s="8">
        <v>-7.7417193524921303E-3</v>
      </c>
      <c r="T242" s="9">
        <v>-7.7718420300172501E-3</v>
      </c>
      <c r="U242" s="12">
        <v>4.1957000000000001E-2</v>
      </c>
      <c r="V242" s="16">
        <v>2.5449999999999999</v>
      </c>
      <c r="W242" s="17">
        <f t="shared" si="3"/>
        <v>-1.5435800224380181E-2</v>
      </c>
    </row>
    <row r="243" spans="1:23" x14ac:dyDescent="0.2">
      <c r="A243" s="15">
        <v>41883</v>
      </c>
      <c r="B243" s="5">
        <v>-381776686388488</v>
      </c>
      <c r="C243" s="5">
        <f>[1]!nefin_factors__1[[#This Row],[Rm_minus_Rf]]/B242-1</f>
        <v>-25.305151549496429</v>
      </c>
      <c r="D243" s="5">
        <v>114392462767044</v>
      </c>
      <c r="E243" s="5">
        <f>[1]!nefin_factors__1[[#This Row],[SMB]]/D242-1</f>
        <v>-1.1963134152229282</v>
      </c>
      <c r="F243" s="5">
        <v>-111574668744447</v>
      </c>
      <c r="G243" s="5">
        <f>[1]!nefin_factors__1[[#This Row],[HML]]/F242-1</f>
        <v>-0.69322218527701596</v>
      </c>
      <c r="H243" s="5">
        <v>407053412356806</v>
      </c>
      <c r="I243" s="6">
        <f>[1]!nefin_factors__1[[#This Row],[Risk_Free]]/H242-1</f>
        <v>0</v>
      </c>
      <c r="J243">
        <v>54731</v>
      </c>
      <c r="K243">
        <v>55436</v>
      </c>
      <c r="L243">
        <v>54664</v>
      </c>
      <c r="M243">
        <v>54664</v>
      </c>
      <c r="N243">
        <v>2637700</v>
      </c>
      <c r="O243">
        <v>54664</v>
      </c>
      <c r="P243">
        <v>-1.04164763070846E-3</v>
      </c>
      <c r="Q243">
        <v>-1.04219052263588E-3</v>
      </c>
      <c r="R243" s="8">
        <v>12.7749376296997</v>
      </c>
      <c r="S243" s="8">
        <v>7.80212118506096E-3</v>
      </c>
      <c r="T243" s="9">
        <v>7.7718420300172102E-3</v>
      </c>
      <c r="U243" s="12">
        <v>4.1957000000000001E-2</v>
      </c>
      <c r="V243" s="16">
        <v>2.5390999999999999</v>
      </c>
      <c r="W243" s="17">
        <f t="shared" si="3"/>
        <v>-2.3182711198428407E-3</v>
      </c>
    </row>
    <row r="244" spans="1:23" x14ac:dyDescent="0.2">
      <c r="A244" s="14">
        <v>41884</v>
      </c>
      <c r="B244" s="3">
        <v>114295843896796</v>
      </c>
      <c r="C244" s="3">
        <f>[1]!nefin_factors__1[[#This Row],[Rm_minus_Rf]]/B243-1</f>
        <v>-1.2993787938650894</v>
      </c>
      <c r="D244" s="3">
        <v>-850053665216709</v>
      </c>
      <c r="E244" s="3">
        <f>[1]!nefin_factors__1[[#This Row],[SMB]]/D243-1</f>
        <v>-8.4310286242181149</v>
      </c>
      <c r="F244" s="3">
        <v>104446336847864</v>
      </c>
      <c r="G244" s="3">
        <f>[1]!nefin_factors__1[[#This Row],[HML]]/F243-1</f>
        <v>-1.9361115567108707</v>
      </c>
      <c r="H244" s="3">
        <v>407411687703085</v>
      </c>
      <c r="I244" s="4">
        <f>[1]!nefin_factors__1[[#This Row],[Risk_Free]]/H243-1</f>
        <v>8.8016789788003535E-4</v>
      </c>
      <c r="J244">
        <v>54719</v>
      </c>
      <c r="K244">
        <v>54719</v>
      </c>
      <c r="L244">
        <v>52156</v>
      </c>
      <c r="M244">
        <v>52276</v>
      </c>
      <c r="N244">
        <v>4312800</v>
      </c>
      <c r="O244">
        <v>52276</v>
      </c>
      <c r="P244">
        <v>-4.3685057807697901E-2</v>
      </c>
      <c r="Q244">
        <v>-4.4667982743687697E-2</v>
      </c>
      <c r="R244" s="8">
        <v>12.527681350708001</v>
      </c>
      <c r="S244" s="8">
        <v>-1.9354809577014399E-2</v>
      </c>
      <c r="T244" s="9">
        <v>-1.9544566365320901E-2</v>
      </c>
      <c r="U244" s="12">
        <v>4.1957000000000001E-2</v>
      </c>
      <c r="V244" s="16">
        <v>2.5282</v>
      </c>
      <c r="W244" s="17">
        <f t="shared" si="3"/>
        <v>-4.2928596746878434E-3</v>
      </c>
    </row>
    <row r="245" spans="1:23" x14ac:dyDescent="0.2">
      <c r="A245" s="15">
        <v>41885</v>
      </c>
      <c r="B245" s="5">
        <v>-278504993954881</v>
      </c>
      <c r="C245" s="5">
        <f>[1]!nefin_factors__1[[#This Row],[Rm_minus_Rf]]/B244-1</f>
        <v>-3.4367027221598581</v>
      </c>
      <c r="D245" s="5">
        <v>-595060181206834</v>
      </c>
      <c r="E245" s="5">
        <f>[1]!nefin_factors__1[[#This Row],[SMB]]/D244-1</f>
        <v>-0.29997339514425603</v>
      </c>
      <c r="F245" s="5">
        <v>205655857287737</v>
      </c>
      <c r="G245" s="5">
        <f>[1]!nefin_factors__1[[#This Row],[HML]]/F244-1</f>
        <v>0.96900976610883216</v>
      </c>
      <c r="H245" s="5">
        <v>407411687703085</v>
      </c>
      <c r="I245" s="6">
        <f>[1]!nefin_factors__1[[#This Row],[Risk_Free]]/H244-1</f>
        <v>0</v>
      </c>
      <c r="J245">
        <v>52277</v>
      </c>
      <c r="K245">
        <v>52639</v>
      </c>
      <c r="L245">
        <v>51471</v>
      </c>
      <c r="M245">
        <v>51612</v>
      </c>
      <c r="N245">
        <v>3296400</v>
      </c>
      <c r="O245">
        <v>51612</v>
      </c>
      <c r="P245">
        <v>-1.27018134516795E-2</v>
      </c>
      <c r="Q245">
        <v>-1.2783171145189899E-2</v>
      </c>
      <c r="R245" s="8">
        <v>12.412295341491699</v>
      </c>
      <c r="S245" s="8">
        <v>-9.2105005944822498E-3</v>
      </c>
      <c r="T245" s="9">
        <v>-9.2531795200671996E-3</v>
      </c>
      <c r="U245" s="12">
        <v>4.1957000000000001E-2</v>
      </c>
      <c r="V245" s="16">
        <v>2.5236999999999998</v>
      </c>
      <c r="W245" s="17">
        <f t="shared" si="3"/>
        <v>-1.7799224744878828E-3</v>
      </c>
    </row>
    <row r="246" spans="1:23" x14ac:dyDescent="0.2">
      <c r="A246" s="14">
        <v>41886</v>
      </c>
      <c r="B246" s="3">
        <v>-150855092855704</v>
      </c>
      <c r="C246" s="3">
        <f>[1]!nefin_factors__1[[#This Row],[Rm_minus_Rf]]/B245-1</f>
        <v>-0.45833972054324035</v>
      </c>
      <c r="D246" s="3">
        <v>528827730178918</v>
      </c>
      <c r="E246" s="3">
        <f>[1]!nefin_factors__1[[#This Row],[SMB]]/D245-1</f>
        <v>-1.8886962140642805</v>
      </c>
      <c r="F246" s="3">
        <v>-5936925734.9257402</v>
      </c>
      <c r="G246" s="3">
        <f>[1]!nefin_factors__1[[#This Row],[HML]]/F245-1</f>
        <v>-1.0000288682550218</v>
      </c>
      <c r="H246" s="3">
        <v>407769930846458</v>
      </c>
      <c r="I246" s="4">
        <f>[1]!nefin_factors__1[[#This Row],[Risk_Free]]/H245-1</f>
        <v>8.7931484094805334E-4</v>
      </c>
      <c r="J246">
        <v>51610</v>
      </c>
      <c r="K246">
        <v>52470</v>
      </c>
      <c r="L246">
        <v>51610</v>
      </c>
      <c r="M246">
        <v>52320</v>
      </c>
      <c r="N246">
        <v>2724600</v>
      </c>
      <c r="O246">
        <v>52320</v>
      </c>
      <c r="P246">
        <v>1.37177400604511E-2</v>
      </c>
      <c r="Q246">
        <v>1.36245035593438E-2</v>
      </c>
      <c r="R246" s="8">
        <v>12.362842559814499</v>
      </c>
      <c r="S246" s="8">
        <v>-3.9840399887688402E-3</v>
      </c>
      <c r="T246" s="9">
        <v>-3.9919974182616499E-3</v>
      </c>
      <c r="U246" s="12">
        <v>4.1957000000000001E-2</v>
      </c>
      <c r="V246" s="16">
        <v>2.5103</v>
      </c>
      <c r="W246" s="17">
        <f t="shared" si="3"/>
        <v>-5.309664381661805E-3</v>
      </c>
    </row>
    <row r="247" spans="1:23" x14ac:dyDescent="0.2">
      <c r="A247" s="15">
        <v>41887</v>
      </c>
      <c r="B247" s="5">
        <v>-398883405368487</v>
      </c>
      <c r="C247" s="5">
        <f>[1]!nefin_factors__1[[#This Row],[Rm_minus_Rf]]/B246-1</f>
        <v>1.6441494139679276</v>
      </c>
      <c r="D247" s="5">
        <v>335799756397956</v>
      </c>
      <c r="E247" s="5">
        <f>[1]!nefin_factors__1[[#This Row],[SMB]]/D246-1</f>
        <v>-0.36501106648786164</v>
      </c>
      <c r="F247" s="5">
        <v>-531428071613038</v>
      </c>
      <c r="G247" s="5">
        <f>[1]!nefin_factors__1[[#This Row],[HML]]/F246-1</f>
        <v>89511.332702218846</v>
      </c>
      <c r="H247" s="5">
        <v>407769930846458</v>
      </c>
      <c r="I247" s="6">
        <f>[1]!nefin_factors__1[[#This Row],[Risk_Free]]/H246-1</f>
        <v>0</v>
      </c>
      <c r="J247">
        <v>52320</v>
      </c>
      <c r="K247">
        <v>52539</v>
      </c>
      <c r="L247">
        <v>51074</v>
      </c>
      <c r="M247">
        <v>51427</v>
      </c>
      <c r="N247">
        <v>2913300</v>
      </c>
      <c r="O247">
        <v>51427</v>
      </c>
      <c r="P247">
        <v>-1.70680428134556E-2</v>
      </c>
      <c r="Q247">
        <v>-1.7215380776486901E-2</v>
      </c>
      <c r="R247" s="8">
        <v>12.59361743927</v>
      </c>
      <c r="S247" s="8">
        <v>1.8666789686869099E-2</v>
      </c>
      <c r="T247" s="9">
        <v>1.84947034020626E-2</v>
      </c>
      <c r="U247" s="12">
        <v>4.1957000000000001E-2</v>
      </c>
      <c r="V247" s="16">
        <v>2.5065</v>
      </c>
      <c r="W247" s="17">
        <f t="shared" si="3"/>
        <v>-1.5137632952236801E-3</v>
      </c>
    </row>
    <row r="248" spans="1:23" x14ac:dyDescent="0.2">
      <c r="A248" s="14">
        <v>41890</v>
      </c>
      <c r="B248" s="3">
        <v>-227697592873977</v>
      </c>
      <c r="C248" s="3">
        <f>[1]!nefin_factors__1[[#This Row],[Rm_minus_Rf]]/B247-1</f>
        <v>-0.42916253268638538</v>
      </c>
      <c r="D248" s="3">
        <v>-727966561141037</v>
      </c>
      <c r="E248" s="3">
        <f>[1]!nefin_factors__1[[#This Row],[SMB]]/D247-1</f>
        <v>-3.1678591102916838</v>
      </c>
      <c r="F248" s="3">
        <v>-12633083788455</v>
      </c>
      <c r="G248" s="3">
        <f>[1]!nefin_factors__1[[#This Row],[HML]]/F247-1</f>
        <v>-0.97622804578216971</v>
      </c>
      <c r="H248" s="3">
        <v>407769930846458</v>
      </c>
      <c r="I248" s="4">
        <f>[1]!nefin_factors__1[[#This Row],[Risk_Free]]/H247-1</f>
        <v>0</v>
      </c>
      <c r="J248">
        <v>51427</v>
      </c>
      <c r="K248">
        <v>52023</v>
      </c>
      <c r="L248">
        <v>51163</v>
      </c>
      <c r="M248">
        <v>51992</v>
      </c>
      <c r="N248">
        <v>2530100</v>
      </c>
      <c r="O248">
        <v>51992</v>
      </c>
      <c r="P248">
        <v>1.0986446808096901E-2</v>
      </c>
      <c r="Q248">
        <v>1.0926534219591401E-2</v>
      </c>
      <c r="R248" s="8">
        <v>12.939776420593301</v>
      </c>
      <c r="S248" s="8">
        <v>2.74869159721765E-2</v>
      </c>
      <c r="T248" s="9">
        <v>2.7115933460146301E-2</v>
      </c>
      <c r="U248" s="12">
        <v>4.1957000000000001E-2</v>
      </c>
      <c r="V248" s="16">
        <v>2.5600999999999998</v>
      </c>
      <c r="W248" s="17">
        <f t="shared" si="3"/>
        <v>2.1384400558547734E-2</v>
      </c>
    </row>
    <row r="249" spans="1:23" x14ac:dyDescent="0.2">
      <c r="A249" s="15">
        <v>41891</v>
      </c>
      <c r="B249" s="5">
        <v>-961455931585471</v>
      </c>
      <c r="C249" s="5">
        <f>[1]!nefin_factors__1[[#This Row],[Rm_minus_Rf]]/B248-1</f>
        <v>3.2225124976073189</v>
      </c>
      <c r="D249" s="5">
        <v>-507133676227208</v>
      </c>
      <c r="E249" s="5">
        <f>[1]!nefin_factors__1[[#This Row],[SMB]]/D248-1</f>
        <v>-0.3033558087718875</v>
      </c>
      <c r="F249" s="5">
        <v>-209484852370431</v>
      </c>
      <c r="G249" s="5">
        <f>[1]!nefin_factors__1[[#This Row],[HML]]/F248-1</f>
        <v>15.582241982901515</v>
      </c>
      <c r="H249" s="5">
        <v>407769930846458</v>
      </c>
      <c r="I249" s="6">
        <f>[1]!nefin_factors__1[[#This Row],[Risk_Free]]/H248-1</f>
        <v>0</v>
      </c>
      <c r="J249">
        <v>51992</v>
      </c>
      <c r="K249">
        <v>51992</v>
      </c>
      <c r="L249">
        <v>50015</v>
      </c>
      <c r="M249">
        <v>50274</v>
      </c>
      <c r="N249">
        <v>3302600</v>
      </c>
      <c r="O249">
        <v>50274</v>
      </c>
      <c r="P249">
        <v>-3.3043545160793997E-2</v>
      </c>
      <c r="Q249">
        <v>-3.3601815732843397E-2</v>
      </c>
      <c r="R249" s="8">
        <v>13.187032699585</v>
      </c>
      <c r="S249" s="8">
        <v>1.9108079345687701E-2</v>
      </c>
      <c r="T249" s="9">
        <v>1.8927812743455501E-2</v>
      </c>
      <c r="U249" s="12">
        <v>4.1957000000000001E-2</v>
      </c>
      <c r="V249" s="16">
        <v>2.5623999999999998</v>
      </c>
      <c r="W249" s="17">
        <f t="shared" si="3"/>
        <v>8.9840240615601807E-4</v>
      </c>
    </row>
    <row r="250" spans="1:23" x14ac:dyDescent="0.2">
      <c r="A250" s="14">
        <v>41892</v>
      </c>
      <c r="B250" s="3">
        <v>-690800043091642</v>
      </c>
      <c r="C250" s="3">
        <f>[1]!nefin_factors__1[[#This Row],[Rm_minus_Rf]]/B249-1</f>
        <v>-0.28150628604215788</v>
      </c>
      <c r="D250" s="3">
        <v>-602928080483702</v>
      </c>
      <c r="E250" s="3">
        <f>[1]!nefin_factors__1[[#This Row],[SMB]]/D249-1</f>
        <v>0.18889379417504082</v>
      </c>
      <c r="F250" s="3">
        <v>-164251803749769</v>
      </c>
      <c r="G250" s="3">
        <f>[1]!nefin_factors__1[[#This Row],[HML]]/F249-1</f>
        <v>-0.21592515214740504</v>
      </c>
      <c r="H250" s="3">
        <v>407769930846458</v>
      </c>
      <c r="I250" s="4">
        <f>[1]!nefin_factors__1[[#This Row],[Risk_Free]]/H249-1</f>
        <v>0</v>
      </c>
      <c r="J250">
        <v>50250</v>
      </c>
      <c r="K250">
        <v>50260</v>
      </c>
      <c r="L250">
        <v>49395</v>
      </c>
      <c r="M250">
        <v>50193</v>
      </c>
      <c r="N250">
        <v>3852900</v>
      </c>
      <c r="O250">
        <v>50193</v>
      </c>
      <c r="P250">
        <v>-1.61117078410311E-3</v>
      </c>
      <c r="Q250">
        <v>-1.61247011556836E-3</v>
      </c>
      <c r="R250" s="8">
        <v>12.610099792480501</v>
      </c>
      <c r="S250" s="8">
        <v>-4.3749878774047603E-2</v>
      </c>
      <c r="T250" s="9">
        <v>-4.47357670691617E-2</v>
      </c>
      <c r="U250" s="12">
        <v>4.1957000000000001E-2</v>
      </c>
      <c r="V250" s="16">
        <v>2.5663999999999998</v>
      </c>
      <c r="W250" s="17">
        <f t="shared" si="3"/>
        <v>1.5610365282547889E-3</v>
      </c>
    </row>
    <row r="251" spans="1:23" x14ac:dyDescent="0.2">
      <c r="A251" s="15">
        <v>41893</v>
      </c>
      <c r="B251" s="5">
        <v>181497292349941</v>
      </c>
      <c r="C251" s="5">
        <f>[1]!nefin_factors__1[[#This Row],[Rm_minus_Rf]]/B250-1</f>
        <v>-1.2627349175278835</v>
      </c>
      <c r="D251" s="5">
        <v>317418495137709</v>
      </c>
      <c r="E251" s="5">
        <f>[1]!nefin_factors__1[[#This Row],[SMB]]/D250-1</f>
        <v>-1.5264616218953653</v>
      </c>
      <c r="F251" s="5">
        <v>399916423584058</v>
      </c>
      <c r="G251" s="5">
        <f>[1]!nefin_factors__1[[#This Row],[HML]]/F250-1</f>
        <v>-3.4347764496596613</v>
      </c>
      <c r="H251" s="5">
        <v>407769930846458</v>
      </c>
      <c r="I251" s="6">
        <f>[1]!nefin_factors__1[[#This Row],[Risk_Free]]/H250-1</f>
        <v>0</v>
      </c>
      <c r="J251">
        <v>50192</v>
      </c>
      <c r="K251">
        <v>50192</v>
      </c>
      <c r="L251">
        <v>49297</v>
      </c>
      <c r="M251">
        <v>49548</v>
      </c>
      <c r="N251">
        <v>3168900</v>
      </c>
      <c r="O251">
        <v>49548</v>
      </c>
      <c r="P251">
        <v>-1.28503974657821E-2</v>
      </c>
      <c r="Q251">
        <v>-1.29336780516826E-2</v>
      </c>
      <c r="R251" s="8">
        <v>12.2144889831543</v>
      </c>
      <c r="S251" s="8">
        <v>-2.4340439195079399E-2</v>
      </c>
      <c r="T251" s="9">
        <v>-2.4641564068325902E-2</v>
      </c>
      <c r="U251" s="12">
        <v>4.1957000000000001E-2</v>
      </c>
      <c r="V251" s="16">
        <v>2.5607000000000002</v>
      </c>
      <c r="W251" s="17">
        <f t="shared" si="3"/>
        <v>-2.2210099750621382E-3</v>
      </c>
    </row>
    <row r="252" spans="1:23" x14ac:dyDescent="0.2">
      <c r="A252" s="14">
        <v>41894</v>
      </c>
      <c r="B252" s="3">
        <v>-230976430499061</v>
      </c>
      <c r="C252" s="3">
        <f>[1]!nefin_factors__1[[#This Row],[Rm_minus_Rf]]/B251-1</f>
        <v>-2.2726163983411958</v>
      </c>
      <c r="D252" s="3">
        <v>956372928790009</v>
      </c>
      <c r="E252" s="3">
        <f>[1]!nefin_factors__1[[#This Row],[SMB]]/D251-1</f>
        <v>2.0129716555271795</v>
      </c>
      <c r="F252" s="3">
        <v>573273551416326</v>
      </c>
      <c r="G252" s="3">
        <f>[1]!nefin_factors__1[[#This Row],[HML]]/F251-1</f>
        <v>0.43348339205136499</v>
      </c>
      <c r="H252" s="3">
        <v>407769930846458</v>
      </c>
      <c r="I252" s="4">
        <f>[1]!nefin_factors__1[[#This Row],[Risk_Free]]/H251-1</f>
        <v>0</v>
      </c>
      <c r="J252">
        <v>49548</v>
      </c>
      <c r="K252">
        <v>49946</v>
      </c>
      <c r="L252">
        <v>48808</v>
      </c>
      <c r="M252">
        <v>49861</v>
      </c>
      <c r="N252">
        <v>3828900</v>
      </c>
      <c r="O252">
        <v>49861</v>
      </c>
      <c r="P252">
        <v>6.3171066440623801E-3</v>
      </c>
      <c r="Q252">
        <v>6.29723735957662E-3</v>
      </c>
      <c r="R252" s="8">
        <v>12.527681350708001</v>
      </c>
      <c r="S252" s="8">
        <v>2.5640987078787501E-2</v>
      </c>
      <c r="T252" s="9">
        <v>2.5317770386107E-2</v>
      </c>
      <c r="U252" s="12">
        <v>4.3739E-2</v>
      </c>
      <c r="V252" s="16">
        <v>2.5796999999999999</v>
      </c>
      <c r="W252" s="17">
        <f t="shared" si="3"/>
        <v>7.419846135822139E-3</v>
      </c>
    </row>
    <row r="253" spans="1:23" x14ac:dyDescent="0.2">
      <c r="A253" s="15">
        <v>41897</v>
      </c>
      <c r="B253" s="5">
        <v>161820023846812</v>
      </c>
      <c r="C253" s="5">
        <f>[1]!nefin_factors__1[[#This Row],[Rm_minus_Rf]]/B252-1</f>
        <v>-1.7005910667905566</v>
      </c>
      <c r="D253" s="5">
        <v>-212343503692097</v>
      </c>
      <c r="E253" s="5">
        <f>[1]!nefin_factors__1[[#This Row],[SMB]]/D252-1</f>
        <v>-1.2220300233307015</v>
      </c>
      <c r="F253" s="5">
        <v>-870036868553969</v>
      </c>
      <c r="G253" s="5">
        <f>[1]!nefin_factors__1[[#This Row],[HML]]/F252-1</f>
        <v>-2.5176644141430584</v>
      </c>
      <c r="H253" s="5">
        <v>407769930846458</v>
      </c>
      <c r="I253" s="6">
        <f>[1]!nefin_factors__1[[#This Row],[Risk_Free]]/H252-1</f>
        <v>0</v>
      </c>
      <c r="J253">
        <v>49861</v>
      </c>
      <c r="K253">
        <v>49861</v>
      </c>
      <c r="L253">
        <v>47973</v>
      </c>
      <c r="M253">
        <v>48002</v>
      </c>
      <c r="N253">
        <v>3756700</v>
      </c>
      <c r="O253">
        <v>48002</v>
      </c>
      <c r="P253">
        <v>-3.7283648542949403E-2</v>
      </c>
      <c r="Q253">
        <v>-3.7996457345003898E-2</v>
      </c>
      <c r="R253" s="8">
        <v>12.2804250717163</v>
      </c>
      <c r="S253" s="8">
        <v>-1.9736704211306001E-2</v>
      </c>
      <c r="T253" s="9">
        <v>-1.9934074230481599E-2</v>
      </c>
      <c r="U253" s="12">
        <v>4.3739E-2</v>
      </c>
      <c r="V253" s="16">
        <v>2.5888</v>
      </c>
      <c r="W253" s="17">
        <f t="shared" si="3"/>
        <v>3.5275419622438076E-3</v>
      </c>
    </row>
    <row r="254" spans="1:23" x14ac:dyDescent="0.2">
      <c r="A254" s="14">
        <v>41898</v>
      </c>
      <c r="B254" s="3">
        <v>184885479357125</v>
      </c>
      <c r="C254" s="3">
        <f>[1]!nefin_factors__1[[#This Row],[Rm_minus_Rf]]/B253-1</f>
        <v>0.14253770925252152</v>
      </c>
      <c r="D254" s="3">
        <v>-222287755151982</v>
      </c>
      <c r="E254" s="3">
        <f>[1]!nefin_factors__1[[#This Row],[SMB]]/D253-1</f>
        <v>4.6830966273893715E-2</v>
      </c>
      <c r="F254" s="3">
        <v>-580107319424952</v>
      </c>
      <c r="G254" s="3">
        <f>[1]!nefin_factors__1[[#This Row],[HML]]/F253-1</f>
        <v>-0.33323823346807113</v>
      </c>
      <c r="H254" s="3">
        <v>407411687703085</v>
      </c>
      <c r="I254" s="4">
        <f>[1]!nefin_factors__1[[#This Row],[Risk_Free]]/H253-1</f>
        <v>-8.7854232564266166E-4</v>
      </c>
      <c r="J254">
        <v>48002</v>
      </c>
      <c r="K254">
        <v>48401</v>
      </c>
      <c r="L254">
        <v>46410</v>
      </c>
      <c r="M254">
        <v>47019</v>
      </c>
      <c r="N254">
        <v>4685700</v>
      </c>
      <c r="O254">
        <v>47019</v>
      </c>
      <c r="P254">
        <v>-2.04783134036082E-2</v>
      </c>
      <c r="Q254">
        <v>-2.0690901366485399E-2</v>
      </c>
      <c r="R254" s="8">
        <v>11.9507493972778</v>
      </c>
      <c r="S254" s="8">
        <v>-2.68457982123332E-2</v>
      </c>
      <c r="T254" s="9">
        <v>-2.7212728584468399E-2</v>
      </c>
      <c r="U254" s="12">
        <v>4.3739E-2</v>
      </c>
      <c r="V254" s="16">
        <v>2.5922999999999998</v>
      </c>
      <c r="W254" s="17">
        <f t="shared" si="3"/>
        <v>1.3519777503090413E-3</v>
      </c>
    </row>
    <row r="255" spans="1:23" x14ac:dyDescent="0.2">
      <c r="A255" s="15">
        <v>41899</v>
      </c>
      <c r="B255" s="5">
        <v>-589114842406551</v>
      </c>
      <c r="C255" s="5">
        <f>[1]!nefin_factors__1[[#This Row],[Rm_minus_Rf]]/B254-1</f>
        <v>-4.1863770181140953</v>
      </c>
      <c r="D255" s="5">
        <v>29806587796029</v>
      </c>
      <c r="E255" s="5">
        <f>[1]!nefin_factors__1[[#This Row],[SMB]]/D254-1</f>
        <v>-1.1340901021545235</v>
      </c>
      <c r="F255" s="5">
        <v>-141444286313289</v>
      </c>
      <c r="G255" s="5">
        <f>[1]!nefin_factors__1[[#This Row],[HML]]/F254-1</f>
        <v>-0.75617565650869611</v>
      </c>
      <c r="H255" s="5">
        <v>407769930846458</v>
      </c>
      <c r="I255" s="6">
        <f>[1]!nefin_factors__1[[#This Row],[Risk_Free]]/H254-1</f>
        <v>8.7931484094805334E-4</v>
      </c>
      <c r="J255">
        <v>47016</v>
      </c>
      <c r="K255">
        <v>47595</v>
      </c>
      <c r="L255">
        <v>45853</v>
      </c>
      <c r="M255">
        <v>47008</v>
      </c>
      <c r="N255">
        <v>5339900</v>
      </c>
      <c r="O255">
        <v>47008</v>
      </c>
      <c r="P255">
        <v>-2.33947978476756E-4</v>
      </c>
      <c r="Q255">
        <v>-2.3397534857394199E-4</v>
      </c>
      <c r="R255" s="8">
        <v>11.9507493972778</v>
      </c>
      <c r="S255" s="8">
        <v>0</v>
      </c>
      <c r="T255" s="9">
        <v>0</v>
      </c>
      <c r="U255" s="12">
        <v>4.3739E-2</v>
      </c>
      <c r="V255" s="16">
        <v>2.6015999999999999</v>
      </c>
      <c r="W255" s="17">
        <f t="shared" si="3"/>
        <v>3.5875477375304499E-3</v>
      </c>
    </row>
    <row r="256" spans="1:23" x14ac:dyDescent="0.2">
      <c r="A256" s="14">
        <v>41900</v>
      </c>
      <c r="B256" s="3">
        <v>-105870485973074</v>
      </c>
      <c r="C256" s="3">
        <f>[1]!nefin_factors__1[[#This Row],[Rm_minus_Rf]]/B255-1</f>
        <v>-0.82028888367403874</v>
      </c>
      <c r="D256" s="3">
        <v>-107990747855595</v>
      </c>
      <c r="E256" s="3">
        <f>[1]!nefin_factors__1[[#This Row],[SMB]]/D255-1</f>
        <v>-4.6230496625307147</v>
      </c>
      <c r="F256" s="3">
        <v>435649748702167</v>
      </c>
      <c r="G256" s="3">
        <f>[1]!nefin_factors__1[[#This Row],[HML]]/F255-1</f>
        <v>-4.0800095221749277</v>
      </c>
      <c r="H256" s="3">
        <v>407769930846458</v>
      </c>
      <c r="I256" s="4">
        <f>[1]!nefin_factors__1[[#This Row],[Risk_Free]]/H255-1</f>
        <v>0</v>
      </c>
      <c r="J256">
        <v>47008</v>
      </c>
      <c r="K256">
        <v>49258</v>
      </c>
      <c r="L256">
        <v>47008</v>
      </c>
      <c r="M256">
        <v>48714</v>
      </c>
      <c r="N256">
        <v>6209500</v>
      </c>
      <c r="O256">
        <v>48714</v>
      </c>
      <c r="P256">
        <v>3.6291695030633099E-2</v>
      </c>
      <c r="Q256">
        <v>3.56486631168976E-2</v>
      </c>
      <c r="R256" s="8">
        <v>11.827119827270501</v>
      </c>
      <c r="S256" s="8">
        <v>-1.03446199350397E-2</v>
      </c>
      <c r="T256" s="9">
        <v>-1.03984973991837E-2</v>
      </c>
      <c r="U256" s="12">
        <v>4.3739E-2</v>
      </c>
      <c r="V256" s="16">
        <v>2.5931000000000002</v>
      </c>
      <c r="W256" s="17">
        <f t="shared" si="3"/>
        <v>-3.2672201722016014E-3</v>
      </c>
    </row>
    <row r="257" spans="1:23" x14ac:dyDescent="0.2">
      <c r="A257" s="15">
        <v>41901</v>
      </c>
      <c r="B257" s="5">
        <v>-882630756631827</v>
      </c>
      <c r="C257" s="5">
        <f>[1]!nefin_factors__1[[#This Row],[Rm_minus_Rf]]/B256-1</f>
        <v>7.3368915190991579</v>
      </c>
      <c r="D257" s="5">
        <v>501510164177603</v>
      </c>
      <c r="E257" s="5">
        <f>[1]!nefin_factors__1[[#This Row],[SMB]]/D256-1</f>
        <v>-5.6440104743808366</v>
      </c>
      <c r="F257" s="5">
        <v>-234335495319523</v>
      </c>
      <c r="G257" s="5">
        <f>[1]!nefin_factors__1[[#This Row],[HML]]/F256-1</f>
        <v>-1.537898841942698</v>
      </c>
      <c r="H257" s="5">
        <v>407411687703085</v>
      </c>
      <c r="I257" s="6">
        <f>[1]!nefin_factors__1[[#This Row],[Risk_Free]]/H256-1</f>
        <v>-8.7854232564266166E-4</v>
      </c>
      <c r="J257">
        <v>48714</v>
      </c>
      <c r="K257">
        <v>49565</v>
      </c>
      <c r="L257">
        <v>48296</v>
      </c>
      <c r="M257">
        <v>48496</v>
      </c>
      <c r="N257">
        <v>4240500</v>
      </c>
      <c r="O257">
        <v>48496</v>
      </c>
      <c r="P257">
        <v>-4.4750995607012499E-3</v>
      </c>
      <c r="Q257">
        <v>-4.4851427929170802E-3</v>
      </c>
      <c r="R257" s="8">
        <v>12.156796455383301</v>
      </c>
      <c r="S257" s="8">
        <v>2.7874547269528999E-2</v>
      </c>
      <c r="T257" s="9">
        <v>2.7493123855977599E-2</v>
      </c>
      <c r="U257" s="12">
        <v>4.3739E-2</v>
      </c>
      <c r="V257" s="16">
        <v>2.6271</v>
      </c>
      <c r="W257" s="17">
        <f t="shared" si="3"/>
        <v>1.3111719563456692E-2</v>
      </c>
    </row>
    <row r="258" spans="1:23" x14ac:dyDescent="0.2">
      <c r="A258" s="14">
        <v>41904</v>
      </c>
      <c r="B258" s="3">
        <v>-163850612485388</v>
      </c>
      <c r="C258" s="3">
        <f>[1]!nefin_factors__1[[#This Row],[Rm_minus_Rf]]/B257-1</f>
        <v>-0.81436108898963377</v>
      </c>
      <c r="D258" s="3">
        <v>-119850286616476</v>
      </c>
      <c r="E258" s="3">
        <f>[1]!nefin_factors__1[[#This Row],[SMB]]/D257-1</f>
        <v>-1.2389787788508961</v>
      </c>
      <c r="F258" s="3">
        <v>-106320578863871</v>
      </c>
      <c r="G258" s="3">
        <f>[1]!nefin_factors__1[[#This Row],[HML]]/F257-1</f>
        <v>-0.54628905570238118</v>
      </c>
      <c r="H258" s="3">
        <v>40812814179314</v>
      </c>
      <c r="I258" s="4">
        <f>[1]!nefin_factors__1[[#This Row],[Risk_Free]]/H257-1</f>
        <v>-0.89982414493455154</v>
      </c>
      <c r="J258">
        <v>48492</v>
      </c>
      <c r="K258">
        <v>49658</v>
      </c>
      <c r="L258">
        <v>48435</v>
      </c>
      <c r="M258">
        <v>49651</v>
      </c>
      <c r="N258">
        <v>3620400</v>
      </c>
      <c r="O258">
        <v>49651</v>
      </c>
      <c r="P258">
        <v>2.38163972286374E-2</v>
      </c>
      <c r="Q258">
        <v>2.3537210959815601E-2</v>
      </c>
      <c r="R258" s="8">
        <v>12.5111980438232</v>
      </c>
      <c r="S258" s="8">
        <v>2.91524315514506E-2</v>
      </c>
      <c r="T258" s="9">
        <v>2.8735581499429001E-2</v>
      </c>
      <c r="U258" s="12">
        <v>4.3739E-2</v>
      </c>
      <c r="V258" s="16">
        <v>2.6558000000000002</v>
      </c>
      <c r="W258" s="17">
        <f t="shared" si="3"/>
        <v>1.0924593658406589E-2</v>
      </c>
    </row>
    <row r="259" spans="1:23" x14ac:dyDescent="0.2">
      <c r="A259" s="15">
        <v>41905</v>
      </c>
      <c r="B259" s="5">
        <v>-56098294427023</v>
      </c>
      <c r="C259" s="5">
        <f>[1]!nefin_factors__1[[#This Row],[Rm_minus_Rf]]/B258-1</f>
        <v>-0.65762536022240514</v>
      </c>
      <c r="D259" s="5">
        <v>-57451561339955</v>
      </c>
      <c r="E259" s="5">
        <f>[1]!nefin_factors__1[[#This Row],[SMB]]/D258-1</f>
        <v>-0.52063893243908987</v>
      </c>
      <c r="F259" s="5">
        <v>-482849469549545</v>
      </c>
      <c r="G259" s="5">
        <f>[1]!nefin_factors__1[[#This Row],[HML]]/F258-1</f>
        <v>3.5414488400008421</v>
      </c>
      <c r="H259" s="5">
        <v>407411687703085</v>
      </c>
      <c r="I259" s="6">
        <f>[1]!nefin_factors__1[[#This Row],[Risk_Free]]/H258-1</f>
        <v>8.9824453641714772</v>
      </c>
      <c r="J259">
        <v>49651</v>
      </c>
      <c r="K259">
        <v>50121</v>
      </c>
      <c r="L259">
        <v>49105</v>
      </c>
      <c r="M259">
        <v>50121</v>
      </c>
      <c r="N259">
        <v>2675200</v>
      </c>
      <c r="O259">
        <v>50121</v>
      </c>
      <c r="P259">
        <v>9.4660731908722297E-3</v>
      </c>
      <c r="Q259">
        <v>9.42155066848787E-3</v>
      </c>
      <c r="R259" s="8">
        <v>12.6925191879272</v>
      </c>
      <c r="S259" s="8">
        <v>1.4492772398904299E-2</v>
      </c>
      <c r="T259" s="9">
        <v>1.4388755959590899E-2</v>
      </c>
      <c r="U259" s="12">
        <v>4.3739E-2</v>
      </c>
      <c r="V259" s="16">
        <v>2.6717</v>
      </c>
      <c r="W259" s="17">
        <f t="shared" si="3"/>
        <v>5.9868966036598081E-3</v>
      </c>
    </row>
    <row r="260" spans="1:23" x14ac:dyDescent="0.2">
      <c r="A260" s="14">
        <v>41906</v>
      </c>
      <c r="B260" s="3">
        <v>51609518870735</v>
      </c>
      <c r="C260" s="3">
        <f>[1]!nefin_factors__1[[#This Row],[Rm_minus_Rf]]/B259-1</f>
        <v>-1.9199837427833506</v>
      </c>
      <c r="D260" s="3">
        <v>-301552573494281</v>
      </c>
      <c r="E260" s="3">
        <f>[1]!nefin_factors__1[[#This Row],[SMB]]/D259-1</f>
        <v>4.2488142438796457</v>
      </c>
      <c r="F260" s="3">
        <v>-122770938158295</v>
      </c>
      <c r="G260" s="3">
        <f>[1]!nefin_factors__1[[#This Row],[HML]]/F259-1</f>
        <v>-0.74573662000119989</v>
      </c>
      <c r="H260" s="3">
        <v>407769930846458</v>
      </c>
      <c r="I260" s="4">
        <f>[1]!nefin_factors__1[[#This Row],[Risk_Free]]/H259-1</f>
        <v>8.7931484094805334E-4</v>
      </c>
      <c r="J260">
        <v>50121</v>
      </c>
      <c r="K260">
        <v>50890</v>
      </c>
      <c r="L260">
        <v>49815</v>
      </c>
      <c r="M260">
        <v>50890</v>
      </c>
      <c r="N260">
        <v>2668300</v>
      </c>
      <c r="O260">
        <v>50890</v>
      </c>
      <c r="P260">
        <v>1.53428702539853E-2</v>
      </c>
      <c r="Q260">
        <v>1.52263586569903E-2</v>
      </c>
      <c r="R260" s="8">
        <v>12.610099792480501</v>
      </c>
      <c r="S260" s="8">
        <v>-6.4935457438091097E-3</v>
      </c>
      <c r="T260" s="9">
        <v>-6.5147205280350201E-3</v>
      </c>
      <c r="U260" s="12">
        <v>4.3739E-2</v>
      </c>
      <c r="V260" s="16">
        <v>2.7403</v>
      </c>
      <c r="W260" s="17">
        <f t="shared" ref="W260:W323" si="4">V260/V259-1</f>
        <v>2.5676535539169709E-2</v>
      </c>
    </row>
    <row r="261" spans="1:23" x14ac:dyDescent="0.2">
      <c r="A261" s="15">
        <v>41907</v>
      </c>
      <c r="B261" s="5">
        <v>-143656519919601</v>
      </c>
      <c r="C261" s="5">
        <f>[1]!nefin_factors__1[[#This Row],[Rm_minus_Rf]]/B260-1</f>
        <v>-3.7835275945783122</v>
      </c>
      <c r="D261" s="5">
        <v>431754639265383</v>
      </c>
      <c r="E261" s="5">
        <f>[1]!nefin_factors__1[[#This Row],[SMB]]/D260-1</f>
        <v>-2.4317723581741255</v>
      </c>
      <c r="F261" s="5">
        <v>774131546930399</v>
      </c>
      <c r="G261" s="5">
        <f>[1]!nefin_factors__1[[#This Row],[HML]]/F260-1</f>
        <v>-7.3054950833092978</v>
      </c>
      <c r="H261" s="5">
        <v>408486320548684</v>
      </c>
      <c r="I261" s="6">
        <f>[1]!nefin_factors__1[[#This Row],[Risk_Free]]/H260-1</f>
        <v>1.7568477909561953E-3</v>
      </c>
      <c r="J261">
        <v>50891</v>
      </c>
      <c r="K261">
        <v>50973</v>
      </c>
      <c r="L261">
        <v>49914</v>
      </c>
      <c r="M261">
        <v>50145</v>
      </c>
      <c r="N261">
        <v>1911100</v>
      </c>
      <c r="O261">
        <v>50145</v>
      </c>
      <c r="P261">
        <v>-1.46394183533111E-2</v>
      </c>
      <c r="Q261">
        <v>-1.47476320605697E-2</v>
      </c>
      <c r="R261" s="8">
        <v>12.610099792480501</v>
      </c>
      <c r="S261" s="8">
        <v>0</v>
      </c>
      <c r="T261" s="9">
        <v>0</v>
      </c>
      <c r="U261" s="12">
        <v>4.3739E-2</v>
      </c>
      <c r="V261" s="16">
        <v>2.7246000000000001</v>
      </c>
      <c r="W261" s="17">
        <f t="shared" si="4"/>
        <v>-5.7292997117103228E-3</v>
      </c>
    </row>
    <row r="262" spans="1:23" x14ac:dyDescent="0.2">
      <c r="A262" s="14">
        <v>41908</v>
      </c>
      <c r="B262" s="3">
        <v>184621129962081</v>
      </c>
      <c r="C262" s="3">
        <f>[1]!nefin_factors__1[[#This Row],[Rm_minus_Rf]]/B261-1</f>
        <v>-2.2851566365759544</v>
      </c>
      <c r="D262" s="3">
        <v>-704551351611297</v>
      </c>
      <c r="E262" s="3">
        <f>[1]!nefin_factors__1[[#This Row],[SMB]]/D261-1</f>
        <v>-2.6318327298348643</v>
      </c>
      <c r="F262" s="3">
        <v>-602730777473939</v>
      </c>
      <c r="G262" s="3">
        <f>[1]!nefin_factors__1[[#This Row],[HML]]/F261-1</f>
        <v>-1.7785896077532279</v>
      </c>
      <c r="H262" s="3">
        <v>40812814179314</v>
      </c>
      <c r="I262" s="4">
        <f>[1]!nefin_factors__1[[#This Row],[Risk_Free]]/H261-1</f>
        <v>-0.9000876843941954</v>
      </c>
      <c r="J262">
        <v>50145</v>
      </c>
      <c r="K262">
        <v>50903</v>
      </c>
      <c r="L262">
        <v>50008</v>
      </c>
      <c r="M262">
        <v>50594</v>
      </c>
      <c r="N262">
        <v>1852500</v>
      </c>
      <c r="O262">
        <v>50594</v>
      </c>
      <c r="P262">
        <v>8.9540333034201502E-3</v>
      </c>
      <c r="Q262">
        <v>8.9141836473323206E-3</v>
      </c>
      <c r="R262" s="8">
        <v>12.610099792480501</v>
      </c>
      <c r="S262" s="8">
        <v>0</v>
      </c>
      <c r="T262" s="9">
        <v>0</v>
      </c>
      <c r="U262" s="12">
        <v>4.3739E-2</v>
      </c>
      <c r="V262" s="16">
        <v>2.6676000000000002</v>
      </c>
      <c r="W262" s="17">
        <f t="shared" si="4"/>
        <v>-2.0920502092050208E-2</v>
      </c>
    </row>
    <row r="263" spans="1:23" x14ac:dyDescent="0.2">
      <c r="A263" s="15">
        <v>41911</v>
      </c>
      <c r="B263" s="5">
        <v>-415507363696786</v>
      </c>
      <c r="C263" s="5">
        <f>[1]!nefin_factors__1[[#This Row],[Rm_minus_Rf]]/B262-1</f>
        <v>-3.2505948467660573</v>
      </c>
      <c r="D263" s="5">
        <v>-335191847911458</v>
      </c>
      <c r="E263" s="5">
        <f>[1]!nefin_factors__1[[#This Row],[SMB]]/D262-1</f>
        <v>-0.52424781083042427</v>
      </c>
      <c r="F263" s="5">
        <v>-156668900057222</v>
      </c>
      <c r="G263" s="5">
        <f>[1]!nefin_factors__1[[#This Row],[HML]]/F262-1</f>
        <v>-0.74006819310965732</v>
      </c>
      <c r="H263" s="5">
        <v>408486320548684</v>
      </c>
      <c r="I263" s="6">
        <f>[1]!nefin_factors__1[[#This Row],[Risk_Free]]/H262-1</f>
        <v>9.0087761347200992</v>
      </c>
      <c r="J263">
        <v>50601</v>
      </c>
      <c r="K263">
        <v>50841</v>
      </c>
      <c r="L263">
        <v>49993</v>
      </c>
      <c r="M263">
        <v>50007</v>
      </c>
      <c r="N263">
        <v>2925300</v>
      </c>
      <c r="O263">
        <v>50007</v>
      </c>
      <c r="P263">
        <v>-1.16021662647745E-2</v>
      </c>
      <c r="Q263">
        <v>-1.16699965584433E-2</v>
      </c>
      <c r="R263" s="8">
        <v>12.7749376296997</v>
      </c>
      <c r="S263" s="8">
        <v>1.3071803573156101E-2</v>
      </c>
      <c r="T263" s="9">
        <v>1.29871048603095E-2</v>
      </c>
      <c r="U263" s="12">
        <v>4.3739E-2</v>
      </c>
      <c r="V263" s="16">
        <v>2.6486000000000001</v>
      </c>
      <c r="W263" s="17">
        <f t="shared" si="4"/>
        <v>-7.1225071225071712E-3</v>
      </c>
    </row>
    <row r="264" spans="1:23" x14ac:dyDescent="0.2">
      <c r="A264" s="14">
        <v>41912</v>
      </c>
      <c r="B264" s="3">
        <v>-964685185571916</v>
      </c>
      <c r="C264" s="3">
        <f>[1]!nefin_factors__1[[#This Row],[Rm_minus_Rf]]/B263-1</f>
        <v>1.3217041859115866</v>
      </c>
      <c r="D264" s="3">
        <v>352591731259235</v>
      </c>
      <c r="E264" s="3">
        <f>[1]!nefin_factors__1[[#This Row],[SMB]]/D263-1</f>
        <v>-2.0519102223284778</v>
      </c>
      <c r="F264" s="3">
        <v>-113773470245105</v>
      </c>
      <c r="G264" s="3">
        <f>[1]!nefin_factors__1[[#This Row],[HML]]/F263-1</f>
        <v>-0.27379671266249905</v>
      </c>
      <c r="H264" s="3">
        <v>408486320548684</v>
      </c>
      <c r="I264" s="4">
        <f>[1]!nefin_factors__1[[#This Row],[Risk_Free]]/H263-1</f>
        <v>0</v>
      </c>
      <c r="J264">
        <v>50005</v>
      </c>
      <c r="K264">
        <v>50005</v>
      </c>
      <c r="L264">
        <v>48345</v>
      </c>
      <c r="M264">
        <v>48512</v>
      </c>
      <c r="N264">
        <v>2882100</v>
      </c>
      <c r="O264">
        <v>48512</v>
      </c>
      <c r="P264">
        <v>-2.98958145859579E-2</v>
      </c>
      <c r="Q264">
        <v>-3.0351805609154101E-2</v>
      </c>
      <c r="R264" s="8">
        <v>12.527681350708001</v>
      </c>
      <c r="S264" s="8">
        <v>-1.9354789049970102E-2</v>
      </c>
      <c r="T264" s="9">
        <v>-1.95445454331384E-2</v>
      </c>
      <c r="U264" s="12">
        <v>4.3739E-2</v>
      </c>
      <c r="V264" s="16">
        <v>2.6526999999999998</v>
      </c>
      <c r="W264" s="17">
        <f t="shared" si="4"/>
        <v>1.5479876160990891E-3</v>
      </c>
    </row>
    <row r="265" spans="1:23" x14ac:dyDescent="0.2">
      <c r="A265" s="15">
        <v>41913</v>
      </c>
      <c r="B265" s="5">
        <v>-243615754626895</v>
      </c>
      <c r="C265" s="5">
        <f>[1]!nefin_factors__1[[#This Row],[Rm_minus_Rf]]/B264-1</f>
        <v>-0.74746605600409755</v>
      </c>
      <c r="D265" s="5">
        <v>-152061071760016</v>
      </c>
      <c r="E265" s="5">
        <f>[1]!nefin_factors__1[[#This Row],[SMB]]/D264-1</f>
        <v>-1.4312666982204882</v>
      </c>
      <c r="F265" s="5">
        <v>-650356423039102</v>
      </c>
      <c r="G265" s="5">
        <f>[1]!nefin_factors__1[[#This Row],[HML]]/F264-1</f>
        <v>4.7162396614784017</v>
      </c>
      <c r="H265" s="5">
        <v>408486320548684</v>
      </c>
      <c r="I265" s="6">
        <f>[1]!nefin_factors__1[[#This Row],[Risk_Free]]/H264-1</f>
        <v>0</v>
      </c>
      <c r="J265">
        <v>48512</v>
      </c>
      <c r="K265">
        <v>48512</v>
      </c>
      <c r="L265">
        <v>47264</v>
      </c>
      <c r="M265">
        <v>47517</v>
      </c>
      <c r="N265">
        <v>3866100</v>
      </c>
      <c r="O265">
        <v>47517</v>
      </c>
      <c r="P265">
        <v>-2.0510389182058102E-2</v>
      </c>
      <c r="Q265">
        <v>-2.07236482715135E-2</v>
      </c>
      <c r="R265" s="8">
        <v>12.362842559814499</v>
      </c>
      <c r="S265" s="8">
        <v>-1.31578890621936E-2</v>
      </c>
      <c r="T265" s="9">
        <v>-1.32452209997102E-2</v>
      </c>
      <c r="U265" s="12">
        <v>4.3739E-2</v>
      </c>
      <c r="V265" s="16">
        <v>2.6775000000000002</v>
      </c>
      <c r="W265" s="17">
        <f t="shared" si="4"/>
        <v>9.3489652052627381E-3</v>
      </c>
    </row>
    <row r="266" spans="1:23" x14ac:dyDescent="0.2">
      <c r="A266" s="14">
        <v>41914</v>
      </c>
      <c r="B266" s="3">
        <v>114624589081294</v>
      </c>
      <c r="C266" s="3">
        <f>[1]!nefin_factors__1[[#This Row],[Rm_minus_Rf]]/B265-1</f>
        <v>-1.4705138600614935</v>
      </c>
      <c r="D266" s="3">
        <v>-706063821590657</v>
      </c>
      <c r="E266" s="3">
        <f>[1]!nefin_factors__1[[#This Row],[SMB]]/D265-1</f>
        <v>3.6432911028338175</v>
      </c>
      <c r="F266" s="3">
        <v>-453720878919407</v>
      </c>
      <c r="G266" s="3">
        <f>[1]!nefin_factors__1[[#This Row],[HML]]/F265-1</f>
        <v>-0.30235042993935723</v>
      </c>
      <c r="H266" s="3">
        <v>407769930846458</v>
      </c>
      <c r="I266" s="4">
        <f>[1]!nefin_factors__1[[#This Row],[Risk_Free]]/H265-1</f>
        <v>-1.7537666898214122E-3</v>
      </c>
      <c r="J266">
        <v>47517</v>
      </c>
      <c r="K266">
        <v>48061</v>
      </c>
      <c r="L266">
        <v>47338</v>
      </c>
      <c r="M266">
        <v>48001</v>
      </c>
      <c r="N266">
        <v>4559300</v>
      </c>
      <c r="O266">
        <v>48001</v>
      </c>
      <c r="P266">
        <v>1.01858282298968E-2</v>
      </c>
      <c r="Q266">
        <v>1.01343022758205E-2</v>
      </c>
      <c r="R266" s="8">
        <v>12.198005676269499</v>
      </c>
      <c r="S266" s="8">
        <v>-1.33331526969163E-2</v>
      </c>
      <c r="T266" s="9">
        <v>-1.3422837254707699E-2</v>
      </c>
      <c r="U266" s="12">
        <v>4.3739E-2</v>
      </c>
      <c r="V266" s="16">
        <v>2.6831999999999998</v>
      </c>
      <c r="W266" s="17">
        <f t="shared" si="4"/>
        <v>2.1288515406161501E-3</v>
      </c>
    </row>
    <row r="267" spans="1:23" x14ac:dyDescent="0.2">
      <c r="A267" s="15">
        <v>41915</v>
      </c>
      <c r="B267" s="5">
        <v>184442430154387</v>
      </c>
      <c r="C267" s="5">
        <f>[1]!nefin_factors__1[[#This Row],[Rm_minus_Rf]]/B266-1</f>
        <v>0.60910003370722499</v>
      </c>
      <c r="D267" s="5">
        <v>-875172159108186</v>
      </c>
      <c r="E267" s="5">
        <f>[1]!nefin_factors__1[[#This Row],[SMB]]/D266-1</f>
        <v>0.23950857181232288</v>
      </c>
      <c r="F267" s="5">
        <v>-582136675651523</v>
      </c>
      <c r="G267" s="5">
        <f>[1]!nefin_factors__1[[#This Row],[HML]]/F266-1</f>
        <v>0.28302818472439317</v>
      </c>
      <c r="H267" s="5">
        <v>407769930846458</v>
      </c>
      <c r="I267" s="6">
        <f>[1]!nefin_factors__1[[#This Row],[Risk_Free]]/H266-1</f>
        <v>0</v>
      </c>
      <c r="J267">
        <v>48006</v>
      </c>
      <c r="K267">
        <v>49882</v>
      </c>
      <c r="L267">
        <v>48006</v>
      </c>
      <c r="M267">
        <v>49463</v>
      </c>
      <c r="N267">
        <v>4408800</v>
      </c>
      <c r="O267">
        <v>49463</v>
      </c>
      <c r="P267">
        <v>3.0457698797941701E-2</v>
      </c>
      <c r="Q267">
        <v>3.0003071304419999E-2</v>
      </c>
      <c r="R267" s="8">
        <v>12.0908613204956</v>
      </c>
      <c r="S267" s="8">
        <v>-8.7839067864288207E-3</v>
      </c>
      <c r="T267" s="9">
        <v>-8.8227127078347508E-3</v>
      </c>
      <c r="U267" s="12">
        <v>4.3739E-2</v>
      </c>
      <c r="V267" s="16">
        <v>2.6812</v>
      </c>
      <c r="W267" s="17">
        <f t="shared" si="4"/>
        <v>-7.4537865235535516E-4</v>
      </c>
    </row>
    <row r="268" spans="1:23" x14ac:dyDescent="0.2">
      <c r="A268" s="14">
        <v>41918</v>
      </c>
      <c r="B268" s="3">
        <v>431156547213819</v>
      </c>
      <c r="C268" s="3">
        <f>[1]!nefin_factors__1[[#This Row],[Rm_minus_Rf]]/B267-1</f>
        <v>1.3376212667167779</v>
      </c>
      <c r="D268" s="3">
        <v>-134899055623926</v>
      </c>
      <c r="E268" s="3">
        <f>[1]!nefin_factors__1[[#This Row],[SMB]]/D267-1</f>
        <v>-0.84585997826828696</v>
      </c>
      <c r="F268" s="3">
        <v>-143666703011813</v>
      </c>
      <c r="G268" s="3">
        <f>[1]!nefin_factors__1[[#This Row],[HML]]/F267-1</f>
        <v>-0.75320795094893778</v>
      </c>
      <c r="H268" s="3">
        <v>40812814179314</v>
      </c>
      <c r="I268" s="4">
        <f>[1]!nefin_factors__1[[#This Row],[Risk_Free]]/H267-1</f>
        <v>-0.89991215366323396</v>
      </c>
      <c r="J268">
        <v>49463</v>
      </c>
      <c r="K268">
        <v>50261</v>
      </c>
      <c r="L268">
        <v>49017</v>
      </c>
      <c r="M268">
        <v>49943</v>
      </c>
      <c r="N268">
        <v>3621900</v>
      </c>
      <c r="O268">
        <v>49943</v>
      </c>
      <c r="P268">
        <v>9.7042233588742199E-3</v>
      </c>
      <c r="Q268">
        <v>9.6574398052419394E-3</v>
      </c>
      <c r="R268" s="8">
        <v>11.6622819900513</v>
      </c>
      <c r="S268" s="8">
        <v>-3.5446632720034697E-2</v>
      </c>
      <c r="T268" s="9">
        <v>-3.6090116617097101E-2</v>
      </c>
      <c r="U268" s="12">
        <v>4.3739E-2</v>
      </c>
      <c r="V268" s="16">
        <v>2.6783000000000001</v>
      </c>
      <c r="W268" s="17">
        <f t="shared" si="4"/>
        <v>-1.0816052513799024E-3</v>
      </c>
    </row>
    <row r="269" spans="1:23" x14ac:dyDescent="0.2">
      <c r="A269" s="15">
        <v>41919</v>
      </c>
      <c r="B269" s="5">
        <v>486887711506991</v>
      </c>
      <c r="C269" s="5">
        <f>[1]!nefin_factors__1[[#This Row],[Rm_minus_Rf]]/B268-1</f>
        <v>0.12925969616677024</v>
      </c>
      <c r="D269" s="5">
        <v>574120897949557</v>
      </c>
      <c r="E269" s="5">
        <f>[1]!nefin_factors__1[[#This Row],[SMB]]/D268-1</f>
        <v>-5.2559297045792635</v>
      </c>
      <c r="F269" s="5">
        <v>438878021531828</v>
      </c>
      <c r="G269" s="5">
        <f>[1]!nefin_factors__1[[#This Row],[HML]]/F268-1</f>
        <v>-4.0548346438752843</v>
      </c>
      <c r="H269" s="5">
        <v>40812814179314</v>
      </c>
      <c r="I269" s="6">
        <f>[1]!nefin_factors__1[[#This Row],[Risk_Free]]/H268-1</f>
        <v>0</v>
      </c>
      <c r="J269">
        <v>49955</v>
      </c>
      <c r="K269">
        <v>49955</v>
      </c>
      <c r="L269">
        <v>48501</v>
      </c>
      <c r="M269">
        <v>48840</v>
      </c>
      <c r="N269">
        <v>2999200</v>
      </c>
      <c r="O269">
        <v>48840</v>
      </c>
      <c r="P269">
        <v>-2.2085177101896201E-2</v>
      </c>
      <c r="Q269">
        <v>-2.2332705891371499E-2</v>
      </c>
      <c r="R269" s="8">
        <v>11.538654327392599</v>
      </c>
      <c r="S269" s="8">
        <v>-1.06004945563225E-2</v>
      </c>
      <c r="T269" s="9">
        <v>-1.0657080043437E-2</v>
      </c>
      <c r="U269" s="12">
        <v>4.3739E-2</v>
      </c>
      <c r="V269" s="16">
        <v>2.6562000000000001</v>
      </c>
      <c r="W269" s="17">
        <f t="shared" si="4"/>
        <v>-8.251502818952372E-3</v>
      </c>
    </row>
    <row r="270" spans="1:23" x14ac:dyDescent="0.2">
      <c r="A270" s="14">
        <v>41920</v>
      </c>
      <c r="B270" s="3">
        <v>-7420378863277</v>
      </c>
      <c r="C270" s="3">
        <f>[1]!nefin_factors__1[[#This Row],[Rm_minus_Rf]]/B269-1</f>
        <v>-1.0152404315983039</v>
      </c>
      <c r="D270" s="3">
        <v>-24288959710541</v>
      </c>
      <c r="E270" s="3">
        <f>[1]!nefin_factors__1[[#This Row],[SMB]]/D269-1</f>
        <v>-1.0423063501037635</v>
      </c>
      <c r="F270" s="3">
        <v>-587152173260149</v>
      </c>
      <c r="G270" s="3">
        <f>[1]!nefin_factors__1[[#This Row],[HML]]/F269-1</f>
        <v>-2.3378482048629268</v>
      </c>
      <c r="H270" s="3">
        <v>408486320548684</v>
      </c>
      <c r="I270" s="4">
        <f>[1]!nefin_factors__1[[#This Row],[Risk_Free]]/H269-1</f>
        <v>9.0087761347200992</v>
      </c>
      <c r="J270">
        <v>48840</v>
      </c>
      <c r="K270">
        <v>48840</v>
      </c>
      <c r="L270">
        <v>47956</v>
      </c>
      <c r="M270">
        <v>48140</v>
      </c>
      <c r="N270">
        <v>3246100</v>
      </c>
      <c r="O270">
        <v>48140</v>
      </c>
      <c r="P270">
        <v>-1.4332514332514401E-2</v>
      </c>
      <c r="Q270">
        <v>-1.44362168875781E-2</v>
      </c>
      <c r="R270" s="8">
        <v>11.085350036621101</v>
      </c>
      <c r="S270" s="8">
        <v>-3.9285762447491601E-2</v>
      </c>
      <c r="T270" s="9">
        <v>-4.0078273698629797E-2</v>
      </c>
      <c r="U270" s="12">
        <v>4.3739E-2</v>
      </c>
      <c r="V270" s="16">
        <v>2.6562000000000001</v>
      </c>
      <c r="W270" s="17">
        <f t="shared" si="4"/>
        <v>0</v>
      </c>
    </row>
    <row r="271" spans="1:23" x14ac:dyDescent="0.2">
      <c r="A271" s="15">
        <v>41921</v>
      </c>
      <c r="B271" s="5">
        <v>258505596154998</v>
      </c>
      <c r="C271" s="5">
        <f>[1]!nefin_factors__1[[#This Row],[Rm_minus_Rf]]/B270-1</f>
        <v>-35.837250350427034</v>
      </c>
      <c r="D271" s="5">
        <v>-408136802156251</v>
      </c>
      <c r="E271" s="5">
        <f>[1]!nefin_factors__1[[#This Row],[SMB]]/D270-1</f>
        <v>15.803387506922601</v>
      </c>
      <c r="F271" s="5">
        <v>-140986329534163</v>
      </c>
      <c r="G271" s="5">
        <f>[1]!nefin_factors__1[[#This Row],[HML]]/F270-1</f>
        <v>-0.75988110756477378</v>
      </c>
      <c r="H271" s="5">
        <v>408486320548684</v>
      </c>
      <c r="I271" s="6">
        <f>[1]!nefin_factors__1[[#This Row],[Risk_Free]]/H270-1</f>
        <v>0</v>
      </c>
      <c r="J271">
        <v>48144</v>
      </c>
      <c r="K271">
        <v>48939</v>
      </c>
      <c r="L271">
        <v>48042</v>
      </c>
      <c r="M271">
        <v>48042</v>
      </c>
      <c r="N271">
        <v>3881600</v>
      </c>
      <c r="O271">
        <v>48042</v>
      </c>
      <c r="P271">
        <v>-2.0357291233901202E-3</v>
      </c>
      <c r="Q271">
        <v>-2.0378040363741201E-3</v>
      </c>
      <c r="R271" s="8">
        <v>11.4479932785034</v>
      </c>
      <c r="S271" s="8">
        <v>3.2713698914423703E-2</v>
      </c>
      <c r="T271" s="9">
        <v>3.2189996751448097E-2</v>
      </c>
      <c r="U271" s="12">
        <v>4.3739E-2</v>
      </c>
      <c r="V271" s="16">
        <v>2.6928999999999998</v>
      </c>
      <c r="W271" s="17">
        <f t="shared" si="4"/>
        <v>1.3816730667871369E-2</v>
      </c>
    </row>
    <row r="272" spans="1:23" x14ac:dyDescent="0.2">
      <c r="A272" s="14">
        <v>41922</v>
      </c>
      <c r="B272" s="3">
        <v>-322613293726823</v>
      </c>
      <c r="C272" s="3">
        <f>[1]!nefin_factors__1[[#This Row],[Rm_minus_Rf]]/B271-1</f>
        <v>-2.2479934613616122</v>
      </c>
      <c r="D272" s="3">
        <v>802188807513243</v>
      </c>
      <c r="E272" s="3">
        <f>[1]!nefin_factors__1[[#This Row],[SMB]]/D271-1</f>
        <v>-2.9654900103963993</v>
      </c>
      <c r="F272" s="3">
        <v>-737004766039302</v>
      </c>
      <c r="G272" s="3">
        <f>[1]!nefin_factors__1[[#This Row],[HML]]/F271-1</f>
        <v>4.2274909806820329</v>
      </c>
      <c r="H272" s="3">
        <v>408486320548684</v>
      </c>
      <c r="I272" s="4">
        <f>[1]!nefin_factors__1[[#This Row],[Risk_Free]]/H271-1</f>
        <v>0</v>
      </c>
      <c r="J272">
        <v>48038</v>
      </c>
      <c r="K272">
        <v>48281</v>
      </c>
      <c r="L272">
        <v>47372</v>
      </c>
      <c r="M272">
        <v>47646</v>
      </c>
      <c r="N272">
        <v>3697200</v>
      </c>
      <c r="O272">
        <v>47646</v>
      </c>
      <c r="P272">
        <v>-8.2427875608842606E-3</v>
      </c>
      <c r="Q272">
        <v>-8.2769471774229008E-3</v>
      </c>
      <c r="R272" s="8">
        <v>11.349089622497599</v>
      </c>
      <c r="S272" s="8">
        <v>-8.6394748014846402E-3</v>
      </c>
      <c r="T272" s="9">
        <v>-8.6770114180501796E-3</v>
      </c>
      <c r="U272" s="12">
        <v>4.3739E-2</v>
      </c>
      <c r="V272" s="16">
        <v>2.7107000000000001</v>
      </c>
      <c r="W272" s="17">
        <f t="shared" si="4"/>
        <v>6.6099743770657859E-3</v>
      </c>
    </row>
    <row r="273" spans="1:23" x14ac:dyDescent="0.2">
      <c r="A273" s="15">
        <v>41925</v>
      </c>
      <c r="B273" s="5">
        <v>436081776893983</v>
      </c>
      <c r="C273" s="5">
        <f>[1]!nefin_factors__1[[#This Row],[Rm_minus_Rf]]/B272-1</f>
        <v>-2.3517167003763984</v>
      </c>
      <c r="D273" s="5">
        <v>-949945036247252</v>
      </c>
      <c r="E273" s="5">
        <f>[1]!nefin_factors__1[[#This Row],[SMB]]/D272-1</f>
        <v>-2.1841913366904833</v>
      </c>
      <c r="F273" s="5">
        <v>140624957218303</v>
      </c>
      <c r="G273" s="5">
        <f>[1]!nefin_factors__1[[#This Row],[HML]]/F272-1</f>
        <v>-1.1908060350464598</v>
      </c>
      <c r="H273" s="5">
        <v>409202581510115</v>
      </c>
      <c r="I273" s="6">
        <f>[1]!nefin_factors__1[[#This Row],[Risk_Free]]/H272-1</f>
        <v>1.7534515243224913E-3</v>
      </c>
      <c r="J273">
        <v>47648</v>
      </c>
      <c r="K273">
        <v>48853</v>
      </c>
      <c r="L273">
        <v>47648</v>
      </c>
      <c r="M273">
        <v>48026</v>
      </c>
      <c r="N273">
        <v>4463600</v>
      </c>
      <c r="O273">
        <v>48026</v>
      </c>
      <c r="P273">
        <v>7.9754858749947494E-3</v>
      </c>
      <c r="Q273">
        <v>7.9438497849937794E-3</v>
      </c>
      <c r="R273" s="8">
        <v>11.538654327392599</v>
      </c>
      <c r="S273" s="8">
        <v>1.6703253512565699E-2</v>
      </c>
      <c r="T273" s="9">
        <v>1.6565288365231901E-2</v>
      </c>
      <c r="U273" s="12">
        <v>4.3739E-2</v>
      </c>
      <c r="V273" s="16">
        <v>2.7023000000000001</v>
      </c>
      <c r="W273" s="17">
        <f t="shared" si="4"/>
        <v>-3.0988305603718569E-3</v>
      </c>
    </row>
    <row r="274" spans="1:23" x14ac:dyDescent="0.2">
      <c r="A274" s="14">
        <v>41926</v>
      </c>
      <c r="B274" s="3">
        <v>5313297642</v>
      </c>
      <c r="C274" s="3">
        <f>[1]!nefin_factors__1[[#This Row],[Rm_minus_Rf]]/B273-1</f>
        <v>-0.99998781582280316</v>
      </c>
      <c r="D274" s="3">
        <v>-109236127145934</v>
      </c>
      <c r="E274" s="3">
        <f>[1]!nefin_factors__1[[#This Row],[SMB]]/D273-1</f>
        <v>-0.88500794995732579</v>
      </c>
      <c r="F274" s="3">
        <v>-176505971353953</v>
      </c>
      <c r="G274" s="3">
        <f>[1]!nefin_factors__1[[#This Row],[HML]]/F273-1</f>
        <v>-2.2551539559222702</v>
      </c>
      <c r="H274" s="3">
        <v>408844467119085</v>
      </c>
      <c r="I274" s="4">
        <f>[1]!nefin_factors__1[[#This Row],[Risk_Free]]/H273-1</f>
        <v>-8.7515183728414936E-4</v>
      </c>
      <c r="J274">
        <v>48028</v>
      </c>
      <c r="K274">
        <v>49264</v>
      </c>
      <c r="L274">
        <v>48028</v>
      </c>
      <c r="M274">
        <v>49017</v>
      </c>
      <c r="N274">
        <v>3344900</v>
      </c>
      <c r="O274">
        <v>49017</v>
      </c>
      <c r="P274">
        <v>2.06346562278765E-2</v>
      </c>
      <c r="Q274">
        <v>2.04246457906734E-2</v>
      </c>
      <c r="R274" s="8">
        <v>11.6787662506104</v>
      </c>
      <c r="S274" s="8">
        <v>1.2142761354433399E-2</v>
      </c>
      <c r="T274" s="9">
        <v>1.20696294480929E-2</v>
      </c>
      <c r="U274" s="12">
        <v>4.3739E-2</v>
      </c>
      <c r="V274" s="16">
        <v>2.6806999999999999</v>
      </c>
      <c r="W274" s="17">
        <f t="shared" si="4"/>
        <v>-7.9931909854569216E-3</v>
      </c>
    </row>
    <row r="275" spans="1:23" x14ac:dyDescent="0.2">
      <c r="A275" s="15">
        <v>41927</v>
      </c>
      <c r="B275" s="5">
        <v>-304724915725981</v>
      </c>
      <c r="C275" s="5">
        <f>[1]!nefin_factors__1[[#This Row],[Rm_minus_Rf]]/B274-1</f>
        <v>-57352.373150493833</v>
      </c>
      <c r="D275" s="5">
        <v>322566153057578</v>
      </c>
      <c r="E275" s="5">
        <f>[1]!nefin_factors__1[[#This Row],[SMB]]/D274-1</f>
        <v>-3.9529255703714741</v>
      </c>
      <c r="F275" s="5">
        <v>25588052540608</v>
      </c>
      <c r="G275" s="5">
        <f>[1]!nefin_factors__1[[#This Row],[HML]]/F274-1</f>
        <v>-1.1449698973033353</v>
      </c>
      <c r="H275" s="5">
        <v>409202581510115</v>
      </c>
      <c r="I275" s="6">
        <f>[1]!nefin_factors__1[[#This Row],[Risk_Free]]/H274-1</f>
        <v>8.759183988802377E-4</v>
      </c>
      <c r="J275">
        <v>49009</v>
      </c>
      <c r="K275">
        <v>49009</v>
      </c>
      <c r="L275">
        <v>47503</v>
      </c>
      <c r="M275">
        <v>47758</v>
      </c>
      <c r="N275">
        <v>2096000</v>
      </c>
      <c r="O275">
        <v>47758</v>
      </c>
      <c r="P275">
        <v>-2.5684966440214702E-2</v>
      </c>
      <c r="Q275">
        <v>-2.6020584556176899E-2</v>
      </c>
      <c r="R275" s="8">
        <v>11.827119827270501</v>
      </c>
      <c r="S275" s="8">
        <v>1.2703044792912E-2</v>
      </c>
      <c r="T275" s="9">
        <v>1.26230379605604E-2</v>
      </c>
      <c r="U275" s="12">
        <v>4.3739E-2</v>
      </c>
      <c r="V275" s="16">
        <v>2.6919</v>
      </c>
      <c r="W275" s="17">
        <f t="shared" si="4"/>
        <v>4.1780132055060371E-3</v>
      </c>
    </row>
    <row r="276" spans="1:23" x14ac:dyDescent="0.2">
      <c r="A276" s="14">
        <v>41928</v>
      </c>
      <c r="B276" s="3">
        <v>-300473833048257</v>
      </c>
      <c r="C276" s="3">
        <f>[1]!nefin_factors__1[[#This Row],[Rm_minus_Rf]]/B275-1</f>
        <v>-1.3950558219357201E-2</v>
      </c>
      <c r="D276" s="3">
        <v>238825248176771</v>
      </c>
      <c r="E276" s="3">
        <f>[1]!nefin_factors__1[[#This Row],[SMB]]/D275-1</f>
        <v>-0.25960846817632244</v>
      </c>
      <c r="F276" s="3">
        <v>-108962021012184</v>
      </c>
      <c r="G276" s="3">
        <f>[1]!nefin_factors__1[[#This Row],[HML]]/F275-1</f>
        <v>-5.2583162919203126</v>
      </c>
      <c r="H276" s="3">
        <v>409918713776491</v>
      </c>
      <c r="I276" s="4">
        <f>[1]!nefin_factors__1[[#This Row],[Risk_Free]]/H275-1</f>
        <v>1.7500678117259305E-3</v>
      </c>
      <c r="J276">
        <v>47759</v>
      </c>
      <c r="K276">
        <v>48687</v>
      </c>
      <c r="L276">
        <v>47619</v>
      </c>
      <c r="M276">
        <v>47877</v>
      </c>
      <c r="N276">
        <v>2899100</v>
      </c>
      <c r="O276">
        <v>47877</v>
      </c>
      <c r="P276">
        <v>2.4917291343857801E-3</v>
      </c>
      <c r="Q276">
        <v>2.4886299245395998E-3</v>
      </c>
      <c r="R276" s="8">
        <v>11.538654327392599</v>
      </c>
      <c r="S276" s="8">
        <v>-2.4390297383687899E-2</v>
      </c>
      <c r="T276" s="9">
        <v>-2.4692667408653099E-2</v>
      </c>
      <c r="U276" s="12">
        <v>4.3739E-2</v>
      </c>
      <c r="V276" s="16">
        <v>2.6583000000000001</v>
      </c>
      <c r="W276" s="17">
        <f t="shared" si="4"/>
        <v>-1.248189011478873E-2</v>
      </c>
    </row>
    <row r="277" spans="1:23" x14ac:dyDescent="0.2">
      <c r="A277" s="15">
        <v>41929</v>
      </c>
      <c r="B277" s="5">
        <v>234035333588733</v>
      </c>
      <c r="C277" s="5">
        <f>[1]!nefin_factors__1[[#This Row],[Rm_minus_Rf]]/B276-1</f>
        <v>-1.7788875697244033</v>
      </c>
      <c r="D277" s="5">
        <v>-499761981857343</v>
      </c>
      <c r="E277" s="5">
        <f>[1]!nefin_factors__1[[#This Row],[SMB]]/D276-1</f>
        <v>-3.0925843715126584</v>
      </c>
      <c r="F277" s="5">
        <v>148690526794341</v>
      </c>
      <c r="G277" s="5">
        <f>[1]!nefin_factors__1[[#This Row],[HML]]/F276-1</f>
        <v>-2.364608745442732</v>
      </c>
      <c r="H277" s="5">
        <v>410276731663828</v>
      </c>
      <c r="I277" s="6">
        <f>[1]!nefin_factors__1[[#This Row],[Risk_Free]]/H276-1</f>
        <v>8.7338751636556466E-4</v>
      </c>
      <c r="J277">
        <v>47888</v>
      </c>
      <c r="K277">
        <v>49329</v>
      </c>
      <c r="L277">
        <v>47888</v>
      </c>
      <c r="M277">
        <v>49224</v>
      </c>
      <c r="N277">
        <v>3561400</v>
      </c>
      <c r="O277">
        <v>49224</v>
      </c>
      <c r="P277">
        <v>2.81345948994298E-2</v>
      </c>
      <c r="Q277">
        <v>2.7746087353030201E-2</v>
      </c>
      <c r="R277" s="8">
        <v>11.621072769165</v>
      </c>
      <c r="S277" s="8">
        <v>7.1428063054255198E-3</v>
      </c>
      <c r="T277" s="9">
        <v>7.1174172919802403E-3</v>
      </c>
      <c r="U277" s="12">
        <v>4.3739E-2</v>
      </c>
      <c r="V277" s="16">
        <v>2.6575000000000002</v>
      </c>
      <c r="W277" s="17">
        <f t="shared" si="4"/>
        <v>-3.0094421246662506E-4</v>
      </c>
    </row>
    <row r="278" spans="1:23" x14ac:dyDescent="0.2">
      <c r="A278" s="14">
        <v>41932</v>
      </c>
      <c r="B278" s="3">
        <v>-237952195145042</v>
      </c>
      <c r="C278" s="3">
        <f>[1]!nefin_factors__1[[#This Row],[Rm_minus_Rf]]/B277-1</f>
        <v>-2.0167361974632092</v>
      </c>
      <c r="D278" s="3">
        <v>-604598988867721</v>
      </c>
      <c r="E278" s="3">
        <f>[1]!nefin_factors__1[[#This Row],[SMB]]/D277-1</f>
        <v>0.20977387399648917</v>
      </c>
      <c r="F278" s="3">
        <v>-927330441786972</v>
      </c>
      <c r="G278" s="3">
        <f>[1]!nefin_factors__1[[#This Row],[HML]]/F277-1</f>
        <v>-7.2366477661996234</v>
      </c>
      <c r="H278" s="3">
        <v>409918713776491</v>
      </c>
      <c r="I278" s="4">
        <f>[1]!nefin_factors__1[[#This Row],[Risk_Free]]/H277-1</f>
        <v>-8.7262537625543146E-4</v>
      </c>
      <c r="J278">
        <v>49227</v>
      </c>
      <c r="K278">
        <v>50281</v>
      </c>
      <c r="L278">
        <v>49227</v>
      </c>
      <c r="M278">
        <v>49443</v>
      </c>
      <c r="N278">
        <v>4952300</v>
      </c>
      <c r="O278">
        <v>49443</v>
      </c>
      <c r="P278">
        <v>4.4490492442710297E-3</v>
      </c>
      <c r="Q278">
        <v>4.4391814819634201E-3</v>
      </c>
      <c r="R278" s="8">
        <v>11.7776689529419</v>
      </c>
      <c r="S278" s="8">
        <v>1.34752029579241E-2</v>
      </c>
      <c r="T278" s="9">
        <v>1.3385219869530699E-2</v>
      </c>
      <c r="U278" s="12">
        <v>4.3739E-2</v>
      </c>
      <c r="V278" s="16">
        <v>2.6484999999999999</v>
      </c>
      <c r="W278" s="17">
        <f t="shared" si="4"/>
        <v>-3.386641580432892E-3</v>
      </c>
    </row>
    <row r="279" spans="1:23" x14ac:dyDescent="0.2">
      <c r="A279" s="15">
        <v>41933</v>
      </c>
      <c r="B279" s="5">
        <v>-331997386847984</v>
      </c>
      <c r="C279" s="5">
        <f>[1]!nefin_factors__1[[#This Row],[Rm_minus_Rf]]/B278-1</f>
        <v>0.39522724993403591</v>
      </c>
      <c r="D279" s="5">
        <v>-338569681805945</v>
      </c>
      <c r="E279" s="5">
        <f>[1]!nefin_factors__1[[#This Row],[SMB]]/D278-1</f>
        <v>-0.44000951367780072</v>
      </c>
      <c r="F279" s="5">
        <v>-113730917530498</v>
      </c>
      <c r="G279" s="5">
        <f>[1]!nefin_factors__1[[#This Row],[HML]]/F278-1</f>
        <v>-0.87735664396896351</v>
      </c>
      <c r="H279" s="5">
        <v>410992670975219</v>
      </c>
      <c r="I279" s="6">
        <f>[1]!nefin_factors__1[[#This Row],[Risk_Free]]/H278-1</f>
        <v>2.6199272261415718E-3</v>
      </c>
      <c r="J279">
        <v>49432</v>
      </c>
      <c r="K279">
        <v>49523</v>
      </c>
      <c r="L279">
        <v>48496</v>
      </c>
      <c r="M279">
        <v>48775</v>
      </c>
      <c r="N279">
        <v>3081600</v>
      </c>
      <c r="O279">
        <v>48775</v>
      </c>
      <c r="P279">
        <v>-1.35105070485205E-2</v>
      </c>
      <c r="Q279">
        <v>-1.3602604410977799E-2</v>
      </c>
      <c r="R279" s="8">
        <v>11.8188781738281</v>
      </c>
      <c r="S279" s="8">
        <v>3.4988796263750702E-3</v>
      </c>
      <c r="T279" s="9">
        <v>3.4927727876385801E-3</v>
      </c>
      <c r="U279" s="12">
        <v>4.3739E-2</v>
      </c>
      <c r="V279" s="16">
        <v>2.6221999999999999</v>
      </c>
      <c r="W279" s="17">
        <f t="shared" si="4"/>
        <v>-9.9301491410231923E-3</v>
      </c>
    </row>
    <row r="280" spans="1:23" x14ac:dyDescent="0.2">
      <c r="A280" s="14">
        <v>41934</v>
      </c>
      <c r="B280" s="3">
        <v>-182279656709078</v>
      </c>
      <c r="C280" s="3">
        <f>[1]!nefin_factors__1[[#This Row],[Rm_minus_Rf]]/B279-1</f>
        <v>-0.45096056797416673</v>
      </c>
      <c r="D280" s="3">
        <v>-436218712259463</v>
      </c>
      <c r="E280" s="3">
        <f>[1]!nefin_factors__1[[#This Row],[SMB]]/D279-1</f>
        <v>0.28841634588381915</v>
      </c>
      <c r="F280" s="3">
        <v>106360959801163</v>
      </c>
      <c r="G280" s="3">
        <f>[1]!nefin_factors__1[[#This Row],[HML]]/F279-1</f>
        <v>-1.9351982918157793</v>
      </c>
      <c r="H280" s="3">
        <v>410634717394887</v>
      </c>
      <c r="I280" s="4">
        <f>[1]!nefin_factors__1[[#This Row],[Risk_Free]]/H279-1</f>
        <v>-8.7094881639282473E-4</v>
      </c>
      <c r="J280">
        <v>48712</v>
      </c>
      <c r="K280">
        <v>48712</v>
      </c>
      <c r="L280">
        <v>48004</v>
      </c>
      <c r="M280">
        <v>48577</v>
      </c>
      <c r="N280">
        <v>2774200</v>
      </c>
      <c r="O280">
        <v>48577</v>
      </c>
      <c r="P280">
        <v>-4.05945668887753E-3</v>
      </c>
      <c r="Q280">
        <v>-4.0677186501449202E-3</v>
      </c>
      <c r="R280" s="8">
        <v>11.497444152831999</v>
      </c>
      <c r="S280" s="8">
        <v>-2.7196672038033901E-2</v>
      </c>
      <c r="T280" s="9">
        <v>-2.7573346762551899E-2</v>
      </c>
      <c r="U280" s="12">
        <v>4.3739E-2</v>
      </c>
      <c r="V280" s="16">
        <v>2.6122000000000001</v>
      </c>
      <c r="W280" s="17">
        <f t="shared" si="4"/>
        <v>-3.8135916406070169E-3</v>
      </c>
    </row>
    <row r="281" spans="1:23" x14ac:dyDescent="0.2">
      <c r="A281" s="15">
        <v>41935</v>
      </c>
      <c r="B281" s="5">
        <v>-321764034594415</v>
      </c>
      <c r="C281" s="5">
        <f>[1]!nefin_factors__1[[#This Row],[Rm_minus_Rf]]/B280-1</f>
        <v>0.76522185966126144</v>
      </c>
      <c r="D281" s="5">
        <v>-866434015552674</v>
      </c>
      <c r="E281" s="5">
        <f>[1]!nefin_factors__1[[#This Row],[SMB]]/D280-1</f>
        <v>0.9862376170541689</v>
      </c>
      <c r="F281" s="5">
        <v>825714157066427</v>
      </c>
      <c r="G281" s="5">
        <f>[1]!nefin_factors__1[[#This Row],[HML]]/F280-1</f>
        <v>6.7633199118366578</v>
      </c>
      <c r="H281" s="5">
        <v>410992670975219</v>
      </c>
      <c r="I281" s="6">
        <f>[1]!nefin_factors__1[[#This Row],[Risk_Free]]/H280-1</f>
        <v>8.7170802946934245E-4</v>
      </c>
      <c r="J281">
        <v>48577</v>
      </c>
      <c r="K281">
        <v>48864</v>
      </c>
      <c r="L281">
        <v>47352</v>
      </c>
      <c r="M281">
        <v>48591</v>
      </c>
      <c r="N281">
        <v>3890900</v>
      </c>
      <c r="O281">
        <v>48591</v>
      </c>
      <c r="P281">
        <v>2.8820223562586701E-4</v>
      </c>
      <c r="Q281">
        <v>2.8816071333924301E-4</v>
      </c>
      <c r="R281" s="8">
        <v>11.2913970947266</v>
      </c>
      <c r="S281" s="8">
        <v>-1.7921068465336702E-2</v>
      </c>
      <c r="T281" s="9">
        <v>-1.8083595512966299E-2</v>
      </c>
      <c r="U281" s="12">
        <v>4.3739E-2</v>
      </c>
      <c r="V281" s="16">
        <v>2.6193</v>
      </c>
      <c r="W281" s="17">
        <f t="shared" si="4"/>
        <v>2.7180154658907885E-3</v>
      </c>
    </row>
    <row r="282" spans="1:23" x14ac:dyDescent="0.2">
      <c r="A282" s="14">
        <v>41936</v>
      </c>
      <c r="B282" s="3">
        <v>229094269936519</v>
      </c>
      <c r="C282" s="3">
        <f>[1]!nefin_factors__1[[#This Row],[Rm_minus_Rf]]/B281-1</f>
        <v>-1.7119946460930393</v>
      </c>
      <c r="D282" s="3">
        <v>461714399464971</v>
      </c>
      <c r="E282" s="3">
        <f>[1]!nefin_factors__1[[#This Row],[SMB]]/D281-1</f>
        <v>-1.5328904350211323</v>
      </c>
      <c r="F282" s="3">
        <v>462608797914236</v>
      </c>
      <c r="G282" s="3">
        <f>[1]!nefin_factors__1[[#This Row],[HML]]/F281-1</f>
        <v>-0.43974704326521552</v>
      </c>
      <c r="H282" s="3">
        <v>409918713776491</v>
      </c>
      <c r="I282" s="4">
        <f>[1]!nefin_factors__1[[#This Row],[Risk_Free]]/H281-1</f>
        <v>-2.6130811437091728E-3</v>
      </c>
      <c r="J282">
        <v>48589</v>
      </c>
      <c r="K282">
        <v>48589</v>
      </c>
      <c r="L282">
        <v>47550</v>
      </c>
      <c r="M282">
        <v>47695</v>
      </c>
      <c r="N282">
        <v>4241400</v>
      </c>
      <c r="O282">
        <v>47695</v>
      </c>
      <c r="P282">
        <v>-1.8439628737832101E-2</v>
      </c>
      <c r="Q282">
        <v>-1.8611757975197901E-2</v>
      </c>
      <c r="R282" s="8">
        <v>10.8793020248413</v>
      </c>
      <c r="S282" s="8">
        <v>-3.6496474703274599E-2</v>
      </c>
      <c r="T282" s="9">
        <v>-3.7179132289857898E-2</v>
      </c>
      <c r="U282" s="12">
        <v>4.3739E-2</v>
      </c>
      <c r="V282" s="16">
        <v>2.6242999999999999</v>
      </c>
      <c r="W282" s="17">
        <f t="shared" si="4"/>
        <v>1.9089069598747788E-3</v>
      </c>
    </row>
    <row r="283" spans="1:23" x14ac:dyDescent="0.2">
      <c r="A283" s="15">
        <v>41939</v>
      </c>
      <c r="B283" s="5">
        <v>-252030420740279</v>
      </c>
      <c r="C283" s="5">
        <f>[1]!nefin_factors__1[[#This Row],[Rm_minus_Rf]]/B282-1</f>
        <v>-2.1001166498407642</v>
      </c>
      <c r="D283" s="5">
        <v>-839016902854361</v>
      </c>
      <c r="E283" s="5">
        <f>[1]!nefin_factors__1[[#This Row],[SMB]]/D282-1</f>
        <v>-2.8171772503231511</v>
      </c>
      <c r="F283" s="5">
        <v>-325307554377612</v>
      </c>
      <c r="G283" s="5">
        <f>[1]!nefin_factors__1[[#This Row],[HML]]/F282-1</f>
        <v>-1.7032022647306451</v>
      </c>
      <c r="H283" s="5">
        <v>408844467119085</v>
      </c>
      <c r="I283" s="6">
        <f>[1]!nefin_factors__1[[#This Row],[Risk_Free]]/H282-1</f>
        <v>-2.6206333629152923E-3</v>
      </c>
      <c r="J283">
        <v>47696</v>
      </c>
      <c r="K283">
        <v>47894</v>
      </c>
      <c r="L283">
        <v>47007</v>
      </c>
      <c r="M283">
        <v>47762</v>
      </c>
      <c r="N283">
        <v>4405500</v>
      </c>
      <c r="O283">
        <v>47762</v>
      </c>
      <c r="P283">
        <v>1.4047594087429601E-3</v>
      </c>
      <c r="Q283">
        <v>1.4037736572991601E-3</v>
      </c>
      <c r="R283" s="8">
        <v>10.8793020248413</v>
      </c>
      <c r="S283" s="8">
        <v>0</v>
      </c>
      <c r="T283" s="9">
        <v>0</v>
      </c>
      <c r="U283" s="12">
        <v>4.3739E-2</v>
      </c>
      <c r="V283" s="16">
        <v>2.6246999999999998</v>
      </c>
      <c r="W283" s="17">
        <f t="shared" si="4"/>
        <v>1.5242159814032874E-4</v>
      </c>
    </row>
    <row r="284" spans="1:23" x14ac:dyDescent="0.2">
      <c r="A284" s="14">
        <v>41940</v>
      </c>
      <c r="B284" s="3">
        <v>340037045424324</v>
      </c>
      <c r="C284" s="3">
        <f>[1]!nefin_factors__1[[#This Row],[Rm_minus_Rf]]/B283-1</f>
        <v>-2.349190484329418</v>
      </c>
      <c r="D284" s="3">
        <v>727623351682627</v>
      </c>
      <c r="E284" s="3">
        <f>[1]!nefin_factors__1[[#This Row],[SMB]]/D283-1</f>
        <v>-1.8672332454891318</v>
      </c>
      <c r="F284" s="3">
        <v>-315480054063044</v>
      </c>
      <c r="G284" s="3">
        <f>[1]!nefin_factors__1[[#This Row],[HML]]/F283-1</f>
        <v>-3.0209874263050107E-2</v>
      </c>
      <c r="H284" s="3">
        <v>409202581510115</v>
      </c>
      <c r="I284" s="4">
        <f>[1]!nefin_factors__1[[#This Row],[Risk_Free]]/H283-1</f>
        <v>8.759183988802377E-4</v>
      </c>
      <c r="J284">
        <v>47759</v>
      </c>
      <c r="K284">
        <v>47759</v>
      </c>
      <c r="L284">
        <v>46484</v>
      </c>
      <c r="M284">
        <v>46908</v>
      </c>
      <c r="N284">
        <v>4846600</v>
      </c>
      <c r="O284">
        <v>46908</v>
      </c>
      <c r="P284">
        <v>-1.78803232695448E-2</v>
      </c>
      <c r="Q284">
        <v>-1.80421076556526E-2</v>
      </c>
      <c r="R284" s="8">
        <v>10.4012718200684</v>
      </c>
      <c r="S284" s="8">
        <v>-4.3939346685464002E-2</v>
      </c>
      <c r="T284" s="9">
        <v>-4.4933923053595601E-2</v>
      </c>
      <c r="U284" s="12">
        <v>4.3739E-2</v>
      </c>
      <c r="V284" s="16">
        <v>2.5968</v>
      </c>
      <c r="W284" s="17">
        <f t="shared" si="4"/>
        <v>-1.0629786261286966E-2</v>
      </c>
    </row>
    <row r="285" spans="1:23" x14ac:dyDescent="0.2">
      <c r="A285" s="15">
        <v>41941</v>
      </c>
      <c r="B285" s="5">
        <v>-197016557381376</v>
      </c>
      <c r="C285" s="5">
        <f>[1]!nefin_factors__1[[#This Row],[Rm_minus_Rf]]/B284-1</f>
        <v>-1.5793973334156099</v>
      </c>
      <c r="D285" s="5">
        <v>518043005080632</v>
      </c>
      <c r="E285" s="5">
        <f>[1]!nefin_factors__1[[#This Row],[SMB]]/D284-1</f>
        <v>-0.28803411286531833</v>
      </c>
      <c r="F285" s="5">
        <v>-871719270102766</v>
      </c>
      <c r="G285" s="5">
        <f>[1]!nefin_factors__1[[#This Row],[HML]]/F284-1</f>
        <v>1.7631517710104294</v>
      </c>
      <c r="H285" s="5">
        <v>409202581510115</v>
      </c>
      <c r="I285" s="6">
        <f>[1]!nefin_factors__1[[#This Row],[Risk_Free]]/H284-1</f>
        <v>0</v>
      </c>
      <c r="J285">
        <v>46933</v>
      </c>
      <c r="K285">
        <v>47684</v>
      </c>
      <c r="L285">
        <v>46760</v>
      </c>
      <c r="M285">
        <v>47651</v>
      </c>
      <c r="N285">
        <v>3247800</v>
      </c>
      <c r="O285">
        <v>47651</v>
      </c>
      <c r="P285">
        <v>1.5839515647650699E-2</v>
      </c>
      <c r="Q285">
        <v>1.57153796400493E-2</v>
      </c>
      <c r="R285" s="8">
        <v>10.5496263504028</v>
      </c>
      <c r="S285" s="8">
        <v>1.4263036946846599E-2</v>
      </c>
      <c r="T285" s="9">
        <v>1.41622768022853E-2</v>
      </c>
      <c r="U285" s="12">
        <v>4.5512999999999998E-2</v>
      </c>
      <c r="V285" s="16">
        <v>2.5754000000000001</v>
      </c>
      <c r="W285" s="17">
        <f t="shared" si="4"/>
        <v>-8.2409118915588442E-3</v>
      </c>
    </row>
    <row r="286" spans="1:23" x14ac:dyDescent="0.2">
      <c r="A286" s="14">
        <v>41942</v>
      </c>
      <c r="B286" s="3">
        <v>22001364943318</v>
      </c>
      <c r="C286" s="3">
        <f>[1]!nefin_factors__1[[#This Row],[Rm_minus_Rf]]/B285-1</f>
        <v>-1.111672669727594</v>
      </c>
      <c r="D286" s="3">
        <v>-490581730659533</v>
      </c>
      <c r="E286" s="3">
        <f>[1]!nefin_factors__1[[#This Row],[SMB]]/D285-1</f>
        <v>-1.9469903576502792</v>
      </c>
      <c r="F286" s="3">
        <v>-112513541686974</v>
      </c>
      <c r="G286" s="3">
        <f>[1]!nefin_factors__1[[#This Row],[HML]]/F285-1</f>
        <v>-0.87092915627102074</v>
      </c>
      <c r="H286" s="3">
        <v>417072968415644</v>
      </c>
      <c r="I286" s="4">
        <f>[1]!nefin_factors__1[[#This Row],[Risk_Free]]/H285-1</f>
        <v>1.9233473250545696E-2</v>
      </c>
      <c r="J286">
        <v>47664</v>
      </c>
      <c r="K286">
        <v>48993</v>
      </c>
      <c r="L286">
        <v>47664</v>
      </c>
      <c r="M286">
        <v>48964</v>
      </c>
      <c r="N286">
        <v>4819800</v>
      </c>
      <c r="O286">
        <v>48964</v>
      </c>
      <c r="P286">
        <v>2.7554510923170499E-2</v>
      </c>
      <c r="Q286">
        <v>2.7181717974398702E-2</v>
      </c>
      <c r="R286" s="8">
        <v>11.2913970947266</v>
      </c>
      <c r="S286" s="8">
        <v>7.0312624833401796E-2</v>
      </c>
      <c r="T286" s="9">
        <v>6.7950778541168405E-2</v>
      </c>
      <c r="U286" s="12">
        <v>4.5512999999999998E-2</v>
      </c>
      <c r="V286" s="16">
        <v>2.5855999999999999</v>
      </c>
      <c r="W286" s="17">
        <f t="shared" si="4"/>
        <v>3.9605498175039333E-3</v>
      </c>
    </row>
    <row r="287" spans="1:23" x14ac:dyDescent="0.2">
      <c r="A287" s="15">
        <v>41943</v>
      </c>
      <c r="B287" s="5">
        <v>42717058928562</v>
      </c>
      <c r="C287" s="5">
        <f>[1]!nefin_factors__1[[#This Row],[Rm_minus_Rf]]/B286-1</f>
        <v>0.94156403653199394</v>
      </c>
      <c r="D287" s="5">
        <v>-132702532930041</v>
      </c>
      <c r="E287" s="5">
        <f>[1]!nefin_factors__1[[#This Row],[SMB]]/D286-1</f>
        <v>-0.72949964371555964</v>
      </c>
      <c r="F287" s="5">
        <v>207431709862294</v>
      </c>
      <c r="G287" s="5">
        <f>[1]!nefin_factors__1[[#This Row],[HML]]/F286-1</f>
        <v>-2.8436155039843434</v>
      </c>
      <c r="H287" s="5">
        <v>417072968415644</v>
      </c>
      <c r="I287" s="6">
        <f>[1]!nefin_factors__1[[#This Row],[Risk_Free]]/H286-1</f>
        <v>0</v>
      </c>
      <c r="J287">
        <v>48965</v>
      </c>
      <c r="K287">
        <v>49718</v>
      </c>
      <c r="L287">
        <v>48214</v>
      </c>
      <c r="M287">
        <v>49301</v>
      </c>
      <c r="N287">
        <v>4811300</v>
      </c>
      <c r="O287">
        <v>49301</v>
      </c>
      <c r="P287">
        <v>6.88260763009563E-3</v>
      </c>
      <c r="Q287">
        <v>6.8590306053206099E-3</v>
      </c>
      <c r="R287" s="8">
        <v>11.011173248291</v>
      </c>
      <c r="S287" s="8">
        <v>-2.4817419056938201E-2</v>
      </c>
      <c r="T287" s="9">
        <v>-2.51305630100199E-2</v>
      </c>
      <c r="U287" s="12">
        <v>4.5512999999999998E-2</v>
      </c>
      <c r="V287" s="16">
        <v>2.5966</v>
      </c>
      <c r="W287" s="17">
        <f t="shared" si="4"/>
        <v>4.2543316831684663E-3</v>
      </c>
    </row>
    <row r="288" spans="1:23" x14ac:dyDescent="0.2">
      <c r="A288" s="14">
        <v>41946</v>
      </c>
      <c r="B288" s="3">
        <v>-103753218663683</v>
      </c>
      <c r="C288" s="3">
        <f>[1]!nefin_factors__1[[#This Row],[Rm_minus_Rf]]/B287-1</f>
        <v>-3.4288474269072458</v>
      </c>
      <c r="D288" s="3">
        <v>110534593594628</v>
      </c>
      <c r="E288" s="3">
        <f>[1]!nefin_factors__1[[#This Row],[SMB]]/D287-1</f>
        <v>-1.832950141599033</v>
      </c>
      <c r="F288" s="3">
        <v>-443361522172081</v>
      </c>
      <c r="G288" s="3">
        <f>[1]!nefin_factors__1[[#This Row],[HML]]/F287-1</f>
        <v>-3.1373854675662258</v>
      </c>
      <c r="H288" s="3">
        <v>418144999876136</v>
      </c>
      <c r="I288" s="4">
        <f>[1]!nefin_factors__1[[#This Row],[Risk_Free]]/H287-1</f>
        <v>2.5703690760980891E-3</v>
      </c>
      <c r="J288">
        <v>49299</v>
      </c>
      <c r="K288">
        <v>49816</v>
      </c>
      <c r="L288">
        <v>49020</v>
      </c>
      <c r="M288">
        <v>49234</v>
      </c>
      <c r="N288">
        <v>4004000</v>
      </c>
      <c r="O288">
        <v>49234</v>
      </c>
      <c r="P288">
        <v>-1.35899880326973E-3</v>
      </c>
      <c r="Q288">
        <v>-1.3599230796319201E-3</v>
      </c>
      <c r="R288" s="8">
        <v>11.2913970947266</v>
      </c>
      <c r="S288" s="8">
        <v>2.5448997492283101E-2</v>
      </c>
      <c r="T288" s="9">
        <v>2.5130563010019799E-2</v>
      </c>
      <c r="U288" s="12">
        <v>4.5512999999999998E-2</v>
      </c>
      <c r="V288" s="16">
        <v>2.5809000000000002</v>
      </c>
      <c r="W288" s="17">
        <f t="shared" si="4"/>
        <v>-6.0463683278132452E-3</v>
      </c>
    </row>
    <row r="289" spans="1:23" x14ac:dyDescent="0.2">
      <c r="A289" s="15">
        <v>41947</v>
      </c>
      <c r="B289" s="5">
        <v>634001452326538</v>
      </c>
      <c r="C289" s="5">
        <f>[1]!nefin_factors__1[[#This Row],[Rm_minus_Rf]]/B288-1</f>
        <v>-7.1106677989591773</v>
      </c>
      <c r="D289" s="5">
        <v>-391063844752312</v>
      </c>
      <c r="E289" s="5">
        <f>[1]!nefin_factors__1[[#This Row],[SMB]]/D288-1</f>
        <v>-4.5379317192452024</v>
      </c>
      <c r="F289" s="5">
        <v>888923921776173</v>
      </c>
      <c r="G289" s="5">
        <f>[1]!nefin_factors__1[[#This Row],[HML]]/F288-1</f>
        <v>-3.0049640695503492</v>
      </c>
      <c r="H289" s="5">
        <v>418859527360427</v>
      </c>
      <c r="I289" s="6">
        <f>[1]!nefin_factors__1[[#This Row],[Risk_Free]]/H288-1</f>
        <v>1.7088031293035488E-3</v>
      </c>
      <c r="J289">
        <v>49231</v>
      </c>
      <c r="K289">
        <v>49231</v>
      </c>
      <c r="L289">
        <v>48209</v>
      </c>
      <c r="M289">
        <v>48792</v>
      </c>
      <c r="N289">
        <v>4591400</v>
      </c>
      <c r="O289">
        <v>48792</v>
      </c>
      <c r="P289">
        <v>-8.9775358492099003E-3</v>
      </c>
      <c r="Q289">
        <v>-9.0180767447994997E-3</v>
      </c>
      <c r="R289" s="8">
        <v>11.827119827270501</v>
      </c>
      <c r="S289" s="8">
        <v>4.7445350125245402E-2</v>
      </c>
      <c r="T289" s="9">
        <v>4.6354199735021501E-2</v>
      </c>
      <c r="U289" s="12">
        <v>4.5512999999999998E-2</v>
      </c>
      <c r="V289" s="16">
        <v>2.5796999999999999</v>
      </c>
      <c r="W289" s="17">
        <f t="shared" si="4"/>
        <v>-4.6495408578417496E-4</v>
      </c>
    </row>
    <row r="290" spans="1:23" x14ac:dyDescent="0.2">
      <c r="A290" s="14">
        <v>41948</v>
      </c>
      <c r="B290" s="3">
        <v>-132528789053201</v>
      </c>
      <c r="C290" s="3">
        <f>[1]!nefin_factors__1[[#This Row],[Rm_minus_Rf]]/B289-1</f>
        <v>-1.2090354660338269</v>
      </c>
      <c r="D290" s="3">
        <v>-195469765812221</v>
      </c>
      <c r="E290" s="3">
        <f>[1]!nefin_factors__1[[#This Row],[SMB]]/D289-1</f>
        <v>-0.50015894224119428</v>
      </c>
      <c r="F290" s="3">
        <v>-144295410202668</v>
      </c>
      <c r="G290" s="3">
        <f>[1]!nefin_factors__1[[#This Row],[HML]]/F289-1</f>
        <v>-1.1623259388883911</v>
      </c>
      <c r="H290" s="3">
        <v>419216743072992</v>
      </c>
      <c r="I290" s="4">
        <f>[1]!nefin_factors__1[[#This Row],[Risk_Free]]/H289-1</f>
        <v>8.5282938367448047E-4</v>
      </c>
      <c r="J290">
        <v>48792</v>
      </c>
      <c r="K290">
        <v>49522</v>
      </c>
      <c r="L290">
        <v>48416</v>
      </c>
      <c r="M290">
        <v>49383</v>
      </c>
      <c r="N290">
        <v>3658900</v>
      </c>
      <c r="O290">
        <v>49383</v>
      </c>
      <c r="P290">
        <v>1.21126414166257E-2</v>
      </c>
      <c r="Q290">
        <v>1.2039870418902599E-2</v>
      </c>
      <c r="R290" s="8">
        <v>12.0743770599365</v>
      </c>
      <c r="S290" s="8">
        <v>2.09057734064464E-2</v>
      </c>
      <c r="T290" s="9">
        <v>2.0690246389347099E-2</v>
      </c>
      <c r="U290" s="12">
        <v>4.5512999999999998E-2</v>
      </c>
      <c r="V290" s="16">
        <v>2.5960000000000001</v>
      </c>
      <c r="W290" s="17">
        <f t="shared" si="4"/>
        <v>6.3185641741287935E-3</v>
      </c>
    </row>
    <row r="291" spans="1:23" x14ac:dyDescent="0.2">
      <c r="A291" s="15">
        <v>41949</v>
      </c>
      <c r="B291" s="5">
        <v>-187219743812228</v>
      </c>
      <c r="C291" s="5">
        <f>[1]!nefin_factors__1[[#This Row],[Rm_minus_Rf]]/B290-1</f>
        <v>0.41267225898421533</v>
      </c>
      <c r="D291" s="5">
        <v>-677019371788479</v>
      </c>
      <c r="E291" s="5">
        <f>[1]!nefin_factors__1[[#This Row],[SMB]]/D290-1</f>
        <v>2.4635503295116292</v>
      </c>
      <c r="F291" s="5">
        <v>-54861311995504</v>
      </c>
      <c r="G291" s="5">
        <f>[1]!nefin_factors__1[[#This Row],[HML]]/F290-1</f>
        <v>-0.61979863449260542</v>
      </c>
      <c r="H291" s="5">
        <v>419931078467384</v>
      </c>
      <c r="I291" s="6">
        <f>[1]!nefin_factors__1[[#This Row],[Risk_Free]]/H290-1</f>
        <v>1.7039762991231111E-3</v>
      </c>
      <c r="J291">
        <v>49359</v>
      </c>
      <c r="K291">
        <v>49799</v>
      </c>
      <c r="L291">
        <v>48510</v>
      </c>
      <c r="M291">
        <v>48510</v>
      </c>
      <c r="N291">
        <v>3796000</v>
      </c>
      <c r="O291">
        <v>48510</v>
      </c>
      <c r="P291">
        <v>-1.7678148350646999E-2</v>
      </c>
      <c r="Q291">
        <v>-1.7836273155932499E-2</v>
      </c>
      <c r="R291" s="8">
        <v>11.9507493972778</v>
      </c>
      <c r="S291" s="8">
        <v>-1.0238970158866901E-2</v>
      </c>
      <c r="T291" s="9">
        <v>-1.0291748990163401E-2</v>
      </c>
      <c r="U291" s="12">
        <v>4.5512999999999998E-2</v>
      </c>
      <c r="V291" s="16">
        <v>2.6623000000000001</v>
      </c>
      <c r="W291" s="17">
        <f t="shared" si="4"/>
        <v>2.5539291217257398E-2</v>
      </c>
    </row>
    <row r="292" spans="1:23" x14ac:dyDescent="0.2">
      <c r="A292" s="14">
        <v>41950</v>
      </c>
      <c r="B292" s="3">
        <v>107086408445786</v>
      </c>
      <c r="C292" s="3">
        <f>[1]!nefin_factors__1[[#This Row],[Rm_minus_Rf]]/B291-1</f>
        <v>-1.5719824536945648</v>
      </c>
      <c r="D292" s="3">
        <v>-913910875250303</v>
      </c>
      <c r="E292" s="3">
        <f>[1]!nefin_factors__1[[#This Row],[SMB]]/D291-1</f>
        <v>0.3499035822801182</v>
      </c>
      <c r="F292" s="3">
        <v>13625591217275</v>
      </c>
      <c r="G292" s="3">
        <f>[1]!nefin_factors__1[[#This Row],[HML]]/F291-1</f>
        <v>-1.248364297565316</v>
      </c>
      <c r="H292" s="3">
        <v>4206452858595</v>
      </c>
      <c r="I292" s="4">
        <f>[1]!nefin_factors__1[[#This Row],[Risk_Free]]/H291-1</f>
        <v>-0.98998299227114306</v>
      </c>
      <c r="J292">
        <v>48508</v>
      </c>
      <c r="K292">
        <v>48762</v>
      </c>
      <c r="L292">
        <v>47841</v>
      </c>
      <c r="M292">
        <v>48240</v>
      </c>
      <c r="N292">
        <v>4307600</v>
      </c>
      <c r="O292">
        <v>48240</v>
      </c>
      <c r="P292">
        <v>-5.5658627087198402E-3</v>
      </c>
      <c r="Q292">
        <v>-5.5814098381951503E-3</v>
      </c>
      <c r="R292" s="8">
        <v>11.9919576644897</v>
      </c>
      <c r="S292" s="8">
        <v>3.4482970636895401E-3</v>
      </c>
      <c r="T292" s="9">
        <v>3.4423653197353499E-3</v>
      </c>
      <c r="U292" s="12">
        <v>4.5512999999999998E-2</v>
      </c>
      <c r="V292" s="16">
        <v>2.6894</v>
      </c>
      <c r="W292" s="17">
        <f t="shared" si="4"/>
        <v>1.0179168388235738E-2</v>
      </c>
    </row>
    <row r="293" spans="1:23" x14ac:dyDescent="0.2">
      <c r="A293" s="15">
        <v>41953</v>
      </c>
      <c r="B293" s="5">
        <v>-833796176957053</v>
      </c>
      <c r="C293" s="5">
        <f>[1]!nefin_factors__1[[#This Row],[Rm_minus_Rf]]/B292-1</f>
        <v>-8.7861998460726607</v>
      </c>
      <c r="D293" s="5">
        <v>413562537055394</v>
      </c>
      <c r="E293" s="5">
        <f>[1]!nefin_factors__1[[#This Row],[SMB]]/D292-1</f>
        <v>-1.4525195489572513</v>
      </c>
      <c r="F293" s="5">
        <v>172793869948353</v>
      </c>
      <c r="G293" s="5">
        <f>[1]!nefin_factors__1[[#This Row],[HML]]/F292-1</f>
        <v>11.681568615479884</v>
      </c>
      <c r="H293" s="5">
        <v>421359365295304</v>
      </c>
      <c r="I293" s="6">
        <f>[1]!nefin_factors__1[[#This Row],[Risk_Free]]/H292-1</f>
        <v>99.169758097810345</v>
      </c>
      <c r="J293">
        <v>48240</v>
      </c>
      <c r="K293">
        <v>49690</v>
      </c>
      <c r="L293">
        <v>48240</v>
      </c>
      <c r="M293">
        <v>49533</v>
      </c>
      <c r="N293">
        <v>3828500</v>
      </c>
      <c r="O293">
        <v>49533</v>
      </c>
      <c r="P293">
        <v>2.6803482587064699E-2</v>
      </c>
      <c r="Q293">
        <v>2.6450561698875101E-2</v>
      </c>
      <c r="R293" s="8">
        <v>11.9919576644897</v>
      </c>
      <c r="S293" s="8">
        <v>0</v>
      </c>
      <c r="T293" s="9">
        <v>0</v>
      </c>
      <c r="U293" s="12">
        <v>4.5512999999999998E-2</v>
      </c>
      <c r="V293" s="16">
        <v>2.7059000000000002</v>
      </c>
      <c r="W293" s="17">
        <f t="shared" si="4"/>
        <v>6.1351974418086819E-3</v>
      </c>
    </row>
    <row r="294" spans="1:23" x14ac:dyDescent="0.2">
      <c r="A294" s="14">
        <v>41954</v>
      </c>
      <c r="B294" s="3">
        <v>-57761231462108</v>
      </c>
      <c r="C294" s="3">
        <f>[1]!nefin_factors__1[[#This Row],[Rm_minus_Rf]]/B293-1</f>
        <v>-0.93072499843677847</v>
      </c>
      <c r="D294" s="3">
        <v>-192477943091705</v>
      </c>
      <c r="E294" s="3">
        <f>[1]!nefin_factors__1[[#This Row],[SMB]]/D293-1</f>
        <v>-1.4654143590040021</v>
      </c>
      <c r="F294" s="3">
        <v>-48470474737028</v>
      </c>
      <c r="G294" s="3">
        <f>[1]!nefin_factors__1[[#This Row],[HML]]/F293-1</f>
        <v>-1.2805103835657801</v>
      </c>
      <c r="H294" s="3">
        <v>422430244631178</v>
      </c>
      <c r="I294" s="4">
        <f>[1]!nefin_factors__1[[#This Row],[Risk_Free]]/H293-1</f>
        <v>2.5414869683113572E-3</v>
      </c>
      <c r="J294">
        <v>49546</v>
      </c>
      <c r="K294">
        <v>50726</v>
      </c>
      <c r="L294">
        <v>49476</v>
      </c>
      <c r="M294">
        <v>50636</v>
      </c>
      <c r="N294">
        <v>3888100</v>
      </c>
      <c r="O294">
        <v>50636</v>
      </c>
      <c r="P294">
        <v>2.2267982960854301E-2</v>
      </c>
      <c r="Q294">
        <v>2.20236716567766E-2</v>
      </c>
      <c r="R294" s="8">
        <v>12.2804250717163</v>
      </c>
      <c r="S294" s="8">
        <v>2.4055130210954401E-2</v>
      </c>
      <c r="T294" s="9">
        <v>2.3770363264732901E-2</v>
      </c>
      <c r="U294" s="12">
        <v>4.5512999999999998E-2</v>
      </c>
      <c r="V294" s="16">
        <v>2.7147999999999999</v>
      </c>
      <c r="W294" s="17">
        <f t="shared" si="4"/>
        <v>3.2891089840716425E-3</v>
      </c>
    </row>
    <row r="295" spans="1:23" x14ac:dyDescent="0.2">
      <c r="A295" s="15">
        <v>41955</v>
      </c>
      <c r="B295" s="5">
        <v>95466458698202</v>
      </c>
      <c r="C295" s="5">
        <f>[1]!nefin_factors__1[[#This Row],[Rm_minus_Rf]]/B294-1</f>
        <v>-2.6527774128366541</v>
      </c>
      <c r="D295" s="5">
        <v>627790299307098</v>
      </c>
      <c r="E295" s="5">
        <f>[1]!nefin_factors__1[[#This Row],[SMB]]/D294-1</f>
        <v>-4.2616220291173361</v>
      </c>
      <c r="F295" s="5">
        <v>128435516561423</v>
      </c>
      <c r="G295" s="5">
        <f>[1]!nefin_factors__1[[#This Row],[HML]]/F294-1</f>
        <v>-3.6497680754776556</v>
      </c>
      <c r="H295" s="5">
        <v>422787140481384</v>
      </c>
      <c r="I295" s="6">
        <f>[1]!nefin_factors__1[[#This Row],[Risk_Free]]/H294-1</f>
        <v>8.4486339399680865E-4</v>
      </c>
      <c r="J295">
        <v>50639</v>
      </c>
      <c r="K295">
        <v>51868</v>
      </c>
      <c r="L295">
        <v>50639</v>
      </c>
      <c r="M295">
        <v>51280</v>
      </c>
      <c r="N295">
        <v>2940700</v>
      </c>
      <c r="O295">
        <v>51280</v>
      </c>
      <c r="P295">
        <v>1.2718224188324599E-2</v>
      </c>
      <c r="Q295">
        <v>1.26380268378328E-2</v>
      </c>
      <c r="R295" s="8">
        <v>12.0743770599365</v>
      </c>
      <c r="S295" s="8">
        <v>-1.6778623882708201E-2</v>
      </c>
      <c r="T295" s="9">
        <v>-1.6920979594305E-2</v>
      </c>
      <c r="U295" s="12">
        <v>4.5512999999999998E-2</v>
      </c>
      <c r="V295" s="16">
        <v>2.7385999999999999</v>
      </c>
      <c r="W295" s="17">
        <f t="shared" si="4"/>
        <v>8.7667599823191278E-3</v>
      </c>
    </row>
    <row r="296" spans="1:23" x14ac:dyDescent="0.2">
      <c r="A296" s="14">
        <v>41956</v>
      </c>
      <c r="B296" s="3">
        <v>-208225095246346</v>
      </c>
      <c r="C296" s="3">
        <f>[1]!nefin_factors__1[[#This Row],[Rm_minus_Rf]]/B295-1</f>
        <v>-3.1811335424581708</v>
      </c>
      <c r="D296" s="3">
        <v>464503120000476</v>
      </c>
      <c r="E296" s="3">
        <f>[1]!nefin_factors__1[[#This Row],[SMB]]/D295-1</f>
        <v>-0.26009828359381248</v>
      </c>
      <c r="F296" s="3">
        <v>335816819715</v>
      </c>
      <c r="G296" s="3">
        <f>[1]!nefin_factors__1[[#This Row],[HML]]/F295-1</f>
        <v>-0.99738532744909081</v>
      </c>
      <c r="H296" s="3">
        <v>423857636326908</v>
      </c>
      <c r="I296" s="4">
        <f>[1]!nefin_factors__1[[#This Row],[Risk_Free]]/H295-1</f>
        <v>2.5319971754702575E-3</v>
      </c>
      <c r="J296">
        <v>51281</v>
      </c>
      <c r="K296">
        <v>51638</v>
      </c>
      <c r="L296">
        <v>50870</v>
      </c>
      <c r="M296">
        <v>51294</v>
      </c>
      <c r="N296">
        <v>2485100</v>
      </c>
      <c r="O296">
        <v>51294</v>
      </c>
      <c r="P296">
        <v>2.7301092043674501E-4</v>
      </c>
      <c r="Q296">
        <v>2.7297365973697E-4</v>
      </c>
      <c r="R296" s="8">
        <v>12.0743770599365</v>
      </c>
      <c r="S296" s="8">
        <v>0</v>
      </c>
      <c r="T296" s="9">
        <v>0</v>
      </c>
      <c r="U296" s="12">
        <v>4.5512999999999998E-2</v>
      </c>
      <c r="V296" s="16">
        <v>2.7641</v>
      </c>
      <c r="W296" s="17">
        <f t="shared" si="4"/>
        <v>9.3113269553786182E-3</v>
      </c>
    </row>
    <row r="297" spans="1:23" x14ac:dyDescent="0.2">
      <c r="A297" s="15">
        <v>41957</v>
      </c>
      <c r="B297" s="5">
        <v>-406004435609571</v>
      </c>
      <c r="C297" s="5">
        <f>[1]!nefin_factors__1[[#This Row],[Rm_minus_Rf]]/B296-1</f>
        <v>0.9498343133388274</v>
      </c>
      <c r="D297" s="5">
        <v>-116951174071351</v>
      </c>
      <c r="E297" s="5">
        <f>[1]!nefin_factors__1[[#This Row],[SMB]]/D296-1</f>
        <v>-1.2517769397786416</v>
      </c>
      <c r="F297" s="5">
        <v>-450396614179965</v>
      </c>
      <c r="G297" s="5">
        <f>[1]!nefin_factors__1[[#This Row],[HML]]/F296-1</f>
        <v>-1342.1973068001962</v>
      </c>
      <c r="H297" s="5">
        <v>423857636326908</v>
      </c>
      <c r="I297" s="6">
        <f>[1]!nefin_factors__1[[#This Row],[Risk_Free]]/H296-1</f>
        <v>0</v>
      </c>
      <c r="J297">
        <v>51301</v>
      </c>
      <c r="K297">
        <v>51450</v>
      </c>
      <c r="L297">
        <v>50711</v>
      </c>
      <c r="M297">
        <v>51238</v>
      </c>
      <c r="N297">
        <v>2208700</v>
      </c>
      <c r="O297">
        <v>51238</v>
      </c>
      <c r="P297">
        <v>-1.0917456232697499E-3</v>
      </c>
      <c r="Q297">
        <v>-1.0923420116318099E-3</v>
      </c>
      <c r="R297" s="8">
        <v>12.0331678390503</v>
      </c>
      <c r="S297" s="8">
        <v>-3.4130795458379199E-3</v>
      </c>
      <c r="T297" s="9">
        <v>-3.41891738896466E-3</v>
      </c>
      <c r="U297" s="12">
        <v>4.5512999999999998E-2</v>
      </c>
      <c r="V297" s="16">
        <v>2.7873000000000001</v>
      </c>
      <c r="W297" s="17">
        <f t="shared" si="4"/>
        <v>8.3933287507689247E-3</v>
      </c>
    </row>
    <row r="298" spans="1:23" x14ac:dyDescent="0.2">
      <c r="A298" s="14">
        <v>41960</v>
      </c>
      <c r="B298" s="3">
        <v>-862636276885234</v>
      </c>
      <c r="C298" s="3">
        <f>[1]!nefin_factors__1[[#This Row],[Rm_minus_Rf]]/B297-1</f>
        <v>1.1246966811830035</v>
      </c>
      <c r="D298" s="3">
        <v>-470552666557257</v>
      </c>
      <c r="E298" s="3">
        <f>[1]!nefin_factors__1[[#This Row],[SMB]]/D297-1</f>
        <v>3.0234967309535214</v>
      </c>
      <c r="F298" s="3">
        <v>224120034036186</v>
      </c>
      <c r="G298" s="3">
        <f>[1]!nefin_factors__1[[#This Row],[HML]]/F297-1</f>
        <v>-1.49760594769177</v>
      </c>
      <c r="H298" s="3">
        <v>424927844735246</v>
      </c>
      <c r="I298" s="4">
        <f>[1]!nefin_factors__1[[#This Row],[Risk_Free]]/H297-1</f>
        <v>2.5249242118468018E-3</v>
      </c>
      <c r="J298">
        <v>51238</v>
      </c>
      <c r="K298">
        <v>51690</v>
      </c>
      <c r="L298">
        <v>50861</v>
      </c>
      <c r="M298">
        <v>51281</v>
      </c>
      <c r="N298">
        <v>2824500</v>
      </c>
      <c r="O298">
        <v>51281</v>
      </c>
      <c r="P298">
        <v>8.39220890745063E-4</v>
      </c>
      <c r="Q298">
        <v>8.3886894178817803E-4</v>
      </c>
      <c r="R298" s="8">
        <v>11.7859106063843</v>
      </c>
      <c r="S298" s="8">
        <v>-2.0547803125646899E-2</v>
      </c>
      <c r="T298" s="9">
        <v>-2.0761846387911301E-2</v>
      </c>
      <c r="U298" s="12">
        <v>4.5512999999999998E-2</v>
      </c>
      <c r="V298" s="16">
        <v>2.8075000000000001</v>
      </c>
      <c r="W298" s="17">
        <f t="shared" si="4"/>
        <v>7.2471567466723119E-3</v>
      </c>
    </row>
    <row r="299" spans="1:23" x14ac:dyDescent="0.2">
      <c r="A299" s="15">
        <v>41961</v>
      </c>
      <c r="B299" s="5">
        <v>151547109741605</v>
      </c>
      <c r="C299" s="5">
        <f>[1]!nefin_factors__1[[#This Row],[Rm_minus_Rf]]/B298-1</f>
        <v>-1.1756790362315901</v>
      </c>
      <c r="D299" s="5">
        <v>-10373234741573</v>
      </c>
      <c r="E299" s="5">
        <f>[1]!nefin_factors__1[[#This Row],[SMB]]/D298-1</f>
        <v>-0.97795520995031748</v>
      </c>
      <c r="F299" s="5">
        <v>-701665316567322</v>
      </c>
      <c r="G299" s="5">
        <f>[1]!nefin_factors__1[[#This Row],[HML]]/F298-1</f>
        <v>-4.1307567821180697</v>
      </c>
      <c r="H299" s="5">
        <v>424927844735246</v>
      </c>
      <c r="I299" s="6">
        <f>[1]!nefin_factors__1[[#This Row],[Risk_Free]]/H298-1</f>
        <v>0</v>
      </c>
      <c r="J299">
        <v>51288</v>
      </c>
      <c r="K299">
        <v>51956</v>
      </c>
      <c r="L299">
        <v>51049</v>
      </c>
      <c r="M299">
        <v>51874</v>
      </c>
      <c r="N299">
        <v>3004200</v>
      </c>
      <c r="O299">
        <v>51874</v>
      </c>
      <c r="P299">
        <v>1.1563737056609701E-2</v>
      </c>
      <c r="Q299">
        <v>1.14973880543148E-2</v>
      </c>
      <c r="R299" s="8">
        <v>11.827119827270501</v>
      </c>
      <c r="S299" s="8">
        <v>3.4966163374443599E-3</v>
      </c>
      <c r="T299" s="9">
        <v>3.4905173875290499E-3</v>
      </c>
      <c r="U299" s="12">
        <v>4.5512999999999998E-2</v>
      </c>
      <c r="V299" s="16">
        <v>2.8576000000000001</v>
      </c>
      <c r="W299" s="17">
        <f t="shared" si="4"/>
        <v>1.7845057880676807E-2</v>
      </c>
    </row>
    <row r="300" spans="1:23" x14ac:dyDescent="0.2">
      <c r="A300" s="14">
        <v>41962</v>
      </c>
      <c r="B300" s="3">
        <v>245627008566664</v>
      </c>
      <c r="C300" s="3">
        <f>[1]!nefin_factors__1[[#This Row],[Rm_minus_Rf]]/B299-1</f>
        <v>0.62079639120448871</v>
      </c>
      <c r="D300" s="3">
        <v>606595454189224</v>
      </c>
      <c r="E300" s="3">
        <f>[1]!nefin_factors__1[[#This Row],[SMB]]/D299-1</f>
        <v>-59.476981317906599</v>
      </c>
      <c r="F300" s="3">
        <v>143872351000469</v>
      </c>
      <c r="G300" s="3">
        <f>[1]!nefin_factors__1[[#This Row],[HML]]/F299-1</f>
        <v>-1.2050441251739783</v>
      </c>
      <c r="H300" s="3">
        <v>425641157396406</v>
      </c>
      <c r="I300" s="4">
        <f>[1]!nefin_factors__1[[#This Row],[Risk_Free]]/H299-1</f>
        <v>1.6786677314697407E-3</v>
      </c>
      <c r="J300">
        <v>51863</v>
      </c>
      <c r="K300">
        <v>51863</v>
      </c>
      <c r="L300">
        <v>51051</v>
      </c>
      <c r="M300">
        <v>51811</v>
      </c>
      <c r="N300">
        <v>3477200</v>
      </c>
      <c r="O300">
        <v>51811</v>
      </c>
      <c r="P300">
        <v>-1.2144812430119299E-3</v>
      </c>
      <c r="Q300">
        <v>-1.2152193230068099E-3</v>
      </c>
      <c r="R300" s="8">
        <v>11.9177808761597</v>
      </c>
      <c r="S300" s="8">
        <v>7.66524011228986E-3</v>
      </c>
      <c r="T300" s="9">
        <v>7.6360114275375503E-3</v>
      </c>
      <c r="U300" s="12">
        <v>4.5512999999999998E-2</v>
      </c>
      <c r="V300" s="16">
        <v>2.8624999999999998</v>
      </c>
      <c r="W300" s="17">
        <f t="shared" si="4"/>
        <v>1.7147256438969638E-3</v>
      </c>
    </row>
    <row r="301" spans="1:23" x14ac:dyDescent="0.2">
      <c r="A301" s="15">
        <v>41964</v>
      </c>
      <c r="B301" s="5">
        <v>462458968844081</v>
      </c>
      <c r="C301" s="5">
        <f>[1]!nefin_factors__1[[#This Row],[Rm_minus_Rf]]/B300-1</f>
        <v>0.88276920987932828</v>
      </c>
      <c r="D301" s="5">
        <v>-477950638282937</v>
      </c>
      <c r="E301" s="5">
        <f>[1]!nefin_factors__1[[#This Row],[SMB]]/D300-1</f>
        <v>-1.7879232113959149</v>
      </c>
      <c r="F301" s="5">
        <v>177940738293676</v>
      </c>
      <c r="G301" s="5">
        <f>[1]!nefin_factors__1[[#This Row],[HML]]/F300-1</f>
        <v>0.23679593095059626</v>
      </c>
      <c r="H301" s="5">
        <v>425641157396406</v>
      </c>
      <c r="I301" s="6">
        <f>[1]!nefin_factors__1[[#This Row],[Risk_Free]]/H300-1</f>
        <v>0</v>
      </c>
      <c r="J301">
        <v>51812</v>
      </c>
      <c r="K301">
        <v>51922</v>
      </c>
      <c r="L301">
        <v>51181</v>
      </c>
      <c r="M301">
        <v>51761</v>
      </c>
      <c r="N301">
        <v>3239000</v>
      </c>
      <c r="O301">
        <v>51761</v>
      </c>
      <c r="P301">
        <v>-9.6504603269575995E-4</v>
      </c>
      <c r="Q301">
        <v>-9.6551198942228505E-4</v>
      </c>
      <c r="R301" s="8">
        <v>11.8188781738281</v>
      </c>
      <c r="S301" s="8">
        <v>-8.2986434496504797E-3</v>
      </c>
      <c r="T301" s="9">
        <v>-8.3332688870409108E-3</v>
      </c>
      <c r="U301" s="12">
        <v>4.5512999999999998E-2</v>
      </c>
      <c r="V301" s="16">
        <v>2.8391999999999999</v>
      </c>
      <c r="W301" s="17">
        <f t="shared" si="4"/>
        <v>-8.139737991266327E-3</v>
      </c>
    </row>
    <row r="302" spans="1:23" x14ac:dyDescent="0.2">
      <c r="A302" s="14">
        <v>41967</v>
      </c>
      <c r="B302" s="3">
        <v>-112627216990004</v>
      </c>
      <c r="C302" s="3">
        <f>[1]!nefin_factors__1[[#This Row],[Rm_minus_Rf]]/B301-1</f>
        <v>-1.2435399128954432</v>
      </c>
      <c r="D302" s="3">
        <v>395112009695988</v>
      </c>
      <c r="E302" s="3">
        <f>[1]!nefin_factors__1[[#This Row],[SMB]]/D301-1</f>
        <v>-1.826679531416568</v>
      </c>
      <c r="F302" s="3">
        <v>127888644397522</v>
      </c>
      <c r="G302" s="3">
        <f>[1]!nefin_factors__1[[#This Row],[HML]]/F301-1</f>
        <v>-0.28128518728267438</v>
      </c>
      <c r="H302" s="3">
        <v>426710887086124</v>
      </c>
      <c r="I302" s="4">
        <f>[1]!nefin_factors__1[[#This Row],[Risk_Free]]/H301-1</f>
        <v>2.5132195774051347E-3</v>
      </c>
      <c r="J302">
        <v>51760</v>
      </c>
      <c r="K302">
        <v>52457</v>
      </c>
      <c r="L302">
        <v>51474</v>
      </c>
      <c r="M302">
        <v>51583</v>
      </c>
      <c r="N302">
        <v>4177300</v>
      </c>
      <c r="O302">
        <v>51583</v>
      </c>
      <c r="P302">
        <v>-3.43888255636482E-3</v>
      </c>
      <c r="Q302">
        <v>-3.4448091040181501E-3</v>
      </c>
      <c r="R302" s="8">
        <v>11.7776689529419</v>
      </c>
      <c r="S302" s="8">
        <v>-3.4866801522268598E-3</v>
      </c>
      <c r="T302" s="9">
        <v>-3.4927727876386898E-3</v>
      </c>
      <c r="U302" s="12">
        <v>4.5512999999999998E-2</v>
      </c>
      <c r="V302" s="16">
        <v>2.843</v>
      </c>
      <c r="W302" s="17">
        <f t="shared" si="4"/>
        <v>1.3384051845590772E-3</v>
      </c>
    </row>
    <row r="303" spans="1:23" x14ac:dyDescent="0.2">
      <c r="A303" s="15">
        <v>41968</v>
      </c>
      <c r="B303" s="5">
        <v>686256915625261</v>
      </c>
      <c r="C303" s="5">
        <f>[1]!nefin_factors__1[[#This Row],[Rm_minus_Rf]]/B302-1</f>
        <v>-7.0931712064426522</v>
      </c>
      <c r="D303" s="5">
        <v>-83944502011855</v>
      </c>
      <c r="E303" s="5">
        <f>[1]!nefin_factors__1[[#This Row],[SMB]]/D302-1</f>
        <v>-1.2124574802888037</v>
      </c>
      <c r="F303" s="5">
        <v>-165843375798706</v>
      </c>
      <c r="G303" s="5">
        <f>[1]!nefin_factors__1[[#This Row],[HML]]/F302-1</f>
        <v>-2.296779527064245</v>
      </c>
      <c r="H303" s="5">
        <v>427780329750771</v>
      </c>
      <c r="I303" s="6">
        <f>[1]!nefin_factors__1[[#This Row],[Risk_Free]]/H302-1</f>
        <v>2.5062464938494511E-3</v>
      </c>
      <c r="J303">
        <v>51580</v>
      </c>
      <c r="K303">
        <v>51580</v>
      </c>
      <c r="L303">
        <v>50775</v>
      </c>
      <c r="M303">
        <v>51021</v>
      </c>
      <c r="N303">
        <v>2793700</v>
      </c>
      <c r="O303">
        <v>51021</v>
      </c>
      <c r="P303">
        <v>-1.08950623267355E-2</v>
      </c>
      <c r="Q303">
        <v>-1.09548481617895E-2</v>
      </c>
      <c r="R303" s="8">
        <v>11.6787662506104</v>
      </c>
      <c r="S303" s="8">
        <v>-8.3975496465935606E-3</v>
      </c>
      <c r="T303" s="9">
        <v>-8.4330077134181693E-3</v>
      </c>
      <c r="U303" s="12">
        <v>4.5512999999999998E-2</v>
      </c>
      <c r="V303" s="16">
        <v>2.8544999999999998</v>
      </c>
      <c r="W303" s="17">
        <f t="shared" si="4"/>
        <v>4.0450228631725427E-3</v>
      </c>
    </row>
    <row r="304" spans="1:23" x14ac:dyDescent="0.2">
      <c r="A304" s="14">
        <v>41969</v>
      </c>
      <c r="B304" s="3">
        <v>-761850441526656</v>
      </c>
      <c r="C304" s="3">
        <f>[1]!nefin_factors__1[[#This Row],[Rm_minus_Rf]]/B303-1</f>
        <v>-2.1101533903414591</v>
      </c>
      <c r="D304" s="3">
        <v>233402206963803</v>
      </c>
      <c r="E304" s="3">
        <f>[1]!nefin_factors__1[[#This Row],[SMB]]/D303-1</f>
        <v>-3.7804347082890661</v>
      </c>
      <c r="F304" s="3">
        <v>481342744059124</v>
      </c>
      <c r="G304" s="3">
        <f>[1]!nefin_factors__1[[#This Row],[HML]]/F303-1</f>
        <v>-3.9023935489793597</v>
      </c>
      <c r="H304" s="3">
        <v>429205807086497</v>
      </c>
      <c r="I304" s="4">
        <f>[1]!nefin_factors__1[[#This Row],[Risk_Free]]/H303-1</f>
        <v>3.3322648017886092E-3</v>
      </c>
      <c r="J304">
        <v>51021</v>
      </c>
      <c r="K304">
        <v>51432</v>
      </c>
      <c r="L304">
        <v>50995</v>
      </c>
      <c r="M304">
        <v>51304</v>
      </c>
      <c r="N304">
        <v>2746200</v>
      </c>
      <c r="O304">
        <v>51304</v>
      </c>
      <c r="P304">
        <v>5.5467356578664502E-3</v>
      </c>
      <c r="Q304">
        <v>5.5314091681758501E-3</v>
      </c>
      <c r="R304" s="8">
        <v>11.621072769165</v>
      </c>
      <c r="S304" s="8">
        <v>-4.9399701701338099E-3</v>
      </c>
      <c r="T304" s="9">
        <v>-4.9522121561125596E-3</v>
      </c>
      <c r="U304" s="12">
        <v>4.5512999999999998E-2</v>
      </c>
      <c r="V304" s="16">
        <v>2.8700999999999999</v>
      </c>
      <c r="W304" s="17">
        <f t="shared" si="4"/>
        <v>5.4650551760377919E-3</v>
      </c>
    </row>
    <row r="305" spans="1:23" x14ac:dyDescent="0.2">
      <c r="A305" s="15">
        <v>41970</v>
      </c>
      <c r="B305" s="5">
        <v>-552267779558883</v>
      </c>
      <c r="C305" s="5">
        <f>[1]!nefin_factors__1[[#This Row],[Rm_minus_Rf]]/B304-1</f>
        <v>-0.27509685699964248</v>
      </c>
      <c r="D305" s="5">
        <v>240413662259826</v>
      </c>
      <c r="E305" s="5">
        <f>[1]!nefin_factors__1[[#This Row],[SMB]]/D304-1</f>
        <v>3.0040227070819325E-2</v>
      </c>
      <c r="F305" s="5">
        <v>-415564576260309</v>
      </c>
      <c r="G305" s="5">
        <f>[1]!nefin_factors__1[[#This Row],[HML]]/F304-1</f>
        <v>-1.8633444284542173</v>
      </c>
      <c r="H305" s="5">
        <v>42991835462125</v>
      </c>
      <c r="I305" s="6">
        <f>[1]!nefin_factors__1[[#This Row],[Risk_Free]]/H304-1</f>
        <v>-0.89983398464722786</v>
      </c>
      <c r="J305">
        <v>51303</v>
      </c>
      <c r="K305">
        <v>51303</v>
      </c>
      <c r="L305">
        <v>50399</v>
      </c>
      <c r="M305">
        <v>50468</v>
      </c>
      <c r="N305">
        <v>3654700</v>
      </c>
      <c r="O305">
        <v>50468</v>
      </c>
      <c r="P305">
        <v>-1.6295025728988E-2</v>
      </c>
      <c r="Q305">
        <v>-1.6429249781066999E-2</v>
      </c>
      <c r="R305" s="8">
        <v>11.7776689529419</v>
      </c>
      <c r="S305" s="8">
        <v>1.34752029579241E-2</v>
      </c>
      <c r="T305" s="9">
        <v>1.3385219869530699E-2</v>
      </c>
      <c r="U305" s="12">
        <v>4.5512999999999998E-2</v>
      </c>
      <c r="V305" s="16">
        <v>2.8811</v>
      </c>
      <c r="W305" s="17">
        <f t="shared" si="4"/>
        <v>3.8326190725062048E-3</v>
      </c>
    </row>
    <row r="306" spans="1:23" x14ac:dyDescent="0.2">
      <c r="A306" s="14">
        <v>41971</v>
      </c>
      <c r="B306" s="3">
        <v>127059592036756</v>
      </c>
      <c r="C306" s="3">
        <f>[1]!nefin_factors__1[[#This Row],[Rm_minus_Rf]]/B305-1</f>
        <v>-1.2300688121589192</v>
      </c>
      <c r="D306" s="3">
        <v>150937481570547</v>
      </c>
      <c r="E306" s="3">
        <f>[1]!nefin_factors__1[[#This Row],[SMB]]/D305-1</f>
        <v>-0.37217593978739039</v>
      </c>
      <c r="F306" s="3">
        <v>-111823314303929</v>
      </c>
      <c r="G306" s="3">
        <f>[1]!nefin_factors__1[[#This Row],[HML]]/F305-1</f>
        <v>-0.73091230414720654</v>
      </c>
      <c r="H306" s="3">
        <v>431343067653023</v>
      </c>
      <c r="I306" s="4">
        <f>[1]!nefin_factors__1[[#This Row],[Risk_Free]]/H305-1</f>
        <v>9.0331391534336358</v>
      </c>
      <c r="J306">
        <v>50472</v>
      </c>
      <c r="K306">
        <v>50734</v>
      </c>
      <c r="L306">
        <v>50114</v>
      </c>
      <c r="M306">
        <v>50365</v>
      </c>
      <c r="N306">
        <v>2732500</v>
      </c>
      <c r="O306">
        <v>50365</v>
      </c>
      <c r="P306">
        <v>-2.0408972021874702E-3</v>
      </c>
      <c r="Q306">
        <v>-2.0429826708503098E-3</v>
      </c>
      <c r="R306" s="8">
        <v>11.7364587783813</v>
      </c>
      <c r="S306" s="8">
        <v>-3.4991548686364999E-3</v>
      </c>
      <c r="T306" s="9">
        <v>-3.5052912299347902E-3</v>
      </c>
      <c r="U306" s="12">
        <v>4.5512999999999998E-2</v>
      </c>
      <c r="V306" s="16">
        <v>2.8649</v>
      </c>
      <c r="W306" s="17">
        <f t="shared" si="4"/>
        <v>-5.6228523827704935E-3</v>
      </c>
    </row>
    <row r="307" spans="1:23" x14ac:dyDescent="0.2">
      <c r="A307" s="15">
        <v>41974</v>
      </c>
      <c r="B307" s="5">
        <v>-429580875766337</v>
      </c>
      <c r="C307" s="5">
        <f>[1]!nefin_factors__1[[#This Row],[Rm_minus_Rf]]/B306-1</f>
        <v>-4.3809401469041962</v>
      </c>
      <c r="D307" s="5">
        <v>126384528866552</v>
      </c>
      <c r="E307" s="5">
        <f>[1]!nefin_factors__1[[#This Row],[SMB]]/D306-1</f>
        <v>-0.16266968580974461</v>
      </c>
      <c r="F307" s="5">
        <v>-581344856106378</v>
      </c>
      <c r="G307" s="5">
        <f>[1]!nefin_factors__1[[#This Row],[HML]]/F306-1</f>
        <v>4.1987804128781043</v>
      </c>
      <c r="H307" s="5">
        <v>432411268323163</v>
      </c>
      <c r="I307" s="6">
        <f>[1]!nefin_factors__1[[#This Row],[Risk_Free]]/H306-1</f>
        <v>2.4764526203056025E-3</v>
      </c>
      <c r="J307">
        <v>50355</v>
      </c>
      <c r="K307">
        <v>50401</v>
      </c>
      <c r="L307">
        <v>49779</v>
      </c>
      <c r="M307">
        <v>49981</v>
      </c>
      <c r="N307">
        <v>2787800</v>
      </c>
      <c r="O307">
        <v>49981</v>
      </c>
      <c r="P307">
        <v>-7.6243423012012403E-3</v>
      </c>
      <c r="Q307">
        <v>-7.6535561847942699E-3</v>
      </c>
      <c r="R307" s="8">
        <v>11.6622819900513</v>
      </c>
      <c r="S307" s="8">
        <v>-6.3202088138214502E-3</v>
      </c>
      <c r="T307" s="9">
        <v>-6.3402658881392101E-3</v>
      </c>
      <c r="U307" s="12">
        <v>4.5512999999999998E-2</v>
      </c>
      <c r="V307" s="16">
        <v>2.8645999999999998</v>
      </c>
      <c r="W307" s="17">
        <f t="shared" si="4"/>
        <v>-1.0471569688297322E-4</v>
      </c>
    </row>
    <row r="308" spans="1:23" x14ac:dyDescent="0.2">
      <c r="A308" s="14">
        <v>41975</v>
      </c>
      <c r="B308" s="3">
        <v>-116241409930053</v>
      </c>
      <c r="C308" s="3">
        <f>[1]!nefin_factors__1[[#This Row],[Rm_minus_Rf]]/B307-1</f>
        <v>-0.72940739104670826</v>
      </c>
      <c r="D308" s="3">
        <v>5609379417.1762304</v>
      </c>
      <c r="E308" s="3">
        <f>[1]!nefin_factors__1[[#This Row],[SMB]]/D307-1</f>
        <v>-0.99995561656582899</v>
      </c>
      <c r="F308" s="3">
        <v>-106700382444829</v>
      </c>
      <c r="G308" s="3">
        <f>[1]!nefin_factors__1[[#This Row],[HML]]/F307-1</f>
        <v>-0.81645940215336776</v>
      </c>
      <c r="H308" s="3">
        <v>434190966840831</v>
      </c>
      <c r="I308" s="4">
        <f>[1]!nefin_factors__1[[#This Row],[Risk_Free]]/H307-1</f>
        <v>4.1157542553631465E-3</v>
      </c>
      <c r="J308">
        <v>49978</v>
      </c>
      <c r="K308">
        <v>49978</v>
      </c>
      <c r="L308">
        <v>48952</v>
      </c>
      <c r="M308">
        <v>49181</v>
      </c>
      <c r="N308">
        <v>3299100</v>
      </c>
      <c r="O308">
        <v>49181</v>
      </c>
      <c r="P308">
        <v>-1.60060823112783E-2</v>
      </c>
      <c r="Q308">
        <v>-1.6135563159636102E-2</v>
      </c>
      <c r="R308" s="8">
        <v>11.2749128341675</v>
      </c>
      <c r="S308" s="8">
        <v>-3.3215494467373499E-2</v>
      </c>
      <c r="T308" s="9">
        <v>-3.3779656830029002E-2</v>
      </c>
      <c r="U308" s="12">
        <v>4.5512999999999998E-2</v>
      </c>
      <c r="V308" s="16">
        <v>2.8727999999999998</v>
      </c>
      <c r="W308" s="17">
        <f t="shared" si="4"/>
        <v>2.8625287998325089E-3</v>
      </c>
    </row>
    <row r="309" spans="1:23" x14ac:dyDescent="0.2">
      <c r="A309" s="15">
        <v>41976</v>
      </c>
      <c r="B309" s="5">
        <v>100567778847013</v>
      </c>
      <c r="C309" s="5">
        <f>[1]!nefin_factors__1[[#This Row],[Rm_minus_Rf]]/B308-1</f>
        <v>-1.8651631024393851</v>
      </c>
      <c r="D309" s="5">
        <v>-109014168755065</v>
      </c>
      <c r="E309" s="5">
        <f>[1]!nefin_factors__1[[#This Row],[SMB]]/D308-1</f>
        <v>-19435.265477078905</v>
      </c>
      <c r="F309" s="5">
        <v>142847266793243</v>
      </c>
      <c r="G309" s="5">
        <f>[1]!nefin_factors__1[[#This Row],[HML]]/F308-1</f>
        <v>-2.3387699605210344</v>
      </c>
      <c r="H309" s="5">
        <v>435614153725616</v>
      </c>
      <c r="I309" s="6">
        <f>[1]!nefin_factors__1[[#This Row],[Risk_Free]]/H308-1</f>
        <v>3.2777901740796977E-3</v>
      </c>
      <c r="J309">
        <v>49177</v>
      </c>
      <c r="K309">
        <v>49177</v>
      </c>
      <c r="L309">
        <v>48293</v>
      </c>
      <c r="M309">
        <v>48293</v>
      </c>
      <c r="N309">
        <v>4434300</v>
      </c>
      <c r="O309">
        <v>48293</v>
      </c>
      <c r="P309">
        <v>-1.80557532380391E-2</v>
      </c>
      <c r="Q309">
        <v>-1.8220747430929201E-2</v>
      </c>
      <c r="R309" s="8">
        <v>11.456234931945801</v>
      </c>
      <c r="S309" s="8">
        <v>1.6081989461789199E-2</v>
      </c>
      <c r="T309" s="9">
        <v>1.5954044189521E-2</v>
      </c>
      <c r="U309" s="12">
        <v>4.5512999999999998E-2</v>
      </c>
      <c r="V309" s="16">
        <v>2.8782000000000001</v>
      </c>
      <c r="W309" s="17">
        <f t="shared" si="4"/>
        <v>1.8796992481204811E-3</v>
      </c>
    </row>
    <row r="310" spans="1:23" x14ac:dyDescent="0.2">
      <c r="A310" s="14">
        <v>41977</v>
      </c>
      <c r="B310" s="3">
        <v>-145618446153733</v>
      </c>
      <c r="C310" s="3">
        <f>[1]!nefin_factors__1[[#This Row],[Rm_minus_Rf]]/B309-1</f>
        <v>-2.4479632325901575</v>
      </c>
      <c r="D310" s="3">
        <v>-994739880315562</v>
      </c>
      <c r="E310" s="3">
        <f>[1]!nefin_factors__1[[#This Row],[SMB]]/D309-1</f>
        <v>8.1248678192516568</v>
      </c>
      <c r="F310" s="3">
        <v>-163565362868874</v>
      </c>
      <c r="G310" s="3">
        <f>[1]!nefin_factors__1[[#This Row],[HML]]/F309-1</f>
        <v>-2.1450366992713858</v>
      </c>
      <c r="H310" s="3">
        <v>435258404642536</v>
      </c>
      <c r="I310" s="4">
        <f>[1]!nefin_factors__1[[#This Row],[Risk_Free]]/H309-1</f>
        <v>-8.1666098320598568E-4</v>
      </c>
      <c r="J310">
        <v>48309</v>
      </c>
      <c r="K310">
        <v>48937</v>
      </c>
      <c r="L310">
        <v>48309</v>
      </c>
      <c r="M310">
        <v>48906</v>
      </c>
      <c r="N310">
        <v>3839700</v>
      </c>
      <c r="O310">
        <v>48906</v>
      </c>
      <c r="P310">
        <v>1.2693351003251E-2</v>
      </c>
      <c r="Q310">
        <v>1.26134657210904E-2</v>
      </c>
      <c r="R310" s="8">
        <v>11.4150247573853</v>
      </c>
      <c r="S310" s="8">
        <v>-3.5973326597511499E-3</v>
      </c>
      <c r="T310" s="9">
        <v>-3.60381862032742E-3</v>
      </c>
      <c r="U310" s="12">
        <v>4.5512999999999998E-2</v>
      </c>
      <c r="V310" s="16">
        <v>2.8654999999999999</v>
      </c>
      <c r="W310" s="17">
        <f t="shared" si="4"/>
        <v>-4.4124800222361538E-3</v>
      </c>
    </row>
    <row r="311" spans="1:23" x14ac:dyDescent="0.2">
      <c r="A311" s="15">
        <v>41978</v>
      </c>
      <c r="B311" s="5">
        <v>10049987570698</v>
      </c>
      <c r="C311" s="5">
        <f>[1]!nefin_factors__1[[#This Row],[Rm_minus_Rf]]/B310-1</f>
        <v>-1.0690158962422107</v>
      </c>
      <c r="D311" s="5">
        <v>-149548614646765</v>
      </c>
      <c r="E311" s="5">
        <f>[1]!nefin_factors__1[[#This Row],[SMB]]/D310-1</f>
        <v>-0.84966058202137873</v>
      </c>
      <c r="F311" s="5">
        <v>-398706307466243</v>
      </c>
      <c r="G311" s="5">
        <f>[1]!nefin_factors__1[[#This Row],[HML]]/F310-1</f>
        <v>1.437596202967955</v>
      </c>
      <c r="H311" s="5">
        <v>435614153725616</v>
      </c>
      <c r="I311" s="6">
        <f>[1]!nefin_factors__1[[#This Row],[Risk_Free]]/H310-1</f>
        <v>8.1732846347248866E-4</v>
      </c>
      <c r="J311">
        <v>48908</v>
      </c>
      <c r="K311">
        <v>49633</v>
      </c>
      <c r="L311">
        <v>48684</v>
      </c>
      <c r="M311">
        <v>48880</v>
      </c>
      <c r="N311">
        <v>3833200</v>
      </c>
      <c r="O311">
        <v>48880</v>
      </c>
      <c r="P311">
        <v>-5.31632110579494E-4</v>
      </c>
      <c r="Q311">
        <v>-5.3177347703551204E-4</v>
      </c>
      <c r="R311" s="8">
        <v>11.538654327392599</v>
      </c>
      <c r="S311" s="8">
        <v>1.0830581898720401E-2</v>
      </c>
      <c r="T311" s="9">
        <v>1.0772351217398699E-2</v>
      </c>
      <c r="U311" s="12">
        <v>4.5512999999999998E-2</v>
      </c>
      <c r="V311" s="16">
        <v>2.9051</v>
      </c>
      <c r="W311" s="17">
        <f t="shared" si="4"/>
        <v>1.3819577735124877E-2</v>
      </c>
    </row>
    <row r="312" spans="1:23" x14ac:dyDescent="0.2">
      <c r="A312" s="14">
        <v>41981</v>
      </c>
      <c r="B312" s="3">
        <v>-30342710753808</v>
      </c>
      <c r="C312" s="3">
        <f>[1]!nefin_factors__1[[#This Row],[Rm_minus_Rf]]/B311-1</f>
        <v>-4.0191789333427614</v>
      </c>
      <c r="D312" s="3">
        <v>218610484178432</v>
      </c>
      <c r="E312" s="3">
        <f>[1]!nefin_factors__1[[#This Row],[SMB]]/D311-1</f>
        <v>-2.4618021350100214</v>
      </c>
      <c r="F312" s="3">
        <v>-113736785697489</v>
      </c>
      <c r="G312" s="3">
        <f>[1]!nefin_factors__1[[#This Row],[HML]]/F311-1</f>
        <v>-0.7147354241263949</v>
      </c>
      <c r="H312" s="3">
        <v>435969871059427</v>
      </c>
      <c r="I312" s="4">
        <f>[1]!nefin_factors__1[[#This Row],[Risk_Free]]/H311-1</f>
        <v>8.1658809928164544E-4</v>
      </c>
      <c r="J312">
        <v>48858</v>
      </c>
      <c r="K312">
        <v>48858</v>
      </c>
      <c r="L312">
        <v>47905</v>
      </c>
      <c r="M312">
        <v>48596</v>
      </c>
      <c r="N312">
        <v>4475600</v>
      </c>
      <c r="O312">
        <v>48596</v>
      </c>
      <c r="P312">
        <v>-5.8101472995090199E-3</v>
      </c>
      <c r="Q312">
        <v>-5.8270918708442001E-3</v>
      </c>
      <c r="R312" s="8">
        <v>11.2913970947266</v>
      </c>
      <c r="S312" s="8">
        <v>-2.14286062120773E-2</v>
      </c>
      <c r="T312" s="9">
        <v>-2.1661532326368499E-2</v>
      </c>
      <c r="U312" s="12">
        <v>4.5512999999999998E-2</v>
      </c>
      <c r="V312" s="16">
        <v>2.9803999999999999</v>
      </c>
      <c r="W312" s="17">
        <f t="shared" si="4"/>
        <v>2.5919933909331894E-2</v>
      </c>
    </row>
    <row r="313" spans="1:23" x14ac:dyDescent="0.2">
      <c r="A313" s="15">
        <v>41982</v>
      </c>
      <c r="B313" s="5">
        <v>-343804077221918</v>
      </c>
      <c r="C313" s="5">
        <f>[1]!nefin_factors__1[[#This Row],[Rm_minus_Rf]]/B312-1</f>
        <v>10.330697511222549</v>
      </c>
      <c r="D313" s="5">
        <v>-114472631250113</v>
      </c>
      <c r="E313" s="5">
        <f>[1]!nefin_factors__1[[#This Row],[SMB]]/D312-1</f>
        <v>-1.523637426083734</v>
      </c>
      <c r="F313" s="5">
        <v>-108217849693572</v>
      </c>
      <c r="G313" s="5">
        <f>[1]!nefin_factors__1[[#This Row],[HML]]/F312-1</f>
        <v>-4.8523755705528471E-2</v>
      </c>
      <c r="H313" s="5">
        <v>436325556649741</v>
      </c>
      <c r="I313" s="6">
        <f>[1]!nefin_factors__1[[#This Row],[Risk_Free]]/H312-1</f>
        <v>8.1584901601039483E-4</v>
      </c>
      <c r="J313">
        <v>48602</v>
      </c>
      <c r="K313">
        <v>49205</v>
      </c>
      <c r="L313">
        <v>48394</v>
      </c>
      <c r="M313">
        <v>48848</v>
      </c>
      <c r="N313">
        <v>3155400</v>
      </c>
      <c r="O313">
        <v>48848</v>
      </c>
      <c r="P313">
        <v>5.1856119845254999E-3</v>
      </c>
      <c r="Q313">
        <v>5.1722130000263601E-3</v>
      </c>
      <c r="R313" s="8">
        <v>11.1183166503906</v>
      </c>
      <c r="S313" s="8">
        <v>-1.5328521289347001E-2</v>
      </c>
      <c r="T313" s="9">
        <v>-1.54472175932194E-2</v>
      </c>
      <c r="U313" s="12">
        <v>4.7279000000000002E-2</v>
      </c>
      <c r="V313" s="16">
        <v>2.9931000000000001</v>
      </c>
      <c r="W313" s="17">
        <f t="shared" si="4"/>
        <v>4.2611729969133094E-3</v>
      </c>
    </row>
    <row r="314" spans="1:23" x14ac:dyDescent="0.2">
      <c r="A314" s="14">
        <v>41983</v>
      </c>
      <c r="B314" s="3">
        <v>-105028710726028</v>
      </c>
      <c r="C314" s="3">
        <f>[1]!nefin_factors__1[[#This Row],[Rm_minus_Rf]]/B313-1</f>
        <v>-0.69450999076362241</v>
      </c>
      <c r="D314" s="3">
        <v>-350376013858096</v>
      </c>
      <c r="E314" s="3">
        <f>[1]!nefin_factors__1[[#This Row],[SMB]]/D313-1</f>
        <v>2.0607841370620203</v>
      </c>
      <c r="F314" s="3">
        <v>-276045944086816</v>
      </c>
      <c r="G314" s="3">
        <f>[1]!nefin_factors__1[[#This Row],[HML]]/F313-1</f>
        <v>1.5508356049252821</v>
      </c>
      <c r="H314" s="3">
        <v>437036832622084</v>
      </c>
      <c r="I314" s="4">
        <f>[1]!nefin_factors__1[[#This Row],[Risk_Free]]/H313-1</f>
        <v>1.6301496932804582E-3</v>
      </c>
      <c r="J314">
        <v>48849</v>
      </c>
      <c r="K314">
        <v>50384</v>
      </c>
      <c r="L314">
        <v>48841</v>
      </c>
      <c r="M314">
        <v>50285</v>
      </c>
      <c r="N314">
        <v>4013900</v>
      </c>
      <c r="O314">
        <v>50285</v>
      </c>
      <c r="P314">
        <v>2.9417785784474199E-2</v>
      </c>
      <c r="Q314">
        <v>2.8993385903921601E-2</v>
      </c>
      <c r="R314" s="8">
        <v>11.126559257507299</v>
      </c>
      <c r="S314" s="8">
        <v>7.4144985567525801E-4</v>
      </c>
      <c r="T314" s="9">
        <v>7.41175117525671E-4</v>
      </c>
      <c r="U314" s="12">
        <v>4.7279000000000002E-2</v>
      </c>
      <c r="V314" s="16">
        <v>3.0366</v>
      </c>
      <c r="W314" s="17">
        <f t="shared" si="4"/>
        <v>1.4533426881828237E-2</v>
      </c>
    </row>
    <row r="315" spans="1:23" x14ac:dyDescent="0.2">
      <c r="A315" s="15">
        <v>41984</v>
      </c>
      <c r="B315" s="5">
        <v>614613809719182</v>
      </c>
      <c r="C315" s="5">
        <f>[1]!nefin_factors__1[[#This Row],[Rm_minus_Rf]]/B314-1</f>
        <v>-6.8518647469874123</v>
      </c>
      <c r="D315" s="5">
        <v>-320311847835174</v>
      </c>
      <c r="E315" s="5">
        <f>[1]!nefin_factors__1[[#This Row],[SMB]]/D314-1</f>
        <v>-8.5805434258687918E-2</v>
      </c>
      <c r="F315" s="5">
        <v>-161964553894978</v>
      </c>
      <c r="G315" s="5">
        <f>[1]!nefin_factors__1[[#This Row],[HML]]/F314-1</f>
        <v>-0.41326957571946643</v>
      </c>
      <c r="H315" s="5">
        <v>43668121050211</v>
      </c>
      <c r="I315" s="6">
        <f>[1]!nefin_factors__1[[#This Row],[Risk_Free]]/H314-1</f>
        <v>-0.90008137120110454</v>
      </c>
      <c r="J315">
        <v>50284</v>
      </c>
      <c r="K315">
        <v>51773</v>
      </c>
      <c r="L315">
        <v>49788</v>
      </c>
      <c r="M315">
        <v>51526</v>
      </c>
      <c r="N315">
        <v>4458900</v>
      </c>
      <c r="O315">
        <v>51526</v>
      </c>
      <c r="P315">
        <v>2.46793278313613E-2</v>
      </c>
      <c r="Q315">
        <v>2.43797127460877E-2</v>
      </c>
      <c r="R315" s="8">
        <v>11.4150247573853</v>
      </c>
      <c r="S315" s="8">
        <v>2.5925593931938301E-2</v>
      </c>
      <c r="T315" s="9">
        <v>2.5595223584663498E-2</v>
      </c>
      <c r="U315" s="12">
        <v>4.7279000000000002E-2</v>
      </c>
      <c r="V315" s="16">
        <v>3.1017999999999999</v>
      </c>
      <c r="W315" s="17">
        <f t="shared" si="4"/>
        <v>2.1471382467233013E-2</v>
      </c>
    </row>
    <row r="316" spans="1:23" x14ac:dyDescent="0.2">
      <c r="A316" s="14">
        <v>41985</v>
      </c>
      <c r="B316" s="3">
        <v>-354387976052227</v>
      </c>
      <c r="C316" s="3">
        <f>[1]!nefin_factors__1[[#This Row],[Rm_minus_Rf]]/B315-1</f>
        <v>-1.5766026900927388</v>
      </c>
      <c r="D316" s="3">
        <v>661825958143638</v>
      </c>
      <c r="E316" s="3">
        <f>[1]!nefin_factors__1[[#This Row],[SMB]]/D315-1</f>
        <v>-3.0661925639547376</v>
      </c>
      <c r="F316" s="3">
        <v>114118845448276</v>
      </c>
      <c r="G316" s="3">
        <f>[1]!nefin_factors__1[[#This Row],[HML]]/F315-1</f>
        <v>-1.7045914843952437</v>
      </c>
      <c r="H316" s="3">
        <v>437036832622084</v>
      </c>
      <c r="I316" s="4">
        <f>[1]!nefin_factors__1[[#This Row],[Risk_Free]]/H315-1</f>
        <v>9.0081437467750245</v>
      </c>
      <c r="J316">
        <v>51530</v>
      </c>
      <c r="K316">
        <v>51547</v>
      </c>
      <c r="L316">
        <v>50791</v>
      </c>
      <c r="M316">
        <v>50954</v>
      </c>
      <c r="N316">
        <v>3263600</v>
      </c>
      <c r="O316">
        <v>50954</v>
      </c>
      <c r="P316">
        <v>-1.11011916314094E-2</v>
      </c>
      <c r="Q316">
        <v>-1.11632697139049E-2</v>
      </c>
      <c r="R316" s="8">
        <v>11.6622819900513</v>
      </c>
      <c r="S316" s="8">
        <v>2.1660690486632599E-2</v>
      </c>
      <c r="T316" s="9">
        <v>2.1429431260835501E-2</v>
      </c>
      <c r="U316" s="12">
        <v>4.7279000000000002E-2</v>
      </c>
      <c r="V316" s="16">
        <v>3.1299000000000001</v>
      </c>
      <c r="W316" s="17">
        <f t="shared" si="4"/>
        <v>9.0592559159199393E-3</v>
      </c>
    </row>
    <row r="317" spans="1:23" x14ac:dyDescent="0.2">
      <c r="A317" s="15">
        <v>41988</v>
      </c>
      <c r="B317" s="5">
        <v>-197807584130597</v>
      </c>
      <c r="C317" s="5">
        <f>[1]!nefin_factors__1[[#This Row],[Rm_minus_Rf]]/B316-1</f>
        <v>-0.44183325197961676</v>
      </c>
      <c r="D317" s="5">
        <v>-355477532021493</v>
      </c>
      <c r="E317" s="5">
        <f>[1]!nefin_factors__1[[#This Row],[SMB]]/D316-1</f>
        <v>-1.5371163334520381</v>
      </c>
      <c r="F317" s="5">
        <v>-212048665543881</v>
      </c>
      <c r="G317" s="5">
        <f>[1]!nefin_factors__1[[#This Row],[HML]]/F316-1</f>
        <v>-2.8581388964366221</v>
      </c>
      <c r="H317" s="5">
        <v>437392423015881</v>
      </c>
      <c r="I317" s="6">
        <f>[1]!nefin_factors__1[[#This Row],[Risk_Free]]/H316-1</f>
        <v>8.136394172169048E-4</v>
      </c>
      <c r="J317">
        <v>50964</v>
      </c>
      <c r="K317">
        <v>52286</v>
      </c>
      <c r="L317">
        <v>50964</v>
      </c>
      <c r="M317">
        <v>51967</v>
      </c>
      <c r="N317">
        <v>4916800</v>
      </c>
      <c r="O317">
        <v>51967</v>
      </c>
      <c r="P317">
        <v>1.9880676688778E-2</v>
      </c>
      <c r="Q317">
        <v>1.9685636814607301E-2</v>
      </c>
      <c r="R317" s="8">
        <v>11.538654327392599</v>
      </c>
      <c r="S317" s="8">
        <v>-1.06004945563225E-2</v>
      </c>
      <c r="T317" s="9">
        <v>-1.0657080043437E-2</v>
      </c>
      <c r="U317" s="12">
        <v>4.7279000000000002E-2</v>
      </c>
      <c r="V317" s="16">
        <v>3.1162000000000001</v>
      </c>
      <c r="W317" s="17">
        <f t="shared" si="4"/>
        <v>-4.3771366497332709E-3</v>
      </c>
    </row>
    <row r="318" spans="1:23" x14ac:dyDescent="0.2">
      <c r="A318" s="14">
        <v>41989</v>
      </c>
      <c r="B318" s="3">
        <v>-309319791718556</v>
      </c>
      <c r="C318" s="3">
        <f>[1]!nefin_factors__1[[#This Row],[Rm_minus_Rf]]/B317-1</f>
        <v>0.56374080942384963</v>
      </c>
      <c r="D318" s="3">
        <v>213171049578364</v>
      </c>
      <c r="E318" s="3">
        <f>[1]!nefin_factors__1[[#This Row],[SMB]]/D317-1</f>
        <v>-1.5996751703718792</v>
      </c>
      <c r="F318" s="3">
        <v>245825184070567</v>
      </c>
      <c r="G318" s="3">
        <f>[1]!nefin_factors__1[[#This Row],[HML]]/F317-1</f>
        <v>-2.1592866356411768</v>
      </c>
      <c r="H318" s="3">
        <v>440236004689565</v>
      </c>
      <c r="I318" s="4">
        <f>[1]!nefin_factors__1[[#This Row],[Risk_Free]]/H317-1</f>
        <v>6.5012138392273044E-3</v>
      </c>
      <c r="J318">
        <v>51970</v>
      </c>
      <c r="K318">
        <v>52178</v>
      </c>
      <c r="L318">
        <v>51516</v>
      </c>
      <c r="M318">
        <v>51908</v>
      </c>
      <c r="N318">
        <v>3397500</v>
      </c>
      <c r="O318">
        <v>51908</v>
      </c>
      <c r="P318">
        <v>-1.1353358862354901E-3</v>
      </c>
      <c r="Q318">
        <v>-1.1359808682498099E-3</v>
      </c>
      <c r="R318" s="8">
        <v>11.456234931945801</v>
      </c>
      <c r="S318" s="8">
        <v>-7.1428999533258396E-3</v>
      </c>
      <c r="T318" s="9">
        <v>-7.1685325970711504E-3</v>
      </c>
      <c r="U318" s="12">
        <v>4.7279000000000002E-2</v>
      </c>
      <c r="V318" s="16">
        <v>3.1171000000000002</v>
      </c>
      <c r="W318" s="17">
        <f t="shared" si="4"/>
        <v>2.8881329824792523E-4</v>
      </c>
    </row>
    <row r="319" spans="1:23" x14ac:dyDescent="0.2">
      <c r="A319" s="15">
        <v>41990</v>
      </c>
      <c r="B319" s="5">
        <v>318459313040556</v>
      </c>
      <c r="C319" s="5">
        <f>[1]!nefin_factors__1[[#This Row],[Rm_minus_Rf]]/B318-1</f>
        <v>-2.0295471598219486</v>
      </c>
      <c r="D319" s="5">
        <v>-570691340021911</v>
      </c>
      <c r="E319" s="5">
        <f>[1]!nefin_factors__1[[#This Row],[SMB]]/D318-1</f>
        <v>-3.6771521796730595</v>
      </c>
      <c r="F319" s="5">
        <v>23374745686606</v>
      </c>
      <c r="G319" s="5">
        <f>[1]!nefin_factors__1[[#This Row],[HML]]/F318-1</f>
        <v>-0.90491313664634132</v>
      </c>
      <c r="H319" s="5">
        <v>440236004689565</v>
      </c>
      <c r="I319" s="6">
        <f>[1]!nefin_factors__1[[#This Row],[Risk_Free]]/H318-1</f>
        <v>0</v>
      </c>
      <c r="J319">
        <v>51908</v>
      </c>
      <c r="K319">
        <v>52223</v>
      </c>
      <c r="L319">
        <v>51006</v>
      </c>
      <c r="M319">
        <v>51506</v>
      </c>
      <c r="N319">
        <v>3436500</v>
      </c>
      <c r="O319">
        <v>51506</v>
      </c>
      <c r="P319">
        <v>-7.7444709871310503E-3</v>
      </c>
      <c r="Q319">
        <v>-7.7746151370881398E-3</v>
      </c>
      <c r="R319" s="8">
        <v>11.208977699279799</v>
      </c>
      <c r="S319" s="8">
        <v>-2.15827697773123E-2</v>
      </c>
      <c r="T319" s="9">
        <v>-2.1819084152334599E-2</v>
      </c>
      <c r="U319" s="12">
        <v>4.7279000000000002E-2</v>
      </c>
      <c r="V319" s="16">
        <v>3.2263999999999999</v>
      </c>
      <c r="W319" s="17">
        <f t="shared" si="4"/>
        <v>3.5064643418561969E-2</v>
      </c>
    </row>
    <row r="320" spans="1:23" x14ac:dyDescent="0.2">
      <c r="A320" s="14">
        <v>41991</v>
      </c>
      <c r="B320" s="3">
        <v>-363596468927413</v>
      </c>
      <c r="C320" s="3">
        <f>[1]!nefin_factors__1[[#This Row],[Rm_minus_Rf]]/B319-1</f>
        <v>-2.1417360210191396</v>
      </c>
      <c r="D320" s="3">
        <v>62184623627196</v>
      </c>
      <c r="E320" s="3">
        <f>[1]!nefin_factors__1[[#This Row],[SMB]]/D319-1</f>
        <v>-1.1089636713688498</v>
      </c>
      <c r="F320" s="3">
        <v>-719966104264403</v>
      </c>
      <c r="G320" s="3">
        <f>[1]!nefin_factors__1[[#This Row],[HML]]/F319-1</f>
        <v>-31.801024058924924</v>
      </c>
      <c r="H320" s="3">
        <v>440236004689565</v>
      </c>
      <c r="I320" s="4">
        <f>[1]!nefin_factors__1[[#This Row],[Risk_Free]]/H319-1</f>
        <v>0</v>
      </c>
      <c r="J320">
        <v>51507</v>
      </c>
      <c r="K320">
        <v>52319</v>
      </c>
      <c r="L320">
        <v>51507</v>
      </c>
      <c r="M320">
        <v>51858</v>
      </c>
      <c r="N320">
        <v>4774600</v>
      </c>
      <c r="O320">
        <v>51858</v>
      </c>
      <c r="P320">
        <v>6.8341552440491799E-3</v>
      </c>
      <c r="Q320">
        <v>6.8109082606601402E-3</v>
      </c>
      <c r="R320" s="8">
        <v>11.744701385498001</v>
      </c>
      <c r="S320" s="8">
        <v>4.7794022308060798E-2</v>
      </c>
      <c r="T320" s="9">
        <v>4.66870229824475E-2</v>
      </c>
      <c r="U320" s="12">
        <v>4.7279000000000002E-2</v>
      </c>
      <c r="V320" s="16">
        <v>3.2256999999999998</v>
      </c>
      <c r="W320" s="17">
        <f t="shared" si="4"/>
        <v>-2.1696007934546291E-4</v>
      </c>
    </row>
    <row r="321" spans="1:23" x14ac:dyDescent="0.2">
      <c r="A321" s="15">
        <v>41992</v>
      </c>
      <c r="B321" s="5">
        <v>207432087978007</v>
      </c>
      <c r="C321" s="5">
        <f>[1]!nefin_factors__1[[#This Row],[Rm_minus_Rf]]/B320-1</f>
        <v>-1.5705008318422859</v>
      </c>
      <c r="D321" s="5">
        <v>-182532578242697</v>
      </c>
      <c r="E321" s="5">
        <f>[1]!nefin_factors__1[[#This Row],[SMB]]/D320-1</f>
        <v>-3.9353330067091967</v>
      </c>
      <c r="F321" s="5">
        <v>509514350470101</v>
      </c>
      <c r="G321" s="5">
        <f>[1]!nefin_factors__1[[#This Row],[HML]]/F320-1</f>
        <v>-1.7076921364106123</v>
      </c>
      <c r="H321" s="5">
        <v>440236004689565</v>
      </c>
      <c r="I321" s="6">
        <f>[1]!nefin_factors__1[[#This Row],[Risk_Free]]/H320-1</f>
        <v>0</v>
      </c>
      <c r="J321">
        <v>51835</v>
      </c>
      <c r="K321">
        <v>51835</v>
      </c>
      <c r="L321">
        <v>50528</v>
      </c>
      <c r="M321">
        <v>50580</v>
      </c>
      <c r="N321">
        <v>3638500</v>
      </c>
      <c r="O321">
        <v>50580</v>
      </c>
      <c r="P321">
        <v>-2.4644220756681701E-2</v>
      </c>
      <c r="Q321">
        <v>-2.4952972756737E-2</v>
      </c>
      <c r="R321" s="8">
        <v>11.621072769165</v>
      </c>
      <c r="S321" s="8">
        <v>-1.0526196667248701E-2</v>
      </c>
      <c r="T321" s="9">
        <v>-1.05819889410615E-2</v>
      </c>
      <c r="U321" s="12">
        <v>4.7279000000000002E-2</v>
      </c>
      <c r="V321" s="16">
        <v>3.2683</v>
      </c>
      <c r="W321" s="17">
        <f t="shared" si="4"/>
        <v>1.3206435812381789E-2</v>
      </c>
    </row>
    <row r="322" spans="1:23" x14ac:dyDescent="0.2">
      <c r="A322" s="14">
        <v>41995</v>
      </c>
      <c r="B322" s="3">
        <v>956020741966511</v>
      </c>
      <c r="C322" s="3">
        <f>[1]!nefin_factors__1[[#This Row],[Rm_minus_Rf]]/B321-1</f>
        <v>3.6088372887991813</v>
      </c>
      <c r="D322" s="3">
        <v>498315257851912</v>
      </c>
      <c r="E322" s="3">
        <f>[1]!nefin_factors__1[[#This Row],[SMB]]/D321-1</f>
        <v>-3.7300072274733744</v>
      </c>
      <c r="F322" s="3">
        <v>-572794197215118</v>
      </c>
      <c r="G322" s="3">
        <f>[1]!nefin_factors__1[[#This Row],[HML]]/F321-1</f>
        <v>-2.1241963973863189</v>
      </c>
      <c r="H322" s="3">
        <v>440591309799343</v>
      </c>
      <c r="I322" s="4">
        <f>[1]!nefin_factors__1[[#This Row],[Risk_Free]]/H321-1</f>
        <v>8.0707871685459232E-4</v>
      </c>
      <c r="J322">
        <v>50575</v>
      </c>
      <c r="K322">
        <v>50575</v>
      </c>
      <c r="L322">
        <v>49909</v>
      </c>
      <c r="M322">
        <v>50095</v>
      </c>
      <c r="N322">
        <v>3927700</v>
      </c>
      <c r="O322">
        <v>50095</v>
      </c>
      <c r="P322">
        <v>-9.5887702649268807E-3</v>
      </c>
      <c r="Q322">
        <v>-9.6350385305928096E-3</v>
      </c>
      <c r="R322" s="8">
        <v>11.621072769165</v>
      </c>
      <c r="S322" s="8">
        <v>0</v>
      </c>
      <c r="T322" s="9">
        <v>0</v>
      </c>
      <c r="U322" s="12">
        <v>4.7279000000000002E-2</v>
      </c>
      <c r="V322" s="16">
        <v>3.2517999999999998</v>
      </c>
      <c r="W322" s="17">
        <f t="shared" si="4"/>
        <v>-5.0484961600832934E-3</v>
      </c>
    </row>
    <row r="323" spans="1:23" x14ac:dyDescent="0.2">
      <c r="A323" s="15">
        <v>41996</v>
      </c>
      <c r="B323" s="5">
        <v>140270095601739</v>
      </c>
      <c r="C323" s="5">
        <f>[1]!nefin_factors__1[[#This Row],[Rm_minus_Rf]]/B322-1</f>
        <v>-0.85327714196534388</v>
      </c>
      <c r="D323" s="5">
        <v>7967459867.7720299</v>
      </c>
      <c r="E323" s="5">
        <f>[1]!nefin_factors__1[[#This Row],[SMB]]/D322-1</f>
        <v>-0.99998401120627511</v>
      </c>
      <c r="F323" s="5">
        <v>171669551528447</v>
      </c>
      <c r="G323" s="5">
        <f>[1]!nefin_factors__1[[#This Row],[HML]]/F322-1</f>
        <v>-1.2997054655286164</v>
      </c>
      <c r="H323" s="5">
        <v>440946583239121</v>
      </c>
      <c r="I323" s="6">
        <f>[1]!nefin_factors__1[[#This Row],[Risk_Free]]/H322-1</f>
        <v>8.0635598541367592E-4</v>
      </c>
      <c r="J323">
        <v>50100</v>
      </c>
      <c r="K323">
        <v>51265</v>
      </c>
      <c r="L323">
        <v>50100</v>
      </c>
      <c r="M323">
        <v>51243</v>
      </c>
      <c r="N323">
        <v>2798500</v>
      </c>
      <c r="O323">
        <v>51243</v>
      </c>
      <c r="P323">
        <v>2.2916458728416099E-2</v>
      </c>
      <c r="Q323">
        <v>2.2657820612807099E-2</v>
      </c>
      <c r="R323" s="8">
        <v>11.1760101318359</v>
      </c>
      <c r="S323" s="8">
        <v>-3.8297955036598802E-2</v>
      </c>
      <c r="T323" s="9">
        <v>-3.9050600861260498E-2</v>
      </c>
      <c r="U323" s="12">
        <v>4.7279000000000002E-2</v>
      </c>
      <c r="V323" s="16">
        <v>3.2642000000000002</v>
      </c>
      <c r="W323" s="17">
        <f t="shared" si="4"/>
        <v>3.813272648994559E-3</v>
      </c>
    </row>
    <row r="324" spans="1:23" x14ac:dyDescent="0.2">
      <c r="A324" s="14">
        <v>41999</v>
      </c>
      <c r="B324" s="3">
        <v>-123435404780837</v>
      </c>
      <c r="C324" s="3">
        <f>[1]!nefin_factors__1[[#This Row],[Rm_minus_Rf]]/B323-1</f>
        <v>-1.8799837502877321</v>
      </c>
      <c r="D324" s="3">
        <v>223271352554067</v>
      </c>
      <c r="E324" s="3">
        <f>[1]!nefin_factors__1[[#This Row],[SMB]]/D323-1</f>
        <v>28021.902689122824</v>
      </c>
      <c r="F324" s="3">
        <v>272446717102201</v>
      </c>
      <c r="G324" s="3">
        <f>[1]!nefin_factors__1[[#This Row],[HML]]/F323-1</f>
        <v>0.5870415846985797</v>
      </c>
      <c r="H324" s="3">
        <v>442012213595966</v>
      </c>
      <c r="I324" s="4">
        <f>[1]!nefin_factors__1[[#This Row],[Risk_Free]]/H323-1</f>
        <v>2.4166880918252698E-3</v>
      </c>
      <c r="J324">
        <v>51243</v>
      </c>
      <c r="K324">
        <v>51466</v>
      </c>
      <c r="L324">
        <v>50612</v>
      </c>
      <c r="M324">
        <v>51150</v>
      </c>
      <c r="N324">
        <v>3511300</v>
      </c>
      <c r="O324">
        <v>51150</v>
      </c>
      <c r="P324">
        <v>-1.81488203266789E-3</v>
      </c>
      <c r="Q324">
        <v>-1.8165309263978901E-3</v>
      </c>
      <c r="R324" s="8">
        <v>11.6622819900513</v>
      </c>
      <c r="S324" s="8">
        <v>4.3510243127248001E-2</v>
      </c>
      <c r="T324" s="9">
        <v>4.2590263612717297E-2</v>
      </c>
      <c r="U324" s="12">
        <v>4.7279000000000002E-2</v>
      </c>
      <c r="V324" s="16">
        <v>3.2423000000000002</v>
      </c>
      <c r="W324" s="17">
        <f t="shared" ref="W324:W387" si="5">V324/V323-1</f>
        <v>-6.7091477237914976E-3</v>
      </c>
    </row>
    <row r="325" spans="1:23" x14ac:dyDescent="0.2">
      <c r="A325" s="15">
        <v>42002</v>
      </c>
      <c r="B325" s="5">
        <v>754634543624883</v>
      </c>
      <c r="C325" s="5">
        <f>[1]!nefin_factors__1[[#This Row],[Rm_minus_Rf]]/B324-1</f>
        <v>-7.1135988087433883</v>
      </c>
      <c r="D325" s="5">
        <v>-470573245200272</v>
      </c>
      <c r="E325" s="5">
        <f>[1]!nefin_factors__1[[#This Row],[SMB]]/D324-1</f>
        <v>-3.1076293031651643</v>
      </c>
      <c r="F325" s="5">
        <v>175151079516106</v>
      </c>
      <c r="G325" s="5">
        <f>[1]!nefin_factors__1[[#This Row],[HML]]/F324-1</f>
        <v>-0.3571180398903363</v>
      </c>
      <c r="H325" s="5">
        <v>441657035131993</v>
      </c>
      <c r="I325" s="6">
        <f>[1]!nefin_factors__1[[#This Row],[Risk_Free]]/H324-1</f>
        <v>-8.0354898133572217E-4</v>
      </c>
      <c r="J325">
        <v>51186</v>
      </c>
      <c r="K325">
        <v>52613</v>
      </c>
      <c r="L325">
        <v>51186</v>
      </c>
      <c r="M325">
        <v>52322</v>
      </c>
      <c r="N325">
        <v>4411500</v>
      </c>
      <c r="O325">
        <v>52322</v>
      </c>
      <c r="P325">
        <v>2.2913000977517101E-2</v>
      </c>
      <c r="Q325">
        <v>2.26544403203956E-2</v>
      </c>
      <c r="R325" s="8">
        <v>11.6622819900513</v>
      </c>
      <c r="S325" s="8">
        <v>0</v>
      </c>
      <c r="T325" s="9">
        <v>0</v>
      </c>
      <c r="U325" s="12">
        <v>4.7279000000000002E-2</v>
      </c>
      <c r="V325" s="16">
        <v>3.18</v>
      </c>
      <c r="W325" s="17">
        <f t="shared" si="5"/>
        <v>-1.921475495790026E-2</v>
      </c>
    </row>
    <row r="326" spans="1:23" x14ac:dyDescent="0.2">
      <c r="A326" s="14">
        <v>42003</v>
      </c>
      <c r="B326" s="3">
        <v>-928847357918277</v>
      </c>
      <c r="C326" s="3">
        <f>[1]!nefin_factors__1[[#This Row],[Rm_minus_Rf]]/B325-1</f>
        <v>-2.2308571954002581</v>
      </c>
      <c r="D326" s="3">
        <v>191082960370215</v>
      </c>
      <c r="E326" s="3">
        <f>[1]!nefin_factors__1[[#This Row],[SMB]]/D325-1</f>
        <v>-1.4060642255360092</v>
      </c>
      <c r="F326" s="3">
        <v>-390820699106052</v>
      </c>
      <c r="G326" s="3">
        <f>[1]!nefin_factors__1[[#This Row],[HML]]/F325-1</f>
        <v>-3.2313348007090879</v>
      </c>
      <c r="H326" s="3">
        <v>44236736041281</v>
      </c>
      <c r="I326" s="4">
        <f>[1]!nefin_factors__1[[#This Row],[Risk_Free]]/H325-1</f>
        <v>-0.89983916812723141</v>
      </c>
      <c r="J326">
        <v>52322</v>
      </c>
      <c r="K326">
        <v>53312</v>
      </c>
      <c r="L326">
        <v>52322</v>
      </c>
      <c r="M326">
        <v>53123</v>
      </c>
      <c r="N326">
        <v>4266500</v>
      </c>
      <c r="O326">
        <v>53123</v>
      </c>
      <c r="P326">
        <v>1.5309047819272999E-2</v>
      </c>
      <c r="Q326">
        <v>1.5193046759058E-2</v>
      </c>
      <c r="R326" s="8">
        <v>11.744701385498001</v>
      </c>
      <c r="S326" s="8">
        <v>7.0671816812542003E-3</v>
      </c>
      <c r="T326" s="9">
        <v>7.0423261896047197E-3</v>
      </c>
      <c r="U326" s="12">
        <v>4.7279000000000002E-2</v>
      </c>
      <c r="V326" s="16">
        <v>3.1309999999999998</v>
      </c>
      <c r="W326" s="17">
        <f t="shared" si="5"/>
        <v>-1.5408805031446704E-2</v>
      </c>
    </row>
    <row r="327" spans="1:23" x14ac:dyDescent="0.2">
      <c r="A327" s="15">
        <v>42006</v>
      </c>
      <c r="B327" s="5">
        <v>-283476851079715</v>
      </c>
      <c r="C327" s="5">
        <f>[1]!nefin_factors__1[[#This Row],[Rm_minus_Rf]]/B326-1</f>
        <v>-0.69480792655206525</v>
      </c>
      <c r="D327" s="5">
        <v>944020367850874</v>
      </c>
      <c r="E327" s="5">
        <f>[1]!nefin_factors__1[[#This Row],[SMB]]/D326-1</f>
        <v>3.9403691779836114</v>
      </c>
      <c r="F327" s="5">
        <v>115163106183836</v>
      </c>
      <c r="G327" s="5">
        <f>[1]!nefin_factors__1[[#This Row],[HML]]/F326-1</f>
        <v>-1.2946699252297935</v>
      </c>
      <c r="H327" s="5">
        <v>442722475588075</v>
      </c>
      <c r="I327" s="6">
        <f>[1]!nefin_factors__1[[#This Row],[Risk_Free]]/H326-1</f>
        <v>9.0080276079802459</v>
      </c>
      <c r="J327">
        <v>53124</v>
      </c>
      <c r="K327">
        <v>54146</v>
      </c>
      <c r="L327">
        <v>53122</v>
      </c>
      <c r="M327">
        <v>53737</v>
      </c>
      <c r="N327">
        <v>3322100</v>
      </c>
      <c r="O327">
        <v>53737</v>
      </c>
      <c r="P327">
        <v>1.15580821866235E-2</v>
      </c>
      <c r="Q327">
        <v>1.14917978126077E-2</v>
      </c>
      <c r="R327" s="8">
        <v>12.239214897155801</v>
      </c>
      <c r="S327" s="8">
        <v>4.2105338698817898E-2</v>
      </c>
      <c r="T327" s="9">
        <v>4.1243031022811197E-2</v>
      </c>
      <c r="U327" s="12">
        <v>4.7279000000000002E-2</v>
      </c>
      <c r="V327" s="16">
        <v>3.1476000000000002</v>
      </c>
      <c r="W327" s="17">
        <f t="shared" si="5"/>
        <v>5.3018205046311273E-3</v>
      </c>
    </row>
    <row r="328" spans="1:23" x14ac:dyDescent="0.2">
      <c r="A328" s="14">
        <v>42009</v>
      </c>
      <c r="B328" s="3">
        <v>-203302334664406</v>
      </c>
      <c r="C328" s="3">
        <f>[1]!nefin_factors__1[[#This Row],[Rm_minus_Rf]]/B327-1</f>
        <v>-0.28282562089263352</v>
      </c>
      <c r="D328" s="3">
        <v>-19985896277301</v>
      </c>
      <c r="E328" s="3">
        <f>[1]!nefin_factors__1[[#This Row],[SMB]]/D327-1</f>
        <v>-1.0211710435049195</v>
      </c>
      <c r="F328" s="3">
        <v>-631143897188979</v>
      </c>
      <c r="G328" s="3">
        <f>[1]!nefin_factors__1[[#This Row],[HML]]/F327-1</f>
        <v>-6.4804348206922953</v>
      </c>
      <c r="H328" s="3">
        <v>444497577037684</v>
      </c>
      <c r="I328" s="4">
        <f>[1]!nefin_factors__1[[#This Row],[Risk_Free]]/H327-1</f>
        <v>4.0095128381523182E-3</v>
      </c>
      <c r="J328">
        <v>53738</v>
      </c>
      <c r="K328">
        <v>54002</v>
      </c>
      <c r="L328">
        <v>53436</v>
      </c>
      <c r="M328">
        <v>53729</v>
      </c>
      <c r="N328">
        <v>3487100</v>
      </c>
      <c r="O328">
        <v>53729</v>
      </c>
      <c r="P328">
        <v>-1.48873215847556E-4</v>
      </c>
      <c r="Q328">
        <v>-1.48884298564714E-4</v>
      </c>
      <c r="R328" s="8">
        <v>12.1320695877075</v>
      </c>
      <c r="S328" s="8">
        <v>-8.7543327135544101E-3</v>
      </c>
      <c r="T328" s="9">
        <v>-8.7928770020815807E-3</v>
      </c>
      <c r="U328" s="12">
        <v>4.7279000000000002E-2</v>
      </c>
      <c r="V328" s="16">
        <v>3.1915</v>
      </c>
      <c r="W328" s="17">
        <f t="shared" si="5"/>
        <v>1.3947134324564736E-2</v>
      </c>
    </row>
    <row r="329" spans="1:23" x14ac:dyDescent="0.2">
      <c r="A329" s="15">
        <v>42010</v>
      </c>
      <c r="B329" s="5">
        <v>879989434858885</v>
      </c>
      <c r="C329" s="5">
        <f>[1]!nefin_factors__1[[#This Row],[Rm_minus_Rf]]/B328-1</f>
        <v>-5.3284767797256034</v>
      </c>
      <c r="D329" s="5">
        <v>-237200622535469</v>
      </c>
      <c r="E329" s="5">
        <f>[1]!nefin_factors__1[[#This Row],[SMB]]/D328-1</f>
        <v>10.86840055829119</v>
      </c>
      <c r="F329" s="5">
        <v>759760612540139</v>
      </c>
      <c r="G329" s="5">
        <f>[1]!nefin_factors__1[[#This Row],[HML]]/F328-1</f>
        <v>-2.2037835047189711</v>
      </c>
      <c r="H329" s="5">
        <v>444497577037684</v>
      </c>
      <c r="I329" s="6">
        <f>[1]!nefin_factors__1[[#This Row],[Risk_Free]]/H328-1</f>
        <v>0</v>
      </c>
      <c r="J329">
        <v>53732</v>
      </c>
      <c r="K329">
        <v>54458</v>
      </c>
      <c r="L329">
        <v>53508</v>
      </c>
      <c r="M329">
        <v>53661</v>
      </c>
      <c r="N329">
        <v>4780400</v>
      </c>
      <c r="O329">
        <v>53661</v>
      </c>
      <c r="P329">
        <v>-1.2656107502465601E-3</v>
      </c>
      <c r="Q329">
        <v>-1.2664123119135501E-3</v>
      </c>
      <c r="R329" s="8">
        <v>12.8573570251465</v>
      </c>
      <c r="S329" s="8">
        <v>5.9782695342661001E-2</v>
      </c>
      <c r="T329" s="9">
        <v>5.80638827139867E-2</v>
      </c>
      <c r="U329" s="12">
        <v>4.7279000000000002E-2</v>
      </c>
      <c r="V329" s="16">
        <v>3.2259000000000002</v>
      </c>
      <c r="W329" s="17">
        <f t="shared" si="5"/>
        <v>1.0778630737897643E-2</v>
      </c>
    </row>
    <row r="330" spans="1:23" x14ac:dyDescent="0.2">
      <c r="A330" s="14">
        <v>42011</v>
      </c>
      <c r="B330" s="3">
        <v>26666648589329</v>
      </c>
      <c r="C330" s="3">
        <f>[1]!nefin_factors__1[[#This Row],[Rm_minus_Rf]]/B329-1</f>
        <v>-0.96969662642187826</v>
      </c>
      <c r="D330" s="3">
        <v>-47591888058139</v>
      </c>
      <c r="E330" s="3">
        <f>[1]!nefin_factors__1[[#This Row],[SMB]]/D329-1</f>
        <v>-0.7993601890693921</v>
      </c>
      <c r="F330" s="3">
        <v>974722721211093</v>
      </c>
      <c r="G330" s="3">
        <f>[1]!nefin_factors__1[[#This Row],[HML]]/F329-1</f>
        <v>0.28293399937154184</v>
      </c>
      <c r="H330" s="3">
        <v>444852502481607</v>
      </c>
      <c r="I330" s="4">
        <f>[1]!nefin_factors__1[[#This Row],[Risk_Free]]/H329-1</f>
        <v>7.9848679106042653E-4</v>
      </c>
      <c r="J330">
        <v>53638</v>
      </c>
      <c r="K330">
        <v>54002</v>
      </c>
      <c r="L330">
        <v>53292</v>
      </c>
      <c r="M330">
        <v>53803</v>
      </c>
      <c r="N330">
        <v>4338300</v>
      </c>
      <c r="O330">
        <v>53803</v>
      </c>
      <c r="P330">
        <v>2.6462421497921401E-3</v>
      </c>
      <c r="Q330">
        <v>2.64274701565751E-3</v>
      </c>
      <c r="R330" s="8">
        <v>13.384839057922401</v>
      </c>
      <c r="S330" s="8">
        <v>4.1025674211851097E-2</v>
      </c>
      <c r="T330" s="9">
        <v>4.0206452356419203E-2</v>
      </c>
      <c r="U330" s="12">
        <v>4.7279000000000002E-2</v>
      </c>
      <c r="V330" s="16">
        <v>3.2601</v>
      </c>
      <c r="W330" s="17">
        <f t="shared" si="5"/>
        <v>1.0601692550916031E-2</v>
      </c>
    </row>
    <row r="331" spans="1:23" x14ac:dyDescent="0.2">
      <c r="A331" s="15">
        <v>42012</v>
      </c>
      <c r="B331" s="5">
        <v>773535359038891</v>
      </c>
      <c r="C331" s="5">
        <f>[1]!nefin_factors__1[[#This Row],[Rm_minus_Rf]]/B330-1</f>
        <v>28.007595628212204</v>
      </c>
      <c r="D331" s="5">
        <v>-527085744128981</v>
      </c>
      <c r="E331" s="5">
        <f>[1]!nefin_factors__1[[#This Row],[SMB]]/D330-1</f>
        <v>10.075117328505328</v>
      </c>
      <c r="F331" s="5">
        <v>-142440799307789</v>
      </c>
      <c r="G331" s="5">
        <f>[1]!nefin_factors__1[[#This Row],[HML]]/F330-1</f>
        <v>-1.1461346865196764</v>
      </c>
      <c r="H331" s="5">
        <v>445562258569066</v>
      </c>
      <c r="I331" s="6">
        <f>[1]!nefin_factors__1[[#This Row],[Risk_Free]]/H330-1</f>
        <v>1.595486331985585E-3</v>
      </c>
      <c r="J331">
        <v>53803</v>
      </c>
      <c r="K331">
        <v>54413</v>
      </c>
      <c r="L331">
        <v>53556</v>
      </c>
      <c r="M331">
        <v>54214</v>
      </c>
      <c r="N331">
        <v>3683000</v>
      </c>
      <c r="O331">
        <v>54214</v>
      </c>
      <c r="P331">
        <v>7.6389792390758604E-3</v>
      </c>
      <c r="Q331">
        <v>7.6099499793816604E-3</v>
      </c>
      <c r="R331" s="8">
        <v>13.0634050369263</v>
      </c>
      <c r="S331" s="8">
        <v>-2.4014795724036399E-2</v>
      </c>
      <c r="T331" s="9">
        <v>-2.43078522372678E-2</v>
      </c>
      <c r="U331" s="12">
        <v>4.7279000000000002E-2</v>
      </c>
      <c r="V331" s="16">
        <v>3.2080000000000002</v>
      </c>
      <c r="W331" s="17">
        <f t="shared" si="5"/>
        <v>-1.5981104874083552E-2</v>
      </c>
    </row>
    <row r="332" spans="1:23" x14ac:dyDescent="0.2">
      <c r="A332" s="14">
        <v>42013</v>
      </c>
      <c r="B332" s="3">
        <v>-208379876423241</v>
      </c>
      <c r="C332" s="3">
        <f>[1]!nefin_factors__1[[#This Row],[Rm_minus_Rf]]/B331-1</f>
        <v>-1.269386362224153</v>
      </c>
      <c r="D332" s="3">
        <v>142374965589461</v>
      </c>
      <c r="E332" s="3">
        <f>[1]!nefin_factors__1[[#This Row],[SMB]]/D331-1</f>
        <v>-1.2701172763166613</v>
      </c>
      <c r="F332" s="3">
        <v>-567555941306315</v>
      </c>
      <c r="G332" s="3">
        <f>[1]!nefin_factors__1[[#This Row],[HML]]/F331-1</f>
        <v>2.9845040470457378</v>
      </c>
      <c r="H332" s="3">
        <v>445917089223702</v>
      </c>
      <c r="I332" s="4">
        <f>[1]!nefin_factors__1[[#This Row],[Risk_Free]]/H331-1</f>
        <v>7.9636604719524051E-4</v>
      </c>
      <c r="J332">
        <v>54214</v>
      </c>
      <c r="K332">
        <v>54866</v>
      </c>
      <c r="L332">
        <v>54004</v>
      </c>
      <c r="M332">
        <v>54240</v>
      </c>
      <c r="N332">
        <v>3660300</v>
      </c>
      <c r="O332">
        <v>54240</v>
      </c>
      <c r="P332">
        <v>4.7958092005751001E-4</v>
      </c>
      <c r="Q332">
        <v>4.7946595788237698E-4</v>
      </c>
      <c r="R332" s="8">
        <v>13.269452095031699</v>
      </c>
      <c r="S332" s="8">
        <v>1.5772884492183399E-2</v>
      </c>
      <c r="T332" s="9">
        <v>1.5649785282103201E-2</v>
      </c>
      <c r="U332" s="12">
        <v>4.7279000000000002E-2</v>
      </c>
      <c r="V332" s="16">
        <v>3.1556000000000002</v>
      </c>
      <c r="W332" s="17">
        <f t="shared" si="5"/>
        <v>-1.6334164588528655E-2</v>
      </c>
    </row>
    <row r="333" spans="1:23" x14ac:dyDescent="0.2">
      <c r="A333" s="15">
        <v>42016</v>
      </c>
      <c r="B333" s="5">
        <v>-105958759065886</v>
      </c>
      <c r="C333" s="5">
        <f>[1]!nefin_factors__1[[#This Row],[Rm_minus_Rf]]/B332-1</f>
        <v>-0.49151155627584286</v>
      </c>
      <c r="D333" s="5">
        <v>-185058714628048</v>
      </c>
      <c r="E333" s="5">
        <f>[1]!nefin_factors__1[[#This Row],[SMB]]/D332-1</f>
        <v>-2.2997981341864961</v>
      </c>
      <c r="F333" s="5">
        <v>-148501090553903</v>
      </c>
      <c r="G333" s="5">
        <f>[1]!nefin_factors__1[[#This Row],[HML]]/F332-1</f>
        <v>-0.73834986166807548</v>
      </c>
      <c r="H333" s="5">
        <v>447336096046413</v>
      </c>
      <c r="I333" s="6">
        <f>[1]!nefin_factors__1[[#This Row],[Risk_Free]]/H332-1</f>
        <v>3.182221217808312E-3</v>
      </c>
      <c r="J333">
        <v>54240</v>
      </c>
      <c r="K333">
        <v>54625</v>
      </c>
      <c r="L333">
        <v>53773</v>
      </c>
      <c r="M333">
        <v>53982</v>
      </c>
      <c r="N333">
        <v>3747100</v>
      </c>
      <c r="O333">
        <v>53982</v>
      </c>
      <c r="P333">
        <v>-4.7566371681415599E-3</v>
      </c>
      <c r="Q333">
        <v>-4.7679859691033702E-3</v>
      </c>
      <c r="R333" s="8">
        <v>13.351870536804199</v>
      </c>
      <c r="S333" s="8">
        <v>6.2111366258690301E-3</v>
      </c>
      <c r="T333" s="9">
        <v>6.1919270180739302E-3</v>
      </c>
      <c r="U333" s="12">
        <v>4.7279000000000002E-2</v>
      </c>
      <c r="V333" s="16">
        <v>3.1492</v>
      </c>
      <c r="W333" s="17">
        <f t="shared" si="5"/>
        <v>-2.0281404487261234E-3</v>
      </c>
    </row>
    <row r="334" spans="1:23" x14ac:dyDescent="0.2">
      <c r="A334" s="14">
        <v>42017</v>
      </c>
      <c r="B334" s="3">
        <v>-169801246832245</v>
      </c>
      <c r="C334" s="3">
        <f>[1]!nefin_factors__1[[#This Row],[Rm_minus_Rf]]/B333-1</f>
        <v>0.60252204092595329</v>
      </c>
      <c r="D334" s="3">
        <v>-124120278269892</v>
      </c>
      <c r="E334" s="3">
        <f>[1]!nefin_factors__1[[#This Row],[SMB]]/D333-1</f>
        <v>-0.32929244364761201</v>
      </c>
      <c r="F334" s="3">
        <v>-526541584861073</v>
      </c>
      <c r="G334" s="3">
        <f>[1]!nefin_factors__1[[#This Row],[HML]]/F333-1</f>
        <v>2.5457085392241523</v>
      </c>
      <c r="H334" s="3">
        <v>447690768831333</v>
      </c>
      <c r="I334" s="4">
        <f>[1]!nefin_factors__1[[#This Row],[Risk_Free]]/H333-1</f>
        <v>7.9285527828987234E-4</v>
      </c>
      <c r="J334">
        <v>54037</v>
      </c>
      <c r="K334">
        <v>54960</v>
      </c>
      <c r="L334">
        <v>54037</v>
      </c>
      <c r="M334">
        <v>54919</v>
      </c>
      <c r="N334">
        <v>4069600</v>
      </c>
      <c r="O334">
        <v>54919</v>
      </c>
      <c r="P334">
        <v>1.7357637731095599E-2</v>
      </c>
      <c r="Q334">
        <v>1.7208714767974299E-2</v>
      </c>
      <c r="R334" s="8">
        <v>13.4178056716919</v>
      </c>
      <c r="S334" s="8">
        <v>4.9382048624217996E-3</v>
      </c>
      <c r="T334" s="9">
        <v>4.92605192151023E-3</v>
      </c>
      <c r="U334" s="12">
        <v>4.7279000000000002E-2</v>
      </c>
      <c r="V334" s="16">
        <v>3.0926</v>
      </c>
      <c r="W334" s="17">
        <f t="shared" si="5"/>
        <v>-1.7972818493585674E-2</v>
      </c>
    </row>
    <row r="335" spans="1:23" x14ac:dyDescent="0.2">
      <c r="A335" s="15">
        <v>42018</v>
      </c>
      <c r="B335" s="5">
        <v>-601434586854474</v>
      </c>
      <c r="C335" s="5">
        <f>[1]!nefin_factors__1[[#This Row],[Rm_minus_Rf]]/B334-1</f>
        <v>2.5419915817736061</v>
      </c>
      <c r="D335" s="5">
        <v>-113834502793953</v>
      </c>
      <c r="E335" s="5">
        <f>[1]!nefin_factors__1[[#This Row],[SMB]]/D334-1</f>
        <v>-8.2869420044106024E-2</v>
      </c>
      <c r="F335" s="5">
        <v>-232551582116584</v>
      </c>
      <c r="G335" s="5">
        <f>[1]!nefin_factors__1[[#This Row],[HML]]/F334-1</f>
        <v>-0.55834147045015969</v>
      </c>
      <c r="H335" s="5">
        <v>448400019735562</v>
      </c>
      <c r="I335" s="6">
        <f>[1]!nefin_factors__1[[#This Row],[Risk_Free]]/H334-1</f>
        <v>1.5842428604915249E-3</v>
      </c>
      <c r="J335">
        <v>54919</v>
      </c>
      <c r="K335">
        <v>54919</v>
      </c>
      <c r="L335">
        <v>54316</v>
      </c>
      <c r="M335">
        <v>54674</v>
      </c>
      <c r="N335">
        <v>4133000</v>
      </c>
      <c r="O335">
        <v>54674</v>
      </c>
      <c r="P335">
        <v>-4.46111546095163E-3</v>
      </c>
      <c r="Q335">
        <v>-4.47109593027475E-3</v>
      </c>
      <c r="R335" s="8">
        <v>13.0057106018066</v>
      </c>
      <c r="S335" s="8">
        <v>8.3933502612880701E-3</v>
      </c>
      <c r="T335" s="9">
        <v>8.3583219636810899E-3</v>
      </c>
      <c r="U335" s="12">
        <v>4.7279000000000002E-2</v>
      </c>
      <c r="V335" s="16">
        <v>3.1231</v>
      </c>
      <c r="W335" s="17">
        <f t="shared" si="5"/>
        <v>9.8622518269417814E-3</v>
      </c>
    </row>
    <row r="336" spans="1:23" x14ac:dyDescent="0.2">
      <c r="A336" s="14">
        <v>42019</v>
      </c>
      <c r="B336" s="3">
        <v>544890776895204</v>
      </c>
      <c r="C336" s="3">
        <f>[1]!nefin_factors__1[[#This Row],[Rm_minus_Rf]]/B335-1</f>
        <v>-1.9059851042903997</v>
      </c>
      <c r="D336" s="3">
        <v>-186085848342743</v>
      </c>
      <c r="E336" s="3">
        <f>[1]!nefin_factors__1[[#This Row],[SMB]]/D335-1</f>
        <v>0.63470515331866562</v>
      </c>
      <c r="F336" s="3">
        <v>-170658909638778</v>
      </c>
      <c r="G336" s="3">
        <f>[1]!nefin_factors__1[[#This Row],[HML]]/F335-1</f>
        <v>-0.26614599614625556</v>
      </c>
      <c r="H336" s="3">
        <v>449109144456505</v>
      </c>
      <c r="I336" s="4">
        <f>[1]!nefin_factors__1[[#This Row],[Risk_Free]]/H335-1</f>
        <v>1.5814555970832256E-3</v>
      </c>
      <c r="J336">
        <v>54672</v>
      </c>
      <c r="K336">
        <v>54672</v>
      </c>
      <c r="L336">
        <v>53896</v>
      </c>
      <c r="M336">
        <v>53955</v>
      </c>
      <c r="N336">
        <v>3537200</v>
      </c>
      <c r="O336">
        <v>53955</v>
      </c>
      <c r="P336">
        <v>-1.3150674909463299E-2</v>
      </c>
      <c r="Q336">
        <v>-1.32379106850393E-2</v>
      </c>
      <c r="R336" s="8">
        <v>12.980985641479499</v>
      </c>
      <c r="S336" s="8">
        <v>-1.9009622847900899E-3</v>
      </c>
      <c r="T336" s="9">
        <v>-1.9027714066727299E-3</v>
      </c>
      <c r="U336" s="12">
        <v>4.7279000000000002E-2</v>
      </c>
      <c r="V336" s="16">
        <v>3.0834000000000001</v>
      </c>
      <c r="W336" s="17">
        <f t="shared" si="5"/>
        <v>-1.2711728731068406E-2</v>
      </c>
    </row>
    <row r="337" spans="1:23" x14ac:dyDescent="0.2">
      <c r="A337" s="15">
        <v>42020</v>
      </c>
      <c r="B337" s="5">
        <v>188037585868436</v>
      </c>
      <c r="C337" s="5">
        <f>[1]!nefin_factors__1[[#This Row],[Rm_minus_Rf]]/B336-1</f>
        <v>-0.65490774694356724</v>
      </c>
      <c r="D337" s="5">
        <v>-126704282202858</v>
      </c>
      <c r="E337" s="5">
        <f>[1]!nefin_factors__1[[#This Row],[SMB]]/D336-1</f>
        <v>-0.3191084473576562</v>
      </c>
      <c r="F337" s="5">
        <v>-862820938341451</v>
      </c>
      <c r="G337" s="5">
        <f>[1]!nefin_factors__1[[#This Row],[HML]]/F336-1</f>
        <v>4.05582122942028</v>
      </c>
      <c r="H337" s="5">
        <v>449109144456505</v>
      </c>
      <c r="I337" s="6">
        <f>[1]!nefin_factors__1[[#This Row],[Risk_Free]]/H336-1</f>
        <v>0</v>
      </c>
      <c r="J337">
        <v>53965</v>
      </c>
      <c r="K337">
        <v>54385</v>
      </c>
      <c r="L337">
        <v>53510</v>
      </c>
      <c r="M337">
        <v>53761</v>
      </c>
      <c r="N337">
        <v>2688000</v>
      </c>
      <c r="O337">
        <v>53761</v>
      </c>
      <c r="P337">
        <v>-3.5955889166898701E-3</v>
      </c>
      <c r="Q337">
        <v>-3.6020685833266898E-3</v>
      </c>
      <c r="R337" s="8">
        <v>13.5167093276978</v>
      </c>
      <c r="S337" s="8">
        <v>4.1269828569142401E-2</v>
      </c>
      <c r="T337" s="9">
        <v>4.0440957361193103E-2</v>
      </c>
      <c r="U337" s="12">
        <v>4.7279000000000002E-2</v>
      </c>
      <c r="V337" s="16">
        <v>3.0466000000000002</v>
      </c>
      <c r="W337" s="17">
        <f t="shared" si="5"/>
        <v>-1.1934877083738749E-2</v>
      </c>
    </row>
    <row r="338" spans="1:23" x14ac:dyDescent="0.2">
      <c r="A338" s="14">
        <v>42023</v>
      </c>
      <c r="B338" s="3">
        <v>-236089369363028</v>
      </c>
      <c r="C338" s="3">
        <f>[1]!nefin_factors__1[[#This Row],[Rm_minus_Rf]]/B337-1</f>
        <v>-2.2555435035642946</v>
      </c>
      <c r="D338" s="3">
        <v>775766629761305</v>
      </c>
      <c r="E338" s="3">
        <f>[1]!nefin_factors__1[[#This Row],[SMB]]/D337-1</f>
        <v>-7.1226551800299491</v>
      </c>
      <c r="F338" s="3">
        <v>-615042170899754</v>
      </c>
      <c r="G338" s="3">
        <f>[1]!nefin_factors__1[[#This Row],[HML]]/F337-1</f>
        <v>-0.28717287264491664</v>
      </c>
      <c r="H338" s="3">
        <v>44981814303946</v>
      </c>
      <c r="I338" s="4">
        <f>[1]!nefin_factors__1[[#This Row],[Risk_Free]]/H337-1</f>
        <v>-0.89984213223184017</v>
      </c>
      <c r="J338">
        <v>53762</v>
      </c>
      <c r="K338">
        <v>54848</v>
      </c>
      <c r="L338">
        <v>53762</v>
      </c>
      <c r="M338">
        <v>54617</v>
      </c>
      <c r="N338">
        <v>3700600</v>
      </c>
      <c r="O338">
        <v>54617</v>
      </c>
      <c r="P338">
        <v>1.5922322873458399E-2</v>
      </c>
      <c r="Q338">
        <v>1.5796892368838199E-2</v>
      </c>
      <c r="R338" s="8">
        <v>14.1760606765747</v>
      </c>
      <c r="S338" s="8">
        <v>4.8780461565770303E-2</v>
      </c>
      <c r="T338" s="9">
        <v>4.7628023970570199E-2</v>
      </c>
      <c r="U338" s="12">
        <v>4.7279000000000002E-2</v>
      </c>
      <c r="V338" s="16">
        <v>3.0796000000000001</v>
      </c>
      <c r="W338" s="17">
        <f t="shared" si="5"/>
        <v>1.0831746865358038E-2</v>
      </c>
    </row>
    <row r="339" spans="1:23" x14ac:dyDescent="0.2">
      <c r="A339" s="15">
        <v>42024</v>
      </c>
      <c r="B339" s="5">
        <v>346411448843989</v>
      </c>
      <c r="C339" s="5">
        <f>[1]!nefin_factors__1[[#This Row],[Rm_minus_Rf]]/B338-1</f>
        <v>-2.467289483548587</v>
      </c>
      <c r="D339" s="5">
        <v>-942687555131934</v>
      </c>
      <c r="E339" s="5">
        <f>[1]!nefin_factors__1[[#This Row],[SMB]]/D338-1</f>
        <v>-2.2151689940852299</v>
      </c>
      <c r="F339" s="5">
        <v>-140525717062824</v>
      </c>
      <c r="G339" s="5">
        <f>[1]!nefin_factors__1[[#This Row],[HML]]/F338-1</f>
        <v>-0.77151856618669434</v>
      </c>
      <c r="H339" s="5">
        <v>450527015529056</v>
      </c>
      <c r="I339" s="6">
        <f>[1]!nefin_factors__1[[#This Row],[Risk_Free]]/H338-1</f>
        <v>9.0157590906584186</v>
      </c>
      <c r="J339">
        <v>54616</v>
      </c>
      <c r="K339">
        <v>55782</v>
      </c>
      <c r="L339">
        <v>54064</v>
      </c>
      <c r="M339">
        <v>55685</v>
      </c>
      <c r="N339">
        <v>5535100</v>
      </c>
      <c r="O339">
        <v>55685</v>
      </c>
      <c r="P339">
        <v>1.9554351209330401E-2</v>
      </c>
      <c r="Q339">
        <v>1.9365621243854901E-2</v>
      </c>
      <c r="R339" s="8">
        <v>14.415076255798301</v>
      </c>
      <c r="S339" s="8">
        <v>1.6860516915761799E-2</v>
      </c>
      <c r="T339" s="9">
        <v>1.6719956151702599E-2</v>
      </c>
      <c r="U339" s="12">
        <v>4.7279000000000002E-2</v>
      </c>
      <c r="V339" s="16">
        <v>3.1011000000000002</v>
      </c>
      <c r="W339" s="17">
        <f t="shared" si="5"/>
        <v>6.9814261592415772E-3</v>
      </c>
    </row>
    <row r="340" spans="1:23" x14ac:dyDescent="0.2">
      <c r="A340" s="14">
        <v>42025</v>
      </c>
      <c r="B340" s="3">
        <v>235944441751358</v>
      </c>
      <c r="C340" s="3">
        <f>[1]!nefin_factors__1[[#This Row],[Rm_minus_Rf]]/B339-1</f>
        <v>-0.31888959634928604</v>
      </c>
      <c r="D340" s="3">
        <v>264726697013858</v>
      </c>
      <c r="E340" s="3">
        <f>[1]!nefin_factors__1[[#This Row],[SMB]]/D339-1</f>
        <v>-1.2808212493871398</v>
      </c>
      <c r="F340" s="3">
        <v>100615008052214</v>
      </c>
      <c r="G340" s="3">
        <f>[1]!nefin_factors__1[[#This Row],[HML]]/F339-1</f>
        <v>-1.7159899992343228</v>
      </c>
      <c r="H340" s="3">
        <v>450881404503001</v>
      </c>
      <c r="I340" s="4">
        <f>[1]!nefin_factors__1[[#This Row],[Risk_Free]]/H339-1</f>
        <v>7.8660981856737422E-4</v>
      </c>
      <c r="J340">
        <v>55687</v>
      </c>
      <c r="K340">
        <v>56965</v>
      </c>
      <c r="L340">
        <v>55687</v>
      </c>
      <c r="M340">
        <v>56594</v>
      </c>
      <c r="N340">
        <v>4982000</v>
      </c>
      <c r="O340">
        <v>56594</v>
      </c>
      <c r="P340">
        <v>1.63239651611744E-2</v>
      </c>
      <c r="Q340">
        <v>1.6192161677789599E-2</v>
      </c>
      <c r="R340" s="8">
        <v>15.1568460464478</v>
      </c>
      <c r="S340" s="8">
        <v>5.1457964986590103E-2</v>
      </c>
      <c r="T340" s="9">
        <v>5.0177739124351903E-2</v>
      </c>
      <c r="U340" s="12">
        <v>4.7279000000000002E-2</v>
      </c>
      <c r="V340" s="16">
        <v>3.0880000000000001</v>
      </c>
      <c r="W340" s="17">
        <f t="shared" si="5"/>
        <v>-4.2243075037889932E-3</v>
      </c>
    </row>
    <row r="341" spans="1:23" x14ac:dyDescent="0.2">
      <c r="A341" s="15">
        <v>42026</v>
      </c>
      <c r="B341" s="5">
        <v>459676520146983</v>
      </c>
      <c r="C341" s="5">
        <f>[1]!nefin_factors__1[[#This Row],[Rm_minus_Rf]]/B340-1</f>
        <v>0.94824051261778575</v>
      </c>
      <c r="D341" s="5">
        <v>130323698021778</v>
      </c>
      <c r="E341" s="5">
        <f>[1]!nefin_factors__1[[#This Row],[SMB]]/D340-1</f>
        <v>-0.5077047404291235</v>
      </c>
      <c r="F341" s="5">
        <v>264907258868035</v>
      </c>
      <c r="G341" s="5">
        <f>[1]!nefin_factors__1[[#This Row],[HML]]/F340-1</f>
        <v>1.6328801636686427</v>
      </c>
      <c r="H341" s="5">
        <v>453007076906653</v>
      </c>
      <c r="I341" s="6">
        <f>[1]!nefin_factors__1[[#This Row],[Risk_Free]]/H340-1</f>
        <v>4.714482306040324E-3</v>
      </c>
      <c r="J341">
        <v>56554</v>
      </c>
      <c r="K341">
        <v>56962</v>
      </c>
      <c r="L341">
        <v>55515</v>
      </c>
      <c r="M341">
        <v>55535</v>
      </c>
      <c r="N341">
        <v>3854300</v>
      </c>
      <c r="O341">
        <v>55535</v>
      </c>
      <c r="P341">
        <v>-1.8712230978548999E-2</v>
      </c>
      <c r="Q341">
        <v>-1.88895199037699E-2</v>
      </c>
      <c r="R341" s="8">
        <v>15.041460037231399</v>
      </c>
      <c r="S341" s="8">
        <v>-7.6128939502327899E-3</v>
      </c>
      <c r="T341" s="9">
        <v>-7.6420199436095099E-3</v>
      </c>
      <c r="U341" s="12">
        <v>4.7279000000000002E-2</v>
      </c>
      <c r="V341" s="16">
        <v>3.0680999999999998</v>
      </c>
      <c r="W341" s="17">
        <f t="shared" si="5"/>
        <v>-6.4443005181348267E-3</v>
      </c>
    </row>
    <row r="342" spans="1:23" x14ac:dyDescent="0.2">
      <c r="A342" s="14">
        <v>42027</v>
      </c>
      <c r="B342" s="3">
        <v>-115780333495354</v>
      </c>
      <c r="C342" s="3">
        <f>[1]!nefin_factors__1[[#This Row],[Rm_minus_Rf]]/B341-1</f>
        <v>-1.2518734989081732</v>
      </c>
      <c r="D342" s="3">
        <v>712667899626114</v>
      </c>
      <c r="E342" s="3">
        <f>[1]!nefin_factors__1[[#This Row],[SMB]]/D341-1</f>
        <v>4.4684444229553879</v>
      </c>
      <c r="F342" s="3">
        <v>-633132216804345</v>
      </c>
      <c r="G342" s="3">
        <f>[1]!nefin_factors__1[[#This Row],[HML]]/F341-1</f>
        <v>-3.3900146017506576</v>
      </c>
      <c r="H342" s="3">
        <v>453007076906653</v>
      </c>
      <c r="I342" s="4">
        <f>[1]!nefin_factors__1[[#This Row],[Risk_Free]]/H341-1</f>
        <v>0</v>
      </c>
      <c r="J342">
        <v>55549</v>
      </c>
      <c r="K342">
        <v>56018</v>
      </c>
      <c r="L342">
        <v>54973</v>
      </c>
      <c r="M342">
        <v>55812</v>
      </c>
      <c r="N342">
        <v>4082600</v>
      </c>
      <c r="O342">
        <v>55812</v>
      </c>
      <c r="P342">
        <v>4.9878455028360396E-3</v>
      </c>
      <c r="Q342">
        <v>4.9754474108769202E-3</v>
      </c>
      <c r="R342" s="8">
        <v>14.670574188232401</v>
      </c>
      <c r="S342" s="8">
        <v>-2.46575652733667E-2</v>
      </c>
      <c r="T342" s="9">
        <v>-2.49666545416381E-2</v>
      </c>
      <c r="U342" s="12">
        <v>4.7279000000000002E-2</v>
      </c>
      <c r="V342" s="16">
        <v>3.0249000000000001</v>
      </c>
      <c r="W342" s="17">
        <f t="shared" si="5"/>
        <v>-1.4080375476679285E-2</v>
      </c>
    </row>
    <row r="343" spans="1:23" x14ac:dyDescent="0.2">
      <c r="A343" s="15">
        <v>42030</v>
      </c>
      <c r="B343" s="5">
        <v>-573510216755516</v>
      </c>
      <c r="C343" s="5">
        <f>[1]!nefin_factors__1[[#This Row],[Rm_minus_Rf]]/B342-1</f>
        <v>3.9534337952008896</v>
      </c>
      <c r="D343" s="5">
        <v>-179599142342121</v>
      </c>
      <c r="E343" s="5">
        <f>[1]!nefin_factors__1[[#This Row],[SMB]]/D342-1</f>
        <v>-1.2520095860026021</v>
      </c>
      <c r="F343" s="5">
        <v>-111061949957853</v>
      </c>
      <c r="G343" s="5">
        <f>[1]!nefin_factors__1[[#This Row],[HML]]/F342-1</f>
        <v>-0.82458332239287369</v>
      </c>
      <c r="H343" s="5">
        <v>453007076906653</v>
      </c>
      <c r="I343" s="6">
        <f>[1]!nefin_factors__1[[#This Row],[Risk_Free]]/H342-1</f>
        <v>0</v>
      </c>
      <c r="J343">
        <v>55809</v>
      </c>
      <c r="K343">
        <v>55809</v>
      </c>
      <c r="L343">
        <v>55067</v>
      </c>
      <c r="M343">
        <v>55325</v>
      </c>
      <c r="N343">
        <v>3888400</v>
      </c>
      <c r="O343">
        <v>55325</v>
      </c>
      <c r="P343">
        <v>-8.7257220669389995E-3</v>
      </c>
      <c r="Q343">
        <v>-8.7640140928469095E-3</v>
      </c>
      <c r="R343" s="8">
        <v>14.299689292907701</v>
      </c>
      <c r="S343" s="8">
        <v>-2.5280860692530101E-2</v>
      </c>
      <c r="T343" s="9">
        <v>-2.5605911730937798E-2</v>
      </c>
      <c r="U343" s="12">
        <v>4.7279000000000002E-2</v>
      </c>
      <c r="V343" s="16">
        <v>3.0543999999999998</v>
      </c>
      <c r="W343" s="17">
        <f t="shared" si="5"/>
        <v>9.752388508710963E-3</v>
      </c>
    </row>
    <row r="344" spans="1:23" x14ac:dyDescent="0.2">
      <c r="A344" s="14">
        <v>42031</v>
      </c>
      <c r="B344" s="3">
        <v>-155720506219374</v>
      </c>
      <c r="C344" s="3">
        <f>[1]!nefin_factors__1[[#This Row],[Rm_minus_Rf]]/B343-1</f>
        <v>-0.72847823513882282</v>
      </c>
      <c r="D344" s="3">
        <v>-116468440298241</v>
      </c>
      <c r="E344" s="3">
        <f>[1]!nefin_factors__1[[#This Row],[SMB]]/D343-1</f>
        <v>-0.3515089282755115</v>
      </c>
      <c r="F344" s="3">
        <v>-624263226652985</v>
      </c>
      <c r="G344" s="3">
        <f>[1]!nefin_factors__1[[#This Row],[HML]]/F343-1</f>
        <v>4.6208559897416466</v>
      </c>
      <c r="H344" s="3">
        <v>453007076906653</v>
      </c>
      <c r="I344" s="4">
        <f>[1]!nefin_factors__1[[#This Row],[Risk_Free]]/H343-1</f>
        <v>0</v>
      </c>
      <c r="J344">
        <v>55312</v>
      </c>
      <c r="K344">
        <v>56229</v>
      </c>
      <c r="L344">
        <v>55080</v>
      </c>
      <c r="M344">
        <v>56229</v>
      </c>
      <c r="N344">
        <v>4947500</v>
      </c>
      <c r="O344">
        <v>56229</v>
      </c>
      <c r="P344">
        <v>1.63398102123813E-2</v>
      </c>
      <c r="Q344">
        <v>1.6207752107844201E-2</v>
      </c>
      <c r="R344" s="8">
        <v>14.291446685791</v>
      </c>
      <c r="S344" s="8">
        <v>-5.7629050503649204E-4</v>
      </c>
      <c r="T344" s="9">
        <v>-5.7645662423460003E-4</v>
      </c>
      <c r="U344" s="12">
        <v>4.7279000000000002E-2</v>
      </c>
      <c r="V344" s="16">
        <v>3.0472999999999999</v>
      </c>
      <c r="W344" s="17">
        <f t="shared" si="5"/>
        <v>-2.3245154531167378E-3</v>
      </c>
    </row>
    <row r="345" spans="1:23" x14ac:dyDescent="0.2">
      <c r="A345" s="15">
        <v>42032</v>
      </c>
      <c r="B345" s="5">
        <v>-146772512872821</v>
      </c>
      <c r="C345" s="5">
        <f>[1]!nefin_factors__1[[#This Row],[Rm_minus_Rf]]/B344-1</f>
        <v>-5.7461881956300309E-2</v>
      </c>
      <c r="D345" s="5">
        <v>-51345523785015</v>
      </c>
      <c r="E345" s="5">
        <f>[1]!nefin_factors__1[[#This Row],[SMB]]/D344-1</f>
        <v>-0.55914646359533626</v>
      </c>
      <c r="F345" s="5">
        <v>-131287137480707</v>
      </c>
      <c r="G345" s="5">
        <f>[1]!nefin_factors__1[[#This Row],[HML]]/F344-1</f>
        <v>-0.78969266188462073</v>
      </c>
      <c r="H345" s="5">
        <v>452652876887338</v>
      </c>
      <c r="I345" s="6">
        <f>[1]!nefin_factors__1[[#This Row],[Risk_Free]]/H344-1</f>
        <v>-7.8188628251385506E-4</v>
      </c>
      <c r="J345">
        <v>56230</v>
      </c>
      <c r="K345">
        <v>57520</v>
      </c>
      <c r="L345">
        <v>56230</v>
      </c>
      <c r="M345">
        <v>57354</v>
      </c>
      <c r="N345">
        <v>3492600</v>
      </c>
      <c r="O345">
        <v>57354</v>
      </c>
      <c r="P345">
        <v>2.0007469455263199E-2</v>
      </c>
      <c r="Q345">
        <v>1.9809950264722799E-2</v>
      </c>
      <c r="R345" s="8">
        <v>14.5057363510132</v>
      </c>
      <c r="S345" s="8">
        <v>1.4994155280292101E-2</v>
      </c>
      <c r="T345" s="9">
        <v>1.4882854132631599E-2</v>
      </c>
      <c r="U345" s="12">
        <v>4.7279000000000002E-2</v>
      </c>
      <c r="V345" s="16">
        <v>3.0186000000000002</v>
      </c>
      <c r="W345" s="17">
        <f t="shared" si="5"/>
        <v>-9.418173465034485E-3</v>
      </c>
    </row>
    <row r="346" spans="1:23" x14ac:dyDescent="0.2">
      <c r="A346" s="14">
        <v>42033</v>
      </c>
      <c r="B346" s="3">
        <v>366488812888677</v>
      </c>
      <c r="C346" s="3">
        <f>[1]!nefin_factors__1[[#This Row],[Rm_minus_Rf]]/B345-1</f>
        <v>-3.4969853395249908</v>
      </c>
      <c r="D346" s="3">
        <v>-778266767242825</v>
      </c>
      <c r="E346" s="3">
        <f>[1]!nefin_factors__1[[#This Row],[SMB]]/D345-1</f>
        <v>14.157441386739913</v>
      </c>
      <c r="F346" s="3">
        <v>-118595946085964</v>
      </c>
      <c r="G346" s="3">
        <f>[1]!nefin_factors__1[[#This Row],[HML]]/F345-1</f>
        <v>-9.6667439311090231E-2</v>
      </c>
      <c r="H346" s="3">
        <v>453007076906653</v>
      </c>
      <c r="I346" s="4">
        <f>[1]!nefin_factors__1[[#This Row],[Risk_Free]]/H345-1</f>
        <v>7.8249810704988931E-4</v>
      </c>
      <c r="J346">
        <v>57350</v>
      </c>
      <c r="K346">
        <v>58147</v>
      </c>
      <c r="L346">
        <v>57096</v>
      </c>
      <c r="M346">
        <v>58052</v>
      </c>
      <c r="N346">
        <v>3903800</v>
      </c>
      <c r="O346">
        <v>58052</v>
      </c>
      <c r="P346">
        <v>1.21700317327476E-2</v>
      </c>
      <c r="Q346">
        <v>1.2096572298435899E-2</v>
      </c>
      <c r="R346" s="8">
        <v>14.382107734680201</v>
      </c>
      <c r="S346" s="8">
        <v>-8.5227140504344802E-3</v>
      </c>
      <c r="T346" s="9">
        <v>-8.5592400597185401E-3</v>
      </c>
      <c r="U346" s="12">
        <v>4.7279000000000002E-2</v>
      </c>
      <c r="V346" s="16">
        <v>3.0084</v>
      </c>
      <c r="W346" s="17">
        <f t="shared" si="5"/>
        <v>-3.3790498906778321E-3</v>
      </c>
    </row>
    <row r="347" spans="1:23" x14ac:dyDescent="0.2">
      <c r="A347" s="15">
        <v>42034</v>
      </c>
      <c r="B347" s="5">
        <v>-184292091311168</v>
      </c>
      <c r="C347" s="5">
        <f>[1]!nefin_factors__1[[#This Row],[Rm_minus_Rf]]/B346-1</f>
        <v>-1.5028587089973406</v>
      </c>
      <c r="D347" s="5">
        <v>-132083861252488</v>
      </c>
      <c r="E347" s="5">
        <f>[1]!nefin_factors__1[[#This Row],[SMB]]/D346-1</f>
        <v>-0.83028459287755141</v>
      </c>
      <c r="F347" s="5">
        <v>-765803993690549</v>
      </c>
      <c r="G347" s="5">
        <f>[1]!nefin_factors__1[[#This Row],[HML]]/F346-1</f>
        <v>5.4572527052101574</v>
      </c>
      <c r="H347" s="5">
        <v>453007076906653</v>
      </c>
      <c r="I347" s="6">
        <f>[1]!nefin_factors__1[[#This Row],[Risk_Free]]/H346-1</f>
        <v>0</v>
      </c>
      <c r="J347">
        <v>58050</v>
      </c>
      <c r="K347">
        <v>58575</v>
      </c>
      <c r="L347">
        <v>56820</v>
      </c>
      <c r="M347">
        <v>57103</v>
      </c>
      <c r="N347">
        <v>4598400</v>
      </c>
      <c r="O347">
        <v>57103</v>
      </c>
      <c r="P347">
        <v>-1.6347412664507701E-2</v>
      </c>
      <c r="Q347">
        <v>-1.6482505921744599E-2</v>
      </c>
      <c r="R347" s="8">
        <v>14.340899467468301</v>
      </c>
      <c r="S347" s="8">
        <v>-2.86522873695727E-3</v>
      </c>
      <c r="T347" s="9">
        <v>-2.8693413624352E-3</v>
      </c>
      <c r="U347" s="12">
        <v>4.7279000000000002E-2</v>
      </c>
      <c r="V347" s="16">
        <v>2.9744999999999999</v>
      </c>
      <c r="W347" s="17">
        <f t="shared" si="5"/>
        <v>-1.1268448344635029E-2</v>
      </c>
    </row>
    <row r="348" spans="1:23" x14ac:dyDescent="0.2">
      <c r="A348" s="14">
        <v>42037</v>
      </c>
      <c r="B348" s="3">
        <v>114696486487597</v>
      </c>
      <c r="C348" s="3">
        <f>[1]!nefin_factors__1[[#This Row],[Rm_minus_Rf]]/B347-1</f>
        <v>-1.6223624989633314</v>
      </c>
      <c r="D348" s="3">
        <v>14262257485077</v>
      </c>
      <c r="E348" s="3">
        <f>[1]!nefin_factors__1[[#This Row],[SMB]]/D347-1</f>
        <v>-1.1079788049034518</v>
      </c>
      <c r="F348" s="3">
        <v>396938624812527</v>
      </c>
      <c r="G348" s="3">
        <f>[1]!nefin_factors__1[[#This Row],[HML]]/F347-1</f>
        <v>-1.5183292697386017</v>
      </c>
      <c r="H348" s="3">
        <v>454423562311179</v>
      </c>
      <c r="I348" s="4">
        <f>[1]!nefin_factors__1[[#This Row],[Risk_Free]]/H347-1</f>
        <v>3.126850499110212E-3</v>
      </c>
      <c r="J348">
        <v>57103</v>
      </c>
      <c r="K348">
        <v>57290</v>
      </c>
      <c r="L348">
        <v>56507</v>
      </c>
      <c r="M348">
        <v>56921</v>
      </c>
      <c r="N348">
        <v>3065100</v>
      </c>
      <c r="O348">
        <v>56921</v>
      </c>
      <c r="P348">
        <v>-3.1872230881039298E-3</v>
      </c>
      <c r="Q348">
        <v>-3.1923131018275798E-3</v>
      </c>
      <c r="R348" s="8">
        <v>14.299689292907701</v>
      </c>
      <c r="S348" s="8">
        <v>-2.8736791429356799E-3</v>
      </c>
      <c r="T348" s="9">
        <v>-2.8778160862432799E-3</v>
      </c>
      <c r="U348" s="12">
        <v>4.7314000000000002E-2</v>
      </c>
      <c r="V348" s="16">
        <v>2.9236</v>
      </c>
      <c r="W348" s="17">
        <f t="shared" si="5"/>
        <v>-1.711211968398052E-2</v>
      </c>
    </row>
    <row r="349" spans="1:23" x14ac:dyDescent="0.2">
      <c r="A349" s="15">
        <v>42038</v>
      </c>
      <c r="B349" s="5">
        <v>233494834388736</v>
      </c>
      <c r="C349" s="5">
        <f>[1]!nefin_factors__1[[#This Row],[Rm_minus_Rf]]/B348-1</f>
        <v>1.0357627468735546</v>
      </c>
      <c r="D349" s="5">
        <v>604503943642444</v>
      </c>
      <c r="E349" s="5">
        <f>[1]!nefin_factors__1[[#This Row],[SMB]]/D348-1</f>
        <v>41.384870997803361</v>
      </c>
      <c r="F349" s="5">
        <v>175648712241234</v>
      </c>
      <c r="G349" s="5">
        <f>[1]!nefin_factors__1[[#This Row],[HML]]/F348-1</f>
        <v>-0.55749150810357051</v>
      </c>
      <c r="H349" s="5">
        <v>454777605022327</v>
      </c>
      <c r="I349" s="6">
        <f>[1]!nefin_factors__1[[#This Row],[Risk_Free]]/H348-1</f>
        <v>7.7910289102822716E-4</v>
      </c>
      <c r="J349">
        <v>56965</v>
      </c>
      <c r="K349">
        <v>57621</v>
      </c>
      <c r="L349">
        <v>56595</v>
      </c>
      <c r="M349">
        <v>57149</v>
      </c>
      <c r="N349">
        <v>3410900</v>
      </c>
      <c r="O349">
        <v>57149</v>
      </c>
      <c r="P349">
        <v>4.0055515539081403E-3</v>
      </c>
      <c r="Q349">
        <v>3.9975506904136602E-3</v>
      </c>
      <c r="R349" s="8">
        <v>14.23375415802</v>
      </c>
      <c r="S349" s="8">
        <v>-4.6109051247436002E-3</v>
      </c>
      <c r="T349" s="9">
        <v>-4.6215681378316198E-3</v>
      </c>
      <c r="U349" s="12">
        <v>4.7350000000000003E-2</v>
      </c>
      <c r="V349" s="16">
        <v>2.8942999999999999</v>
      </c>
      <c r="W349" s="17">
        <f t="shared" si="5"/>
        <v>-1.0021890819537638E-2</v>
      </c>
    </row>
    <row r="350" spans="1:23" x14ac:dyDescent="0.2">
      <c r="A350" s="14">
        <v>42039</v>
      </c>
      <c r="B350" s="3">
        <v>498260225686758</v>
      </c>
      <c r="C350" s="3">
        <f>[1]!nefin_factors__1[[#This Row],[Rm_minus_Rf]]/B349-1</f>
        <v>1.133923977338295</v>
      </c>
      <c r="D350" s="3">
        <v>221732329970911</v>
      </c>
      <c r="E350" s="3">
        <f>[1]!nefin_factors__1[[#This Row],[SMB]]/D349-1</f>
        <v>-0.63319953111494887</v>
      </c>
      <c r="F350" s="3">
        <v>368689801338179</v>
      </c>
      <c r="G350" s="3">
        <f>[1]!nefin_factors__1[[#This Row],[HML]]/F349-1</f>
        <v>1.0990179582519484</v>
      </c>
      <c r="H350" s="3">
        <v>455485596115857</v>
      </c>
      <c r="I350" s="4">
        <f>[1]!nefin_factors__1[[#This Row],[Risk_Free]]/H349-1</f>
        <v>1.5567853071727367E-3</v>
      </c>
      <c r="J350">
        <v>57166</v>
      </c>
      <c r="K350">
        <v>57490</v>
      </c>
      <c r="L350">
        <v>57013</v>
      </c>
      <c r="M350">
        <v>57197</v>
      </c>
      <c r="N350">
        <v>2966300</v>
      </c>
      <c r="O350">
        <v>57197</v>
      </c>
      <c r="P350">
        <v>8.3990970970626599E-4</v>
      </c>
      <c r="Q350">
        <v>8.3955718292600399E-4</v>
      </c>
      <c r="R350" s="8">
        <v>13.9782552719116</v>
      </c>
      <c r="S350" s="8">
        <v>-1.7950242128471301E-2</v>
      </c>
      <c r="T350" s="9">
        <v>-1.8113301981075101E-2</v>
      </c>
      <c r="U350" s="12">
        <v>4.7350000000000003E-2</v>
      </c>
      <c r="V350" s="16">
        <v>2.9375</v>
      </c>
      <c r="W350" s="17">
        <f t="shared" si="5"/>
        <v>1.4925888815948696E-2</v>
      </c>
    </row>
    <row r="351" spans="1:23" x14ac:dyDescent="0.2">
      <c r="A351" s="15">
        <v>42040</v>
      </c>
      <c r="B351" s="5">
        <v>128002768415279</v>
      </c>
      <c r="C351" s="5">
        <f>[1]!nefin_factors__1[[#This Row],[Rm_minus_Rf]]/B350-1</f>
        <v>-0.74310056910753564</v>
      </c>
      <c r="D351" s="5">
        <v>145468104126781</v>
      </c>
      <c r="E351" s="5">
        <f>[1]!nefin_factors__1[[#This Row],[SMB]]/D350-1</f>
        <v>-0.34394725322254571</v>
      </c>
      <c r="F351" s="5">
        <v>215151124974061</v>
      </c>
      <c r="G351" s="5">
        <f>[1]!nefin_factors__1[[#This Row],[HML]]/F350-1</f>
        <v>-0.41644405624142922</v>
      </c>
      <c r="H351" s="5">
        <v>456547347017944</v>
      </c>
      <c r="I351" s="6">
        <f>[1]!nefin_factors__1[[#This Row],[Risk_Free]]/H350-1</f>
        <v>2.3310306871195952E-3</v>
      </c>
      <c r="J351">
        <v>57193</v>
      </c>
      <c r="K351">
        <v>57424</v>
      </c>
      <c r="L351">
        <v>56753</v>
      </c>
      <c r="M351">
        <v>56792</v>
      </c>
      <c r="N351">
        <v>3087600</v>
      </c>
      <c r="O351">
        <v>56792</v>
      </c>
      <c r="P351">
        <v>-7.0807909505743397E-3</v>
      </c>
      <c r="Q351">
        <v>-7.1059787207989403E-3</v>
      </c>
      <c r="R351" s="8">
        <v>13.970012664794901</v>
      </c>
      <c r="S351" s="8">
        <v>-5.89691076478993E-4</v>
      </c>
      <c r="T351" s="9">
        <v>-5.8986501264426396E-4</v>
      </c>
      <c r="U351" s="12">
        <v>4.9036999999999997E-2</v>
      </c>
      <c r="V351" s="16">
        <v>2.9935999999999998</v>
      </c>
      <c r="W351" s="17">
        <f t="shared" si="5"/>
        <v>1.909787234042537E-2</v>
      </c>
    </row>
    <row r="352" spans="1:23" x14ac:dyDescent="0.2">
      <c r="A352" s="14">
        <v>42041</v>
      </c>
      <c r="B352" s="3">
        <v>-798527452795417</v>
      </c>
      <c r="C352" s="3">
        <f>[1]!nefin_factors__1[[#This Row],[Rm_minus_Rf]]/B351-1</f>
        <v>-7.2383608001723587</v>
      </c>
      <c r="D352" s="3">
        <v>-107098681022639</v>
      </c>
      <c r="E352" s="3">
        <f>[1]!nefin_factors__1[[#This Row],[SMB]]/D351-1</f>
        <v>-1.7362348032617405</v>
      </c>
      <c r="F352" s="3">
        <v>538197174874715</v>
      </c>
      <c r="G352" s="3">
        <f>[1]!nefin_factors__1[[#This Row],[HML]]/F351-1</f>
        <v>1.5014843633264805</v>
      </c>
      <c r="H352" s="3">
        <v>456547347017944</v>
      </c>
      <c r="I352" s="4">
        <f>[1]!nefin_factors__1[[#This Row],[Risk_Free]]/H351-1</f>
        <v>0</v>
      </c>
      <c r="J352">
        <v>56790</v>
      </c>
      <c r="K352">
        <v>56900</v>
      </c>
      <c r="L352">
        <v>56199</v>
      </c>
      <c r="M352">
        <v>56372</v>
      </c>
      <c r="N352">
        <v>3071700</v>
      </c>
      <c r="O352">
        <v>56372</v>
      </c>
      <c r="P352">
        <v>-7.3954078039160098E-3</v>
      </c>
      <c r="Q352">
        <v>-7.4228894078201104E-3</v>
      </c>
      <c r="R352" s="8">
        <v>14.011222839355501</v>
      </c>
      <c r="S352" s="8">
        <v>2.9498233377382999E-3</v>
      </c>
      <c r="T352" s="9">
        <v>2.9454811459131099E-3</v>
      </c>
      <c r="U352" s="12">
        <v>4.9036999999999997E-2</v>
      </c>
      <c r="V352" s="16">
        <v>3.0754000000000001</v>
      </c>
      <c r="W352" s="17">
        <f t="shared" si="5"/>
        <v>2.7324959914484248E-2</v>
      </c>
    </row>
    <row r="353" spans="1:23" x14ac:dyDescent="0.2">
      <c r="A353" s="15">
        <v>42044</v>
      </c>
      <c r="B353" s="5">
        <v>115458034774308</v>
      </c>
      <c r="C353" s="5">
        <f>[1]!nefin_factors__1[[#This Row],[Rm_minus_Rf]]/B352-1</f>
        <v>-1.1445886855487839</v>
      </c>
      <c r="D353" s="5">
        <v>-856109194652979</v>
      </c>
      <c r="E353" s="5">
        <f>[1]!nefin_factors__1[[#This Row],[SMB]]/D352-1</f>
        <v>6.9936483482183203</v>
      </c>
      <c r="F353" s="5">
        <v>770843553887259</v>
      </c>
      <c r="G353" s="5">
        <f>[1]!nefin_factors__1[[#This Row],[HML]]/F352-1</f>
        <v>0.43226978860805221</v>
      </c>
      <c r="H353" s="5">
        <v>457962575077575</v>
      </c>
      <c r="I353" s="6">
        <f>[1]!nefin_factors__1[[#This Row],[Risk_Free]]/H352-1</f>
        <v>3.0998494874079352E-3</v>
      </c>
      <c r="J353">
        <v>56376</v>
      </c>
      <c r="K353">
        <v>56921</v>
      </c>
      <c r="L353">
        <v>56105</v>
      </c>
      <c r="M353">
        <v>56657</v>
      </c>
      <c r="N353">
        <v>3209800</v>
      </c>
      <c r="O353">
        <v>56657</v>
      </c>
      <c r="P353">
        <v>5.0557014120484701E-3</v>
      </c>
      <c r="Q353">
        <v>5.0429642657653304E-3</v>
      </c>
      <c r="R353" s="8">
        <v>14.5057363510132</v>
      </c>
      <c r="S353" s="8">
        <v>3.5294214453425198E-2</v>
      </c>
      <c r="T353" s="9">
        <v>3.4685651494034998E-2</v>
      </c>
      <c r="U353" s="12">
        <v>4.9036999999999997E-2</v>
      </c>
      <c r="V353" s="16">
        <v>3.0626000000000002</v>
      </c>
      <c r="W353" s="17">
        <f t="shared" si="5"/>
        <v>-4.1620602198088053E-3</v>
      </c>
    </row>
    <row r="354" spans="1:23" x14ac:dyDescent="0.2">
      <c r="A354" s="14">
        <v>42045</v>
      </c>
      <c r="B354" s="3">
        <v>-154420358049398</v>
      </c>
      <c r="C354" s="3">
        <f>[1]!nefin_factors__1[[#This Row],[Rm_minus_Rf]]/B353-1</f>
        <v>-2.3374587429211986</v>
      </c>
      <c r="D354" s="3">
        <v>212383112645071</v>
      </c>
      <c r="E354" s="3">
        <f>[1]!nefin_factors__1[[#This Row],[SMB]]/D353-1</f>
        <v>-1.2480794669319721</v>
      </c>
      <c r="F354" s="3">
        <v>204404636801559</v>
      </c>
      <c r="G354" s="3">
        <f>[1]!nefin_factors__1[[#This Row],[HML]]/F353-1</f>
        <v>-0.73482993303793709</v>
      </c>
      <c r="H354" s="3">
        <v>459023666460334</v>
      </c>
      <c r="I354" s="4">
        <f>[1]!nefin_factors__1[[#This Row],[Risk_Free]]/H353-1</f>
        <v>2.3169827416120725E-3</v>
      </c>
      <c r="J354">
        <v>56656</v>
      </c>
      <c r="K354">
        <v>57288</v>
      </c>
      <c r="L354">
        <v>56422</v>
      </c>
      <c r="M354">
        <v>57249</v>
      </c>
      <c r="N354">
        <v>2894400</v>
      </c>
      <c r="O354">
        <v>57249</v>
      </c>
      <c r="P354">
        <v>1.0448841272923099E-2</v>
      </c>
      <c r="Q354">
        <v>1.0394629437856601E-2</v>
      </c>
      <c r="R354" s="8">
        <v>15.239265441894499</v>
      </c>
      <c r="S354" s="8">
        <v>5.0568179743298899E-2</v>
      </c>
      <c r="T354" s="9">
        <v>4.93311413799171E-2</v>
      </c>
      <c r="U354" s="12">
        <v>4.9036999999999997E-2</v>
      </c>
      <c r="V354" s="16">
        <v>3.0419999999999998</v>
      </c>
      <c r="W354" s="17">
        <f t="shared" si="5"/>
        <v>-6.7263109776009022E-3</v>
      </c>
    </row>
    <row r="355" spans="1:23" x14ac:dyDescent="0.2">
      <c r="A355" s="15">
        <v>42046</v>
      </c>
      <c r="B355" s="5">
        <v>-570521239511379</v>
      </c>
      <c r="C355" s="5">
        <f>[1]!nefin_factors__1[[#This Row],[Rm_minus_Rf]]/B354-1</f>
        <v>2.6945986055081752</v>
      </c>
      <c r="D355" s="5">
        <v>-188030178517021</v>
      </c>
      <c r="E355" s="5">
        <f>[1]!nefin_factors__1[[#This Row],[SMB]]/D354-1</f>
        <v>-1.8853348845642546</v>
      </c>
      <c r="F355" s="5">
        <v>130829480198949</v>
      </c>
      <c r="G355" s="5">
        <f>[1]!nefin_factors__1[[#This Row],[HML]]/F354-1</f>
        <v>-0.3599485694350395</v>
      </c>
      <c r="H355" s="5">
        <v>460791524617754</v>
      </c>
      <c r="I355" s="6">
        <f>[1]!nefin_factors__1[[#This Row],[Risk_Free]]/H354-1</f>
        <v>3.8513442477867699E-3</v>
      </c>
      <c r="J355">
        <v>57250</v>
      </c>
      <c r="K355">
        <v>57606</v>
      </c>
      <c r="L355">
        <v>55926</v>
      </c>
      <c r="M355">
        <v>56204</v>
      </c>
      <c r="N355">
        <v>3778400</v>
      </c>
      <c r="O355">
        <v>56204</v>
      </c>
      <c r="P355">
        <v>-1.82535939492393E-2</v>
      </c>
      <c r="Q355">
        <v>-1.8422246288792798E-2</v>
      </c>
      <c r="R355" s="8">
        <v>15.494764328002899</v>
      </c>
      <c r="S355" s="8">
        <v>1.6765788840360299E-2</v>
      </c>
      <c r="T355" s="9">
        <v>1.6626794418692002E-2</v>
      </c>
      <c r="U355" s="12">
        <v>4.9036999999999997E-2</v>
      </c>
      <c r="V355" s="16">
        <v>3.0421</v>
      </c>
      <c r="W355" s="17">
        <f t="shared" si="5"/>
        <v>3.2873109796272004E-5</v>
      </c>
    </row>
    <row r="356" spans="1:23" x14ac:dyDescent="0.2">
      <c r="A356" s="14">
        <v>42047</v>
      </c>
      <c r="B356" s="3">
        <v>21632175765501</v>
      </c>
      <c r="C356" s="3">
        <f>[1]!nefin_factors__1[[#This Row],[Rm_minus_Rf]]/B355-1</f>
        <v>-1.0379165125982475</v>
      </c>
      <c r="D356" s="3">
        <v>-116277907299877</v>
      </c>
      <c r="E356" s="3">
        <f>[1]!nefin_factors__1[[#This Row],[SMB]]/D355-1</f>
        <v>-0.3815997611822125</v>
      </c>
      <c r="F356" s="3">
        <v>-302770492026251</v>
      </c>
      <c r="G356" s="3">
        <f>[1]!nefin_factors__1[[#This Row],[HML]]/F355-1</f>
        <v>-3.3142375217407865</v>
      </c>
      <c r="H356" s="3">
        <v>461145002177199</v>
      </c>
      <c r="I356" s="4">
        <f>[1]!nefin_factors__1[[#This Row],[Risk_Free]]/H355-1</f>
        <v>7.6710950735958683E-4</v>
      </c>
      <c r="J356">
        <v>56204</v>
      </c>
      <c r="K356">
        <v>56212</v>
      </c>
      <c r="L356">
        <v>55027</v>
      </c>
      <c r="M356">
        <v>55499</v>
      </c>
      <c r="N356">
        <v>3223000</v>
      </c>
      <c r="O356">
        <v>55499</v>
      </c>
      <c r="P356">
        <v>-1.2543591203473E-2</v>
      </c>
      <c r="Q356">
        <v>-1.26229261720494E-2</v>
      </c>
      <c r="R356" s="8">
        <v>15.4453134536743</v>
      </c>
      <c r="S356" s="8">
        <v>-3.1913236324460099E-3</v>
      </c>
      <c r="T356" s="9">
        <v>-3.1964267657684799E-3</v>
      </c>
      <c r="U356" s="12">
        <v>4.9036999999999997E-2</v>
      </c>
      <c r="V356" s="16">
        <v>2.9965999999999999</v>
      </c>
      <c r="W356" s="17">
        <f t="shared" si="5"/>
        <v>-1.495677328161471E-2</v>
      </c>
    </row>
    <row r="357" spans="1:23" x14ac:dyDescent="0.2">
      <c r="A357" s="15">
        <v>42048</v>
      </c>
      <c r="B357" s="5">
        <v>189832910799906</v>
      </c>
      <c r="C357" s="5">
        <f>[1]!nefin_factors__1[[#This Row],[Rm_minus_Rf]]/B356-1</f>
        <v>7.7754885526887954</v>
      </c>
      <c r="D357" s="5">
        <v>-592623906075487</v>
      </c>
      <c r="E357" s="5">
        <f>[1]!nefin_factors__1[[#This Row],[SMB]]/D356-1</f>
        <v>4.096616544251428</v>
      </c>
      <c r="F357" s="5">
        <v>184029189203601</v>
      </c>
      <c r="G357" s="5">
        <f>[1]!nefin_factors__1[[#This Row],[HML]]/F356-1</f>
        <v>-1.6078174526586468</v>
      </c>
      <c r="H357" s="5">
        <v>46185186326908</v>
      </c>
      <c r="I357" s="6">
        <f>[1]!nefin_factors__1[[#This Row],[Risk_Free]]/H356-1</f>
        <v>-0.89984671608961531</v>
      </c>
      <c r="J357">
        <v>55497</v>
      </c>
      <c r="K357">
        <v>55645</v>
      </c>
      <c r="L357">
        <v>54820</v>
      </c>
      <c r="M357">
        <v>54901</v>
      </c>
      <c r="N357">
        <v>3278700</v>
      </c>
      <c r="O357">
        <v>54901</v>
      </c>
      <c r="P357">
        <v>-1.07749689183589E-2</v>
      </c>
      <c r="Q357">
        <v>-1.08334392862017E-2</v>
      </c>
      <c r="R357" s="8">
        <v>15.4123449325562</v>
      </c>
      <c r="S357" s="8">
        <v>-2.1345846833360502E-3</v>
      </c>
      <c r="T357" s="9">
        <v>-2.1368661564644602E-3</v>
      </c>
      <c r="U357" s="12">
        <v>4.9036999999999997E-2</v>
      </c>
      <c r="V357" s="16">
        <v>3.0175000000000001</v>
      </c>
      <c r="W357" s="17">
        <f t="shared" si="5"/>
        <v>6.9745711806714628E-3</v>
      </c>
    </row>
    <row r="358" spans="1:23" x14ac:dyDescent="0.2">
      <c r="A358" s="14">
        <v>42053</v>
      </c>
      <c r="B358" s="3">
        <v>118541350031943</v>
      </c>
      <c r="C358" s="3">
        <f>[1]!nefin_factors__1[[#This Row],[Rm_minus_Rf]]/B357-1</f>
        <v>-0.37554900500423816</v>
      </c>
      <c r="D358" s="3">
        <v>131744852509491</v>
      </c>
      <c r="E358" s="3">
        <f>[1]!nefin_factors__1[[#This Row],[SMB]]/D357-1</f>
        <v>-1.2223076915373536</v>
      </c>
      <c r="F358" s="3">
        <v>361881126428141</v>
      </c>
      <c r="G358" s="3">
        <f>[1]!nefin_factors__1[[#This Row],[HML]]/F357-1</f>
        <v>0.9664333032939314</v>
      </c>
      <c r="H358" s="3">
        <v>463265209498909</v>
      </c>
      <c r="I358" s="4">
        <f>[1]!nefin_factors__1[[#This Row],[Risk_Free]]/H357-1</f>
        <v>9.0306017219422916</v>
      </c>
      <c r="J358">
        <v>54900</v>
      </c>
      <c r="K358">
        <v>55112</v>
      </c>
      <c r="L358">
        <v>54526</v>
      </c>
      <c r="M358">
        <v>55112</v>
      </c>
      <c r="N358">
        <v>3303700</v>
      </c>
      <c r="O358">
        <v>55112</v>
      </c>
      <c r="P358">
        <v>3.8432815431412898E-3</v>
      </c>
      <c r="Q358">
        <v>3.8359150050519802E-3</v>
      </c>
      <c r="R358" s="8">
        <v>15.6596021652222</v>
      </c>
      <c r="S358" s="8">
        <v>1.6042822913593401E-2</v>
      </c>
      <c r="T358" s="9">
        <v>1.59154968050669E-2</v>
      </c>
      <c r="U358" s="12">
        <v>4.9036999999999997E-2</v>
      </c>
      <c r="V358" s="16">
        <v>3.0388999999999999</v>
      </c>
      <c r="W358" s="17">
        <f t="shared" si="5"/>
        <v>7.0919635459816277E-3</v>
      </c>
    </row>
    <row r="359" spans="1:23" x14ac:dyDescent="0.2">
      <c r="A359" s="15">
        <v>42054</v>
      </c>
      <c r="B359" s="5">
        <v>230226319006968</v>
      </c>
      <c r="C359" s="5">
        <f>[1]!nefin_factors__1[[#This Row],[Rm_minus_Rf]]/B358-1</f>
        <v>0.94216042709931647</v>
      </c>
      <c r="D359" s="5">
        <v>-827791193158211</v>
      </c>
      <c r="E359" s="5">
        <f>[1]!nefin_factors__1[[#This Row],[SMB]]/D358-1</f>
        <v>-7.2832905983827816</v>
      </c>
      <c r="F359" s="5">
        <v>-140526815318026</v>
      </c>
      <c r="G359" s="5">
        <f>[1]!nefin_factors__1[[#This Row],[HML]]/F358-1</f>
        <v>-1.3883231399909177</v>
      </c>
      <c r="H359" s="5">
        <v>463971694726117</v>
      </c>
      <c r="I359" s="6">
        <f>[1]!nefin_factors__1[[#This Row],[Risk_Free]]/H358-1</f>
        <v>1.5250124825305633E-3</v>
      </c>
      <c r="J359">
        <v>55112</v>
      </c>
      <c r="K359">
        <v>55223</v>
      </c>
      <c r="L359">
        <v>54038</v>
      </c>
      <c r="M359">
        <v>54377</v>
      </c>
      <c r="N359">
        <v>3689100</v>
      </c>
      <c r="O359">
        <v>54377</v>
      </c>
      <c r="P359">
        <v>-1.3336478443896099E-2</v>
      </c>
      <c r="Q359">
        <v>-1.3426207949278001E-2</v>
      </c>
      <c r="R359" s="8">
        <v>15.7832298278809</v>
      </c>
      <c r="S359" s="8">
        <v>7.89465777247211E-3</v>
      </c>
      <c r="T359" s="9">
        <v>7.8636580099227006E-3</v>
      </c>
      <c r="U359" s="12">
        <v>4.9036999999999997E-2</v>
      </c>
      <c r="V359" s="16">
        <v>3.0103</v>
      </c>
      <c r="W359" s="17">
        <f t="shared" si="5"/>
        <v>-9.4113001414986019E-3</v>
      </c>
    </row>
    <row r="360" spans="1:23" x14ac:dyDescent="0.2">
      <c r="A360" s="14">
        <v>42055</v>
      </c>
      <c r="B360" s="3">
        <v>-177654347524999</v>
      </c>
      <c r="C360" s="3">
        <f>[1]!nefin_factors__1[[#This Row],[Rm_minus_Rf]]/B359-1</f>
        <v>-1.7716509054710732</v>
      </c>
      <c r="D360" s="3">
        <v>-148612186371543</v>
      </c>
      <c r="E360" s="3">
        <f>[1]!nefin_factors__1[[#This Row],[SMB]]/D359-1</f>
        <v>-0.82047140921546435</v>
      </c>
      <c r="F360" s="3">
        <v>-223747711876227</v>
      </c>
      <c r="G360" s="3">
        <f>[1]!nefin_factors__1[[#This Row],[HML]]/F359-1</f>
        <v>0.59220652207810964</v>
      </c>
      <c r="H360" s="3">
        <v>464678054754142</v>
      </c>
      <c r="I360" s="4">
        <f>[1]!nefin_factors__1[[#This Row],[Risk_Free]]/H359-1</f>
        <v>1.5224205184369843E-3</v>
      </c>
      <c r="J360">
        <v>54378</v>
      </c>
      <c r="K360">
        <v>54868</v>
      </c>
      <c r="L360">
        <v>53972</v>
      </c>
      <c r="M360">
        <v>54609</v>
      </c>
      <c r="N360">
        <v>1604600</v>
      </c>
      <c r="O360">
        <v>54609</v>
      </c>
      <c r="P360">
        <v>4.2665097375729202E-3</v>
      </c>
      <c r="Q360">
        <v>4.2574339902547303E-3</v>
      </c>
      <c r="R360" s="8">
        <v>15.6596021652222</v>
      </c>
      <c r="S360" s="8">
        <v>-7.8328203365220003E-3</v>
      </c>
      <c r="T360" s="9">
        <v>-7.8636580099226798E-3</v>
      </c>
      <c r="U360" s="12">
        <v>4.9036999999999997E-2</v>
      </c>
      <c r="V360" s="16">
        <v>3.0032000000000001</v>
      </c>
      <c r="W360" s="17">
        <f t="shared" si="5"/>
        <v>-2.3585689133972521E-3</v>
      </c>
    </row>
    <row r="361" spans="1:23" x14ac:dyDescent="0.2">
      <c r="A361" s="15">
        <v>42058</v>
      </c>
      <c r="B361" s="5">
        <v>105390741100069</v>
      </c>
      <c r="C361" s="5">
        <f>[1]!nefin_factors__1[[#This Row],[Rm_minus_Rf]]/B360-1</f>
        <v>-1.593234798744448</v>
      </c>
      <c r="D361" s="5">
        <v>-507592529729592</v>
      </c>
      <c r="E361" s="5">
        <f>[1]!nefin_factors__1[[#This Row],[SMB]]/D360-1</f>
        <v>2.4155511881143306</v>
      </c>
      <c r="F361" s="5">
        <v>-212940222004083</v>
      </c>
      <c r="G361" s="5">
        <f>[1]!nefin_factors__1[[#This Row],[HML]]/F360-1</f>
        <v>-4.8302124663167523E-2</v>
      </c>
      <c r="H361" s="5">
        <v>465384289627613</v>
      </c>
      <c r="I361" s="6">
        <f>[1]!nefin_factors__1[[#This Row],[Risk_Free]]/H360-1</f>
        <v>1.5198369413951252E-3</v>
      </c>
      <c r="J361">
        <v>54609</v>
      </c>
      <c r="K361">
        <v>54609</v>
      </c>
      <c r="L361">
        <v>53548</v>
      </c>
      <c r="M361">
        <v>53630</v>
      </c>
      <c r="N361">
        <v>3324200</v>
      </c>
      <c r="O361">
        <v>53630</v>
      </c>
      <c r="P361">
        <v>-1.7927447856580399E-2</v>
      </c>
      <c r="Q361">
        <v>-1.8090091337037598E-2</v>
      </c>
      <c r="R361" s="8">
        <v>15.5771827697754</v>
      </c>
      <c r="S361" s="8">
        <v>-5.2631715093756099E-3</v>
      </c>
      <c r="T361" s="9">
        <v>-5.2770707875177498E-3</v>
      </c>
      <c r="U361" s="12">
        <v>4.9036999999999997E-2</v>
      </c>
      <c r="V361" s="16">
        <v>2.9893999999999998</v>
      </c>
      <c r="W361" s="17">
        <f t="shared" si="5"/>
        <v>-4.5950985615343942E-3</v>
      </c>
    </row>
    <row r="362" spans="1:23" x14ac:dyDescent="0.2">
      <c r="A362" s="14">
        <v>42059</v>
      </c>
      <c r="B362" s="3">
        <v>949398727372658</v>
      </c>
      <c r="C362" s="3">
        <f>[1]!nefin_factors__1[[#This Row],[Rm_minus_Rf]]/B361-1</f>
        <v>8.008369401930663</v>
      </c>
      <c r="D362" s="3">
        <v>154762653742254</v>
      </c>
      <c r="E362" s="3">
        <f>[1]!nefin_factors__1[[#This Row],[SMB]]/D361-1</f>
        <v>-1.304895451918294</v>
      </c>
      <c r="F362" s="3">
        <v>-393883094393776</v>
      </c>
      <c r="G362" s="3">
        <f>[1]!nefin_factors__1[[#This Row],[HML]]/F361-1</f>
        <v>0.84973552993770962</v>
      </c>
      <c r="H362" s="3">
        <v>465737360145102</v>
      </c>
      <c r="I362" s="4">
        <f>[1]!nefin_factors__1[[#This Row],[Risk_Free]]/H361-1</f>
        <v>7.5866445292227525E-4</v>
      </c>
      <c r="J362">
        <v>53631</v>
      </c>
      <c r="K362">
        <v>54293</v>
      </c>
      <c r="L362">
        <v>53136</v>
      </c>
      <c r="M362">
        <v>54236</v>
      </c>
      <c r="N362">
        <v>3475600</v>
      </c>
      <c r="O362">
        <v>54236</v>
      </c>
      <c r="P362">
        <v>1.12996457206787E-2</v>
      </c>
      <c r="Q362">
        <v>1.1236281605228901E-2</v>
      </c>
      <c r="R362" s="8">
        <v>15.296957969665501</v>
      </c>
      <c r="S362" s="8">
        <v>-1.79894380988578E-2</v>
      </c>
      <c r="T362" s="9">
        <v>-1.8153215185366299E-2</v>
      </c>
      <c r="U362" s="12">
        <v>4.9036999999999997E-2</v>
      </c>
      <c r="V362" s="16">
        <v>3.0145</v>
      </c>
      <c r="W362" s="17">
        <f t="shared" si="5"/>
        <v>8.3963337124506321E-3</v>
      </c>
    </row>
    <row r="363" spans="1:23" x14ac:dyDescent="0.2">
      <c r="A363" s="15">
        <v>42060</v>
      </c>
      <c r="B363" s="5">
        <v>-267153923529045</v>
      </c>
      <c r="C363" s="5">
        <f>[1]!nefin_factors__1[[#This Row],[Rm_minus_Rf]]/B362-1</f>
        <v>-1.2813927550422992</v>
      </c>
      <c r="D363" s="5">
        <v>-584321586096124</v>
      </c>
      <c r="E363" s="5">
        <f>[1]!nefin_factors__1[[#This Row],[SMB]]/D362-1</f>
        <v>-4.7755981302134387</v>
      </c>
      <c r="F363" s="5">
        <v>-319516611330169</v>
      </c>
      <c r="G363" s="5">
        <f>[1]!nefin_factors__1[[#This Row],[HML]]/F362-1</f>
        <v>-0.18880343970604829</v>
      </c>
      <c r="H363" s="5">
        <v>466443407369788</v>
      </c>
      <c r="I363" s="6">
        <f>[1]!nefin_factors__1[[#This Row],[Risk_Free]]/H362-1</f>
        <v>1.5159772118475967E-3</v>
      </c>
      <c r="J363">
        <v>54230</v>
      </c>
      <c r="K363">
        <v>54230</v>
      </c>
      <c r="L363">
        <v>53363</v>
      </c>
      <c r="M363">
        <v>53976</v>
      </c>
      <c r="N363">
        <v>2914500</v>
      </c>
      <c r="O363">
        <v>53976</v>
      </c>
      <c r="P363">
        <v>-4.7938638542665002E-3</v>
      </c>
      <c r="Q363">
        <v>-4.80539127493846E-3</v>
      </c>
      <c r="R363" s="8">
        <v>15.7008113861084</v>
      </c>
      <c r="S363" s="8">
        <v>2.6400802253904801E-2</v>
      </c>
      <c r="T363" s="9">
        <v>2.6058315938143201E-2</v>
      </c>
      <c r="U363" s="12">
        <v>4.9036999999999997E-2</v>
      </c>
      <c r="V363" s="16">
        <v>3.0284</v>
      </c>
      <c r="W363" s="17">
        <f t="shared" si="5"/>
        <v>4.611046608061109E-3</v>
      </c>
    </row>
    <row r="364" spans="1:23" x14ac:dyDescent="0.2">
      <c r="A364" s="14">
        <v>42061</v>
      </c>
      <c r="B364" s="3">
        <v>418355521804422</v>
      </c>
      <c r="C364" s="3">
        <f>[1]!nefin_factors__1[[#This Row],[Rm_minus_Rf]]/B363-1</f>
        <v>-2.5659718422924014</v>
      </c>
      <c r="D364" s="3">
        <v>104891613074621</v>
      </c>
      <c r="E364" s="3">
        <f>[1]!nefin_factors__1[[#This Row],[SMB]]/D363-1</f>
        <v>-1.1795100772768059</v>
      </c>
      <c r="F364" s="3">
        <v>161666846823772</v>
      </c>
      <c r="G364" s="3">
        <f>[1]!nefin_factors__1[[#This Row],[HML]]/F363-1</f>
        <v>-1.5059732141961013</v>
      </c>
      <c r="H364" s="3">
        <v>466796384087864</v>
      </c>
      <c r="I364" s="4">
        <f>[1]!nefin_factors__1[[#This Row],[Risk_Free]]/H363-1</f>
        <v>7.5674071602027659E-4</v>
      </c>
      <c r="J364">
        <v>53974</v>
      </c>
      <c r="K364">
        <v>53974</v>
      </c>
      <c r="L364">
        <v>52760</v>
      </c>
      <c r="M364">
        <v>52760</v>
      </c>
      <c r="N364">
        <v>5553300</v>
      </c>
      <c r="O364">
        <v>52760</v>
      </c>
      <c r="P364">
        <v>-2.2528531199051401E-2</v>
      </c>
      <c r="Q364">
        <v>-2.27861754760104E-2</v>
      </c>
      <c r="R364" s="8">
        <v>16.071697235107401</v>
      </c>
      <c r="S364" s="8">
        <v>2.3622143609640701E-2</v>
      </c>
      <c r="T364" s="9">
        <v>2.3347458138712598E-2</v>
      </c>
      <c r="U364" s="12">
        <v>4.9036999999999997E-2</v>
      </c>
      <c r="V364" s="16">
        <v>3.0347</v>
      </c>
      <c r="W364" s="17">
        <f t="shared" si="5"/>
        <v>2.0803064324395049E-3</v>
      </c>
    </row>
    <row r="365" spans="1:23" x14ac:dyDescent="0.2">
      <c r="A365" s="15">
        <v>42062</v>
      </c>
      <c r="B365" s="5">
        <v>-391414829451697</v>
      </c>
      <c r="C365" s="5">
        <f>[1]!nefin_factors__1[[#This Row],[Rm_minus_Rf]]/B364-1</f>
        <v>-1.9356033542080997</v>
      </c>
      <c r="D365" s="5">
        <v>-104728182345587</v>
      </c>
      <c r="E365" s="5">
        <f>[1]!nefin_factors__1[[#This Row],[SMB]]/D364-1</f>
        <v>-1.9984419085163869</v>
      </c>
      <c r="F365" s="5">
        <v>274757458913373</v>
      </c>
      <c r="G365" s="5">
        <f>[1]!nefin_factors__1[[#This Row],[HML]]/F364-1</f>
        <v>0.69952877978054184</v>
      </c>
      <c r="H365" s="5">
        <v>466796384087864</v>
      </c>
      <c r="I365" s="6">
        <f>[1]!nefin_factors__1[[#This Row],[Risk_Free]]/H364-1</f>
        <v>0</v>
      </c>
      <c r="J365">
        <v>52753</v>
      </c>
      <c r="K365">
        <v>53233</v>
      </c>
      <c r="L365">
        <v>52666</v>
      </c>
      <c r="M365">
        <v>53031</v>
      </c>
      <c r="N365">
        <v>2675400</v>
      </c>
      <c r="O365">
        <v>53031</v>
      </c>
      <c r="P365">
        <v>5.1364670204701E-3</v>
      </c>
      <c r="Q365">
        <v>5.1233203727419699E-3</v>
      </c>
      <c r="R365" s="8">
        <v>15.7008113861084</v>
      </c>
      <c r="S365" s="8">
        <v>-2.30770150461388E-2</v>
      </c>
      <c r="T365" s="9">
        <v>-2.3347458138712501E-2</v>
      </c>
      <c r="U365" s="12">
        <v>4.9036999999999997E-2</v>
      </c>
      <c r="V365" s="16">
        <v>3.0295000000000001</v>
      </c>
      <c r="W365" s="17">
        <f t="shared" si="5"/>
        <v>-1.713513691633417E-3</v>
      </c>
    </row>
    <row r="366" spans="1:23" x14ac:dyDescent="0.2">
      <c r="A366" s="14">
        <v>42065</v>
      </c>
      <c r="B366" s="3">
        <v>-889330038091758</v>
      </c>
      <c r="C366" s="3">
        <f>[1]!nefin_factors__1[[#This Row],[Rm_minus_Rf]]/B365-1</f>
        <v>1.2720908130577278</v>
      </c>
      <c r="D366" s="3">
        <v>875293654566857</v>
      </c>
      <c r="E366" s="3">
        <f>[1]!nefin_factors__1[[#This Row],[SMB]]/D365-1</f>
        <v>-9.3577661233393865</v>
      </c>
      <c r="F366" s="3">
        <v>-725397139751567</v>
      </c>
      <c r="G366" s="3">
        <f>[1]!nefin_factors__1[[#This Row],[HML]]/F365-1</f>
        <v>-3.6401362955546697</v>
      </c>
      <c r="H366" s="3">
        <v>468207978462143</v>
      </c>
      <c r="I366" s="4">
        <f>[1]!nefin_factors__1[[#This Row],[Risk_Free]]/H365-1</f>
        <v>3.0240045175955466E-3</v>
      </c>
      <c r="J366">
        <v>53035</v>
      </c>
      <c r="K366">
        <v>54236</v>
      </c>
      <c r="L366">
        <v>53035</v>
      </c>
      <c r="M366">
        <v>54236</v>
      </c>
      <c r="N366">
        <v>3476000</v>
      </c>
      <c r="O366">
        <v>54236</v>
      </c>
      <c r="P366">
        <v>2.2722558503516899E-2</v>
      </c>
      <c r="Q366">
        <v>2.2468246378207098E-2</v>
      </c>
      <c r="R366" s="8">
        <v>15.939826011657701</v>
      </c>
      <c r="S366" s="8">
        <v>1.52230783606466E-2</v>
      </c>
      <c r="T366" s="9">
        <v>1.5108369981410101E-2</v>
      </c>
      <c r="U366" s="12">
        <v>4.9036999999999997E-2</v>
      </c>
      <c r="V366" s="16">
        <v>3.0653000000000001</v>
      </c>
      <c r="W366" s="17">
        <f t="shared" si="5"/>
        <v>1.1817131539858083E-2</v>
      </c>
    </row>
    <row r="367" spans="1:23" x14ac:dyDescent="0.2">
      <c r="A367" s="15">
        <v>42066</v>
      </c>
      <c r="B367" s="5">
        <v>55236516204213</v>
      </c>
      <c r="C367" s="5">
        <f>[1]!nefin_factors__1[[#This Row],[Rm_minus_Rf]]/B366-1</f>
        <v>-1.0621102558536473</v>
      </c>
      <c r="D367" s="5">
        <v>-565029616062782</v>
      </c>
      <c r="E367" s="5">
        <f>[1]!nefin_factors__1[[#This Row],[SMB]]/D366-1</f>
        <v>-1.6455314889063026</v>
      </c>
      <c r="F367" s="5">
        <v>551069324620801</v>
      </c>
      <c r="G367" s="5">
        <f>[1]!nefin_factors__1[[#This Row],[HML]]/F366-1</f>
        <v>-1.7596794837232617</v>
      </c>
      <c r="H367" s="5">
        <v>468913588227871</v>
      </c>
      <c r="I367" s="6">
        <f>[1]!nefin_factors__1[[#This Row],[Risk_Free]]/H366-1</f>
        <v>1.5070434469006688E-3</v>
      </c>
      <c r="J367">
        <v>54254</v>
      </c>
      <c r="K367">
        <v>54254</v>
      </c>
      <c r="L367">
        <v>53462</v>
      </c>
      <c r="M367">
        <v>53523</v>
      </c>
      <c r="N367">
        <v>3317500</v>
      </c>
      <c r="O367">
        <v>53523</v>
      </c>
      <c r="P367">
        <v>-1.3146249723430901E-2</v>
      </c>
      <c r="Q367">
        <v>-1.32334265393867E-2</v>
      </c>
      <c r="R367" s="8">
        <v>16.071697235107401</v>
      </c>
      <c r="S367" s="8">
        <v>8.2731228515378098E-3</v>
      </c>
      <c r="T367" s="9">
        <v>8.23908815730247E-3</v>
      </c>
      <c r="U367" s="12">
        <v>4.9036999999999997E-2</v>
      </c>
      <c r="V367" s="16">
        <v>3.1212</v>
      </c>
      <c r="W367" s="17">
        <f t="shared" si="5"/>
        <v>1.8236387955501865E-2</v>
      </c>
    </row>
    <row r="368" spans="1:23" x14ac:dyDescent="0.2">
      <c r="A368" s="14">
        <v>42067</v>
      </c>
      <c r="B368" s="3">
        <v>-16001516992804</v>
      </c>
      <c r="C368" s="3">
        <f>[1]!nefin_factors__1[[#This Row],[Rm_minus_Rf]]/B367-1</f>
        <v>-1.2896909163069834</v>
      </c>
      <c r="D368" s="3">
        <v>292412685925735</v>
      </c>
      <c r="E368" s="3">
        <f>[1]!nefin_factors__1[[#This Row],[SMB]]/D367-1</f>
        <v>-1.5175174497282355</v>
      </c>
      <c r="F368" s="3">
        <v>301601824402731</v>
      </c>
      <c r="G368" s="3">
        <f>[1]!nefin_factors__1[[#This Row],[HML]]/F367-1</f>
        <v>-0.45269712733462764</v>
      </c>
      <c r="H368" s="3">
        <v>471029668371203</v>
      </c>
      <c r="I368" s="4">
        <f>[1]!nefin_factors__1[[#This Row],[Risk_Free]]/H367-1</f>
        <v>4.5127294163709308E-3</v>
      </c>
      <c r="J368">
        <v>53518</v>
      </c>
      <c r="K368">
        <v>53518</v>
      </c>
      <c r="L368">
        <v>52808</v>
      </c>
      <c r="M368">
        <v>52973</v>
      </c>
      <c r="N368">
        <v>2729100</v>
      </c>
      <c r="O368">
        <v>52973</v>
      </c>
      <c r="P368">
        <v>-1.02759561310091E-2</v>
      </c>
      <c r="Q368">
        <v>-1.0329118276385999E-2</v>
      </c>
      <c r="R368" s="8">
        <v>15.8903751373291</v>
      </c>
      <c r="S368" s="8">
        <v>-1.1282067521660499E-2</v>
      </c>
      <c r="T368" s="9">
        <v>-1.1346192812217701E-2</v>
      </c>
      <c r="U368" s="12">
        <v>4.9036999999999997E-2</v>
      </c>
      <c r="V368" s="16">
        <v>3.1351</v>
      </c>
      <c r="W368" s="17">
        <f t="shared" si="5"/>
        <v>4.4534153530693121E-3</v>
      </c>
    </row>
    <row r="369" spans="1:23" x14ac:dyDescent="0.2">
      <c r="A369" s="15">
        <v>42068</v>
      </c>
      <c r="B369" s="5">
        <v>-571863576170247</v>
      </c>
      <c r="C369" s="5">
        <f>[1]!nefin_factors__1[[#This Row],[Rm_minus_Rf]]/B368-1</f>
        <v>34.738085109519197</v>
      </c>
      <c r="D369" s="5">
        <v>-280086571818823</v>
      </c>
      <c r="E369" s="5">
        <f>[1]!nefin_factors__1[[#This Row],[SMB]]/D368-1</f>
        <v>-1.9578468558301794</v>
      </c>
      <c r="F369" s="5">
        <v>-379055356843492</v>
      </c>
      <c r="G369" s="5">
        <f>[1]!nefin_factors__1[[#This Row],[HML]]/F368-1</f>
        <v>-2.2568072411171385</v>
      </c>
      <c r="H369" s="5">
        <v>471382239201512</v>
      </c>
      <c r="I369" s="6">
        <f>[1]!nefin_factors__1[[#This Row],[Risk_Free]]/H368-1</f>
        <v>7.4851087730465338E-4</v>
      </c>
      <c r="J369">
        <v>52975</v>
      </c>
      <c r="K369">
        <v>53325</v>
      </c>
      <c r="L369">
        <v>52810</v>
      </c>
      <c r="M369">
        <v>52810</v>
      </c>
      <c r="N369">
        <v>2582500</v>
      </c>
      <c r="O369">
        <v>52810</v>
      </c>
      <c r="P369">
        <v>-3.07703924640856E-3</v>
      </c>
      <c r="Q369">
        <v>-3.0817830654481702E-3</v>
      </c>
      <c r="R369" s="8">
        <v>15.4205865859985</v>
      </c>
      <c r="S369" s="8">
        <v>-2.9564477238231201E-2</v>
      </c>
      <c r="T369" s="9">
        <v>-3.00103157137908E-2</v>
      </c>
      <c r="U369" s="12">
        <v>4.9036999999999997E-2</v>
      </c>
      <c r="V369" s="16">
        <v>3.1739999999999999</v>
      </c>
      <c r="W369" s="17">
        <f t="shared" si="5"/>
        <v>1.2407897674715285E-2</v>
      </c>
    </row>
    <row r="370" spans="1:23" x14ac:dyDescent="0.2">
      <c r="A370" s="14">
        <v>42069</v>
      </c>
      <c r="B370" s="3">
        <v>-816790675754656</v>
      </c>
      <c r="C370" s="3">
        <f>[1]!nefin_factors__1[[#This Row],[Rm_minus_Rf]]/B369-1</f>
        <v>0.42829638009939064</v>
      </c>
      <c r="D370" s="3">
        <v>-390035188659653</v>
      </c>
      <c r="E370" s="3">
        <f>[1]!nefin_factors__1[[#This Row],[SMB]]/D369-1</f>
        <v>0.39255226027740964</v>
      </c>
      <c r="F370" s="3">
        <v>410426620189742</v>
      </c>
      <c r="G370" s="3">
        <f>[1]!nefin_factors__1[[#This Row],[HML]]/F369-1</f>
        <v>-2.0827616937206423</v>
      </c>
      <c r="H370" s="3">
        <v>471734778848543</v>
      </c>
      <c r="I370" s="4">
        <f>[1]!nefin_factors__1[[#This Row],[Risk_Free]]/H369-1</f>
        <v>7.4788487497579048E-4</v>
      </c>
      <c r="J370">
        <v>52810</v>
      </c>
      <c r="K370">
        <v>53292</v>
      </c>
      <c r="L370">
        <v>52688</v>
      </c>
      <c r="M370">
        <v>52816</v>
      </c>
      <c r="N370">
        <v>3678000</v>
      </c>
      <c r="O370">
        <v>52816</v>
      </c>
      <c r="P370">
        <v>1.13614845673071E-4</v>
      </c>
      <c r="Q370">
        <v>1.1360839199531001E-4</v>
      </c>
      <c r="R370" s="8">
        <v>15.165087699890099</v>
      </c>
      <c r="S370" s="8">
        <v>-1.6568651626430401E-2</v>
      </c>
      <c r="T370" s="9">
        <v>-1.67074469716301E-2</v>
      </c>
      <c r="U370" s="12">
        <v>4.9036999999999997E-2</v>
      </c>
      <c r="V370" s="16">
        <v>3.1747999999999998</v>
      </c>
      <c r="W370" s="17">
        <f t="shared" si="5"/>
        <v>2.5204788909882758E-4</v>
      </c>
    </row>
    <row r="371" spans="1:23" x14ac:dyDescent="0.2">
      <c r="A371" s="15">
        <v>42072</v>
      </c>
      <c r="B371" s="5">
        <v>-149098899655772</v>
      </c>
      <c r="C371" s="5">
        <f>[1]!nefin_factors__1[[#This Row],[Rm_minus_Rf]]/B370-1</f>
        <v>-0.81745763745648137</v>
      </c>
      <c r="D371" s="5">
        <v>-153546350995052</v>
      </c>
      <c r="E371" s="5">
        <f>[1]!nefin_factors__1[[#This Row],[SMB]]/D370-1</f>
        <v>-0.60632692777615649</v>
      </c>
      <c r="F371" s="5">
        <v>595142246482613</v>
      </c>
      <c r="G371" s="5">
        <f>[1]!nefin_factors__1[[#This Row],[HML]]/F370-1</f>
        <v>0.45005761616406881</v>
      </c>
      <c r="H371" s="5">
        <v>473144625713129</v>
      </c>
      <c r="I371" s="6">
        <f>[1]!nefin_factors__1[[#This Row],[Risk_Free]]/H370-1</f>
        <v>2.9886430422350063E-3</v>
      </c>
      <c r="J371">
        <v>52817</v>
      </c>
      <c r="K371">
        <v>54102</v>
      </c>
      <c r="L371">
        <v>52817</v>
      </c>
      <c r="M371">
        <v>53876</v>
      </c>
      <c r="N371">
        <v>3587500</v>
      </c>
      <c r="O371">
        <v>53876</v>
      </c>
      <c r="P371">
        <v>2.0069675855801199E-2</v>
      </c>
      <c r="Q371">
        <v>1.9870934625731199E-2</v>
      </c>
      <c r="R371" s="8">
        <v>15.2887172698975</v>
      </c>
      <c r="S371" s="8">
        <v>8.1523674734311803E-3</v>
      </c>
      <c r="T371" s="9">
        <v>8.1193164336951403E-3</v>
      </c>
      <c r="U371" s="12">
        <v>4.9036999999999997E-2</v>
      </c>
      <c r="V371" s="16">
        <v>3.1787999999999998</v>
      </c>
      <c r="W371" s="17">
        <f t="shared" si="5"/>
        <v>1.2599218848432514E-3</v>
      </c>
    </row>
    <row r="372" spans="1:23" x14ac:dyDescent="0.2">
      <c r="A372" s="14">
        <v>42073</v>
      </c>
      <c r="B372" s="3">
        <v>-173542245207227</v>
      </c>
      <c r="C372" s="3">
        <f>[1]!nefin_factors__1[[#This Row],[Rm_minus_Rf]]/B371-1</f>
        <v>0.16394048251119164</v>
      </c>
      <c r="D372" s="3">
        <v>-439628932941359</v>
      </c>
      <c r="E372" s="3">
        <f>[1]!nefin_factors__1[[#This Row],[SMB]]/D371-1</f>
        <v>1.8631675718267378</v>
      </c>
      <c r="F372" s="3">
        <v>-734725256638989</v>
      </c>
      <c r="G372" s="3">
        <f>[1]!nefin_factors__1[[#This Row],[HML]]/F371-1</f>
        <v>-2.2345372236323908</v>
      </c>
      <c r="H372" s="3">
        <v>472792210744588</v>
      </c>
      <c r="I372" s="4">
        <f>[1]!nefin_factors__1[[#This Row],[Risk_Free]]/H371-1</f>
        <v>-7.4483561555804823E-4</v>
      </c>
      <c r="J372">
        <v>53876</v>
      </c>
      <c r="K372">
        <v>54271</v>
      </c>
      <c r="L372">
        <v>53444</v>
      </c>
      <c r="M372">
        <v>53689</v>
      </c>
      <c r="N372">
        <v>3093500</v>
      </c>
      <c r="O372">
        <v>53689</v>
      </c>
      <c r="P372">
        <v>-3.4709332541391601E-3</v>
      </c>
      <c r="Q372">
        <v>-3.4769709179002899E-3</v>
      </c>
      <c r="R372" s="8">
        <v>15.2475070953369</v>
      </c>
      <c r="S372" s="8">
        <v>-2.6955265618099399E-3</v>
      </c>
      <c r="T372" s="9">
        <v>-2.699166035202E-3</v>
      </c>
      <c r="U372" s="12">
        <v>4.9036999999999997E-2</v>
      </c>
      <c r="V372" s="16">
        <v>3.1789000000000001</v>
      </c>
      <c r="W372" s="17">
        <f t="shared" si="5"/>
        <v>3.1458411979379264E-5</v>
      </c>
    </row>
    <row r="373" spans="1:23" x14ac:dyDescent="0.2">
      <c r="A373" s="15">
        <v>42074</v>
      </c>
      <c r="B373" s="5">
        <v>132073685525827</v>
      </c>
      <c r="C373" s="5">
        <f>[1]!nefin_factors__1[[#This Row],[Rm_minus_Rf]]/B372-1</f>
        <v>-1.7610463110473051</v>
      </c>
      <c r="D373" s="5">
        <v>-429643211505257</v>
      </c>
      <c r="E373" s="5">
        <f>[1]!nefin_factors__1[[#This Row],[SMB]]/D372-1</f>
        <v>-2.2713976919790158E-2</v>
      </c>
      <c r="F373" s="5">
        <v>-995513356187995</v>
      </c>
      <c r="G373" s="5">
        <f>[1]!nefin_factors__1[[#This Row],[HML]]/F372-1</f>
        <v>0.35494642002914789</v>
      </c>
      <c r="H373" s="5">
        <v>47243976461453</v>
      </c>
      <c r="I373" s="6">
        <f>[1]!nefin_factors__1[[#This Row],[Risk_Free]]/H372-1</f>
        <v>-0.90007454567187195</v>
      </c>
      <c r="J373">
        <v>53689</v>
      </c>
      <c r="K373">
        <v>53689</v>
      </c>
      <c r="L373">
        <v>53033</v>
      </c>
      <c r="M373">
        <v>53348</v>
      </c>
      <c r="N373">
        <v>2379500</v>
      </c>
      <c r="O373">
        <v>53348</v>
      </c>
      <c r="P373">
        <v>-6.3513941403266997E-3</v>
      </c>
      <c r="Q373">
        <v>-6.3716500585200798E-3</v>
      </c>
      <c r="R373" s="8">
        <v>14.9343147277832</v>
      </c>
      <c r="S373" s="8">
        <v>-2.0540608734557798E-2</v>
      </c>
      <c r="T373" s="9">
        <v>-2.07545010935829E-2</v>
      </c>
      <c r="U373" s="12">
        <v>4.9036999999999997E-2</v>
      </c>
      <c r="V373" s="16">
        <v>3.1442999999999999</v>
      </c>
      <c r="W373" s="17">
        <f t="shared" si="5"/>
        <v>-1.0884268143068421E-2</v>
      </c>
    </row>
    <row r="374" spans="1:23" x14ac:dyDescent="0.2">
      <c r="A374" s="14">
        <v>42075</v>
      </c>
      <c r="B374" s="3">
        <v>381562469926781</v>
      </c>
      <c r="C374" s="3">
        <f>[1]!nefin_factors__1[[#This Row],[Rm_minus_Rf]]/B373-1</f>
        <v>1.8890120572289661</v>
      </c>
      <c r="D374" s="3">
        <v>492141582385324</v>
      </c>
      <c r="E374" s="3">
        <f>[1]!nefin_factors__1[[#This Row],[SMB]]/D373-1</f>
        <v>-2.1454657474072585</v>
      </c>
      <c r="F374" s="3">
        <v>-12705506964136</v>
      </c>
      <c r="G374" s="3">
        <f>[1]!nefin_factors__1[[#This Row],[HML]]/F373-1</f>
        <v>-0.98723723103747418</v>
      </c>
      <c r="H374" s="3">
        <v>47243976461453</v>
      </c>
      <c r="I374" s="4">
        <f>[1]!nefin_factors__1[[#This Row],[Risk_Free]]/H373-1</f>
        <v>0</v>
      </c>
      <c r="J374">
        <v>53338</v>
      </c>
      <c r="K374">
        <v>53338</v>
      </c>
      <c r="L374">
        <v>52548</v>
      </c>
      <c r="M374">
        <v>53138</v>
      </c>
      <c r="N374">
        <v>2607700</v>
      </c>
      <c r="O374">
        <v>53138</v>
      </c>
      <c r="P374">
        <v>-3.9364174851915798E-3</v>
      </c>
      <c r="Q374">
        <v>-3.9441855688151697E-3</v>
      </c>
      <c r="R374" s="8">
        <v>14.7365102767944</v>
      </c>
      <c r="S374" s="8">
        <v>-1.3244832756332E-2</v>
      </c>
      <c r="T374" s="9">
        <v>-1.33333278238894E-2</v>
      </c>
      <c r="U374" s="12">
        <v>4.9036999999999997E-2</v>
      </c>
      <c r="V374" s="16">
        <v>3.1183999999999998</v>
      </c>
      <c r="W374" s="17">
        <f t="shared" si="5"/>
        <v>-8.2371275005566069E-3</v>
      </c>
    </row>
    <row r="375" spans="1:23" x14ac:dyDescent="0.2">
      <c r="A375" s="15">
        <v>42076</v>
      </c>
      <c r="B375" s="5">
        <v>-523033885452509</v>
      </c>
      <c r="C375" s="5">
        <f>[1]!nefin_factors__1[[#This Row],[Rm_minus_Rf]]/B374-1</f>
        <v>-2.3707686858009787</v>
      </c>
      <c r="D375" s="5">
        <v>278467676667389</v>
      </c>
      <c r="E375" s="5">
        <f>[1]!nefin_factors__1[[#This Row],[SMB]]/D374-1</f>
        <v>-0.43417161517280256</v>
      </c>
      <c r="F375" s="5">
        <v>130739687431264</v>
      </c>
      <c r="G375" s="5">
        <f>[1]!nefin_factors__1[[#This Row],[HML]]/F374-1</f>
        <v>-11.290001634748194</v>
      </c>
      <c r="H375" s="5">
        <v>473144625713129</v>
      </c>
      <c r="I375" s="6">
        <f>[1]!nefin_factors__1[[#This Row],[Risk_Free]]/H374-1</f>
        <v>9.0149195971929696</v>
      </c>
      <c r="J375">
        <v>53144</v>
      </c>
      <c r="K375">
        <v>53969</v>
      </c>
      <c r="L375">
        <v>53107</v>
      </c>
      <c r="M375">
        <v>53702</v>
      </c>
      <c r="N375">
        <v>3280300</v>
      </c>
      <c r="O375">
        <v>53702</v>
      </c>
      <c r="P375">
        <v>1.06138733110015E-2</v>
      </c>
      <c r="Q375">
        <v>1.05579415778059E-2</v>
      </c>
      <c r="R375" s="8">
        <v>14.794202804565399</v>
      </c>
      <c r="S375" s="8">
        <v>3.9149493551664501E-3</v>
      </c>
      <c r="T375" s="9">
        <v>3.9073058836474996E-3</v>
      </c>
      <c r="U375" s="12">
        <v>5.0788E-2</v>
      </c>
      <c r="V375" s="16">
        <v>3.1684000000000001</v>
      </c>
      <c r="W375" s="17">
        <f t="shared" si="5"/>
        <v>1.6033863519753888E-2</v>
      </c>
    </row>
    <row r="376" spans="1:23" x14ac:dyDescent="0.2">
      <c r="A376" s="14">
        <v>42079</v>
      </c>
      <c r="B376" s="3">
        <v>263517981420076</v>
      </c>
      <c r="C376" s="3">
        <f>[1]!nefin_factors__1[[#This Row],[Rm_minus_Rf]]/B375-1</f>
        <v>-1.5038258299308662</v>
      </c>
      <c r="D376" s="3">
        <v>-983379237168432</v>
      </c>
      <c r="E376" s="3">
        <f>[1]!nefin_factors__1[[#This Row],[SMB]]/D375-1</f>
        <v>-4.5313945551497987</v>
      </c>
      <c r="F376" s="3">
        <v>-766624514819578</v>
      </c>
      <c r="G376" s="3">
        <f>[1]!nefin_factors__1[[#This Row],[HML]]/F375-1</f>
        <v>-6.8637474961275897</v>
      </c>
      <c r="H376" s="3">
        <v>472792210744588</v>
      </c>
      <c r="I376" s="4">
        <f>[1]!nefin_factors__1[[#This Row],[Risk_Free]]/H375-1</f>
        <v>-7.4483561555804823E-4</v>
      </c>
      <c r="J376">
        <v>53698</v>
      </c>
      <c r="K376">
        <v>53755</v>
      </c>
      <c r="L376">
        <v>52965</v>
      </c>
      <c r="M376">
        <v>53249</v>
      </c>
      <c r="N376">
        <v>2993200</v>
      </c>
      <c r="O376">
        <v>53249</v>
      </c>
      <c r="P376">
        <v>-8.4354400208558299E-3</v>
      </c>
      <c r="Q376">
        <v>-8.4712196986614398E-3</v>
      </c>
      <c r="R376" s="8">
        <v>14.670574188232401</v>
      </c>
      <c r="S376" s="8">
        <v>-8.3566726867361201E-3</v>
      </c>
      <c r="T376" s="9">
        <v>-8.3917854299033999E-3</v>
      </c>
      <c r="U376" s="12">
        <v>5.0788E-2</v>
      </c>
      <c r="V376" s="16">
        <v>3.1190000000000002</v>
      </c>
      <c r="W376" s="17">
        <f t="shared" si="5"/>
        <v>-1.55914657240247E-2</v>
      </c>
    </row>
    <row r="377" spans="1:23" x14ac:dyDescent="0.2">
      <c r="A377" s="15">
        <v>42080</v>
      </c>
      <c r="B377" s="5">
        <v>243474184498037</v>
      </c>
      <c r="C377" s="5">
        <f>[1]!nefin_factors__1[[#This Row],[Rm_minus_Rf]]/B376-1</f>
        <v>-7.6062349954354902E-2</v>
      </c>
      <c r="D377" s="5">
        <v>-108579460380611</v>
      </c>
      <c r="E377" s="5">
        <f>[1]!nefin_factors__1[[#This Row],[SMB]]/D376-1</f>
        <v>-0.88958536414368727</v>
      </c>
      <c r="F377" s="5">
        <v>181719455532918</v>
      </c>
      <c r="G377" s="5">
        <f>[1]!nefin_factors__1[[#This Row],[HML]]/F376-1</f>
        <v>-1.2370384093126541</v>
      </c>
      <c r="H377" s="5">
        <v>473144625713129</v>
      </c>
      <c r="I377" s="6">
        <f>[1]!nefin_factors__1[[#This Row],[Risk_Free]]/H376-1</f>
        <v>7.4539080918012424E-4</v>
      </c>
      <c r="J377">
        <v>53251</v>
      </c>
      <c r="K377">
        <v>54352</v>
      </c>
      <c r="L377">
        <v>53214</v>
      </c>
      <c r="M377">
        <v>54239</v>
      </c>
      <c r="N377">
        <v>2665000</v>
      </c>
      <c r="O377">
        <v>54239</v>
      </c>
      <c r="P377">
        <v>1.8591898439407301E-2</v>
      </c>
      <c r="Q377">
        <v>1.84211818135358E-2</v>
      </c>
      <c r="R377" s="8">
        <v>14.9590406417847</v>
      </c>
      <c r="S377" s="8">
        <v>1.9662868049990002E-2</v>
      </c>
      <c r="T377" s="9">
        <v>1.9472051142285701E-2</v>
      </c>
      <c r="U377" s="12">
        <v>5.0788E-2</v>
      </c>
      <c r="V377" s="16">
        <v>3.0991</v>
      </c>
      <c r="W377" s="17">
        <f t="shared" si="5"/>
        <v>-6.3802500801539708E-3</v>
      </c>
    </row>
    <row r="378" spans="1:23" x14ac:dyDescent="0.2">
      <c r="A378" s="14">
        <v>42081</v>
      </c>
      <c r="B378" s="3">
        <v>224425450532422</v>
      </c>
      <c r="C378" s="3">
        <f>[1]!nefin_factors__1[[#This Row],[Rm_minus_Rf]]/B377-1</f>
        <v>-7.8237181510176002E-2</v>
      </c>
      <c r="D378" s="3">
        <v>-621951132541619</v>
      </c>
      <c r="E378" s="3">
        <f>[1]!nefin_factors__1[[#This Row],[SMB]]/D377-1</f>
        <v>4.7280735266269627</v>
      </c>
      <c r="F378" s="3">
        <v>654334841134566</v>
      </c>
      <c r="G378" s="3">
        <f>[1]!nefin_factors__1[[#This Row],[HML]]/F377-1</f>
        <v>2.6007968393677858</v>
      </c>
      <c r="H378" s="3">
        <v>47243976461453</v>
      </c>
      <c r="I378" s="4">
        <f>[1]!nefin_factors__1[[#This Row],[Risk_Free]]/H377-1</f>
        <v>-0.90014897370915636</v>
      </c>
      <c r="J378">
        <v>54236</v>
      </c>
      <c r="K378">
        <v>54236</v>
      </c>
      <c r="L378">
        <v>53479</v>
      </c>
      <c r="M378">
        <v>53749</v>
      </c>
      <c r="N378">
        <v>2948200</v>
      </c>
      <c r="O378">
        <v>53749</v>
      </c>
      <c r="P378">
        <v>-9.0340898615387504E-3</v>
      </c>
      <c r="Q378">
        <v>-9.0751447004725292E-3</v>
      </c>
      <c r="R378" s="8">
        <v>15.1073951721191</v>
      </c>
      <c r="S378" s="8">
        <v>9.9175353264546705E-3</v>
      </c>
      <c r="T378" s="9">
        <v>9.8686793281439998E-3</v>
      </c>
      <c r="U378" s="12">
        <v>5.0788E-2</v>
      </c>
      <c r="V378" s="16">
        <v>3.0842999999999998</v>
      </c>
      <c r="W378" s="17">
        <f t="shared" si="5"/>
        <v>-4.7755800070988785E-3</v>
      </c>
    </row>
    <row r="379" spans="1:23" x14ac:dyDescent="0.2">
      <c r="A379" s="15">
        <v>42082</v>
      </c>
      <c r="B379" s="5">
        <v>-971972248506081</v>
      </c>
      <c r="C379" s="5">
        <f>[1]!nefin_factors__1[[#This Row],[Rm_minus_Rf]]/B378-1</f>
        <v>-5.3309359352969787</v>
      </c>
      <c r="D379" s="5">
        <v>-892354951609636</v>
      </c>
      <c r="E379" s="5">
        <f>[1]!nefin_factors__1[[#This Row],[SMB]]/D378-1</f>
        <v>0.4347669855716878</v>
      </c>
      <c r="F379" s="5">
        <v>-465295064832878</v>
      </c>
      <c r="G379" s="5">
        <f>[1]!nefin_factors__1[[#This Row],[HML]]/F378-1</f>
        <v>-1.7110962699557497</v>
      </c>
      <c r="H379" s="5">
        <v>47243976461453</v>
      </c>
      <c r="I379" s="6">
        <f>[1]!nefin_factors__1[[#This Row],[Risk_Free]]/H378-1</f>
        <v>0</v>
      </c>
      <c r="J379">
        <v>53750</v>
      </c>
      <c r="K379">
        <v>54342</v>
      </c>
      <c r="L379">
        <v>53655</v>
      </c>
      <c r="M379">
        <v>53864</v>
      </c>
      <c r="N379">
        <v>2354400</v>
      </c>
      <c r="O379">
        <v>53864</v>
      </c>
      <c r="P379">
        <v>2.1395746897616701E-3</v>
      </c>
      <c r="Q379">
        <v>2.1372890594390402E-3</v>
      </c>
      <c r="R379" s="8">
        <v>14.9755249023438</v>
      </c>
      <c r="S379" s="8">
        <v>-8.7289096783148609E-3</v>
      </c>
      <c r="T379" s="9">
        <v>-8.7672297684394003E-3</v>
      </c>
      <c r="U379" s="12">
        <v>5.0788E-2</v>
      </c>
      <c r="V379" s="16">
        <v>3.1514000000000002</v>
      </c>
      <c r="W379" s="17">
        <f t="shared" si="5"/>
        <v>2.1755341568589381E-2</v>
      </c>
    </row>
    <row r="380" spans="1:23" x14ac:dyDescent="0.2">
      <c r="A380" s="14">
        <v>42083</v>
      </c>
      <c r="B380" s="3">
        <v>155587861403193</v>
      </c>
      <c r="C380" s="3">
        <f>[1]!nefin_factors__1[[#This Row],[Rm_minus_Rf]]/B379-1</f>
        <v>-1.1600743865293799</v>
      </c>
      <c r="D380" s="3">
        <v>-141965853060708</v>
      </c>
      <c r="E380" s="3">
        <f>[1]!nefin_factors__1[[#This Row],[SMB]]/D379-1</f>
        <v>-0.84090876303803885</v>
      </c>
      <c r="F380" s="3">
        <v>-255596251925981</v>
      </c>
      <c r="G380" s="3">
        <f>[1]!nefin_factors__1[[#This Row],[HML]]/F379-1</f>
        <v>-0.45067921144234657</v>
      </c>
      <c r="H380" s="3">
        <v>47243976461453</v>
      </c>
      <c r="I380" s="4">
        <f>[1]!nefin_factors__1[[#This Row],[Risk_Free]]/H379-1</f>
        <v>0</v>
      </c>
      <c r="J380">
        <v>53865</v>
      </c>
      <c r="K380">
        <v>54361</v>
      </c>
      <c r="L380">
        <v>53772</v>
      </c>
      <c r="M380">
        <v>53772</v>
      </c>
      <c r="N380">
        <v>2625300</v>
      </c>
      <c r="O380">
        <v>53772</v>
      </c>
      <c r="P380">
        <v>-1.7080053467993801E-3</v>
      </c>
      <c r="Q380">
        <v>-1.70946565097351E-3</v>
      </c>
      <c r="R380" s="8">
        <v>14.835412025451699</v>
      </c>
      <c r="S380" s="8">
        <v>-9.3560573667472707E-3</v>
      </c>
      <c r="T380" s="9">
        <v>-9.4001001982375303E-3</v>
      </c>
      <c r="U380" s="12">
        <v>5.0788E-2</v>
      </c>
      <c r="V380" s="16">
        <v>3.1107</v>
      </c>
      <c r="W380" s="17">
        <f t="shared" si="5"/>
        <v>-1.2914894967316126E-2</v>
      </c>
    </row>
    <row r="381" spans="1:23" x14ac:dyDescent="0.2">
      <c r="A381" s="15">
        <v>42086</v>
      </c>
      <c r="B381" s="5">
        <v>-119432677914392</v>
      </c>
      <c r="C381" s="5">
        <f>[1]!nefin_factors__1[[#This Row],[Rm_minus_Rf]]/B380-1</f>
        <v>-1.7676220807797605</v>
      </c>
      <c r="D381" s="5">
        <v>340690341574687</v>
      </c>
      <c r="E381" s="5">
        <f>[1]!nefin_factors__1[[#This Row],[SMB]]/D380-1</f>
        <v>-3.3998048420066174</v>
      </c>
      <c r="F381" s="5">
        <v>593453450015425</v>
      </c>
      <c r="G381" s="5">
        <f>[1]!nefin_factors__1[[#This Row],[HML]]/F380-1</f>
        <v>-3.3218394070476638</v>
      </c>
      <c r="H381" s="5">
        <v>472087287317624</v>
      </c>
      <c r="I381" s="6">
        <f>[1]!nefin_factors__1[[#This Row],[Risk_Free]]/H380-1</f>
        <v>8.9925392119100387</v>
      </c>
      <c r="J381">
        <v>53772</v>
      </c>
      <c r="K381">
        <v>54236</v>
      </c>
      <c r="L381">
        <v>53628</v>
      </c>
      <c r="M381">
        <v>53843</v>
      </c>
      <c r="N381">
        <v>2731100</v>
      </c>
      <c r="O381">
        <v>53843</v>
      </c>
      <c r="P381">
        <v>1.32038979394489E-3</v>
      </c>
      <c r="Q381">
        <v>1.3195188459172E-3</v>
      </c>
      <c r="R381" s="8">
        <v>14.835412025451699</v>
      </c>
      <c r="S381" s="8">
        <v>0</v>
      </c>
      <c r="T381" s="9">
        <v>0</v>
      </c>
      <c r="U381" s="12">
        <v>5.0788E-2</v>
      </c>
      <c r="V381" s="16">
        <v>3.1036000000000001</v>
      </c>
      <c r="W381" s="17">
        <f t="shared" si="5"/>
        <v>-2.282444465875777E-3</v>
      </c>
    </row>
    <row r="382" spans="1:23" x14ac:dyDescent="0.2">
      <c r="A382" s="14">
        <v>42087</v>
      </c>
      <c r="B382" s="3">
        <v>-660507090450243</v>
      </c>
      <c r="C382" s="3">
        <f>[1]!nefin_factors__1[[#This Row],[Rm_minus_Rf]]/B381-1</f>
        <v>4.5303716033537071</v>
      </c>
      <c r="D382" s="3">
        <v>543248349236977</v>
      </c>
      <c r="E382" s="3">
        <f>[1]!nefin_factors__1[[#This Row],[SMB]]/D381-1</f>
        <v>0.5945516586295263</v>
      </c>
      <c r="F382" s="3">
        <v>623887829158293</v>
      </c>
      <c r="G382" s="3">
        <f>[1]!nefin_factors__1[[#This Row],[HML]]/F381-1</f>
        <v>5.1283515399694668E-2</v>
      </c>
      <c r="H382" s="3">
        <v>47243976461453</v>
      </c>
      <c r="I382" s="4">
        <f>[1]!nefin_factors__1[[#This Row],[Risk_Free]]/H381-1</f>
        <v>-0.89992533641418126</v>
      </c>
      <c r="J382">
        <v>53840</v>
      </c>
      <c r="K382">
        <v>53840</v>
      </c>
      <c r="L382">
        <v>52879</v>
      </c>
      <c r="M382">
        <v>53176</v>
      </c>
      <c r="N382">
        <v>3234900</v>
      </c>
      <c r="O382">
        <v>53176</v>
      </c>
      <c r="P382">
        <v>-1.23878684322939E-2</v>
      </c>
      <c r="Q382">
        <v>-1.24652376986427E-2</v>
      </c>
      <c r="R382" s="8">
        <v>14.5469455718994</v>
      </c>
      <c r="S382" s="8">
        <v>-1.94443897957194E-2</v>
      </c>
      <c r="T382" s="9">
        <v>-1.9635918784449601E-2</v>
      </c>
      <c r="U382" s="12">
        <v>5.0788E-2</v>
      </c>
      <c r="V382" s="16">
        <v>3.1082000000000001</v>
      </c>
      <c r="W382" s="17">
        <f t="shared" si="5"/>
        <v>1.4821497615671309E-3</v>
      </c>
    </row>
    <row r="383" spans="1:23" x14ac:dyDescent="0.2">
      <c r="A383" s="15">
        <v>42088</v>
      </c>
      <c r="B383" s="5">
        <v>520070418011346</v>
      </c>
      <c r="C383" s="5">
        <f>[1]!nefin_factors__1[[#This Row],[Rm_minus_Rf]]/B382-1</f>
        <v>-1.7873805225267656</v>
      </c>
      <c r="D383" s="5">
        <v>-253886470838383</v>
      </c>
      <c r="E383" s="5">
        <f>[1]!nefin_factors__1[[#This Row],[SMB]]/D382-1</f>
        <v>-1.467348812370955</v>
      </c>
      <c r="F383" s="5">
        <v>-255771214587109</v>
      </c>
      <c r="G383" s="5">
        <f>[1]!nefin_factors__1[[#This Row],[HML]]/F382-1</f>
        <v>-1.4099634623938377</v>
      </c>
      <c r="H383" s="5">
        <v>472087287317624</v>
      </c>
      <c r="I383" s="6">
        <f>[1]!nefin_factors__1[[#This Row],[Risk_Free]]/H382-1</f>
        <v>8.9925392119100387</v>
      </c>
      <c r="J383">
        <v>53181</v>
      </c>
      <c r="K383">
        <v>54076</v>
      </c>
      <c r="L383">
        <v>53151</v>
      </c>
      <c r="M383">
        <v>54017</v>
      </c>
      <c r="N383">
        <v>2705400</v>
      </c>
      <c r="O383">
        <v>54017</v>
      </c>
      <c r="P383">
        <v>1.5815405446066001E-2</v>
      </c>
      <c r="Q383">
        <v>1.56916450960225E-2</v>
      </c>
      <c r="R383" s="8">
        <v>15.041460037231399</v>
      </c>
      <c r="S383" s="8">
        <v>3.3994206241357003E-2</v>
      </c>
      <c r="T383" s="9">
        <v>3.3429172822334999E-2</v>
      </c>
      <c r="U383" s="12">
        <v>5.0788E-2</v>
      </c>
      <c r="V383" s="16">
        <v>3.0989</v>
      </c>
      <c r="W383" s="17">
        <f t="shared" si="5"/>
        <v>-2.992085451386628E-3</v>
      </c>
    </row>
    <row r="384" spans="1:23" x14ac:dyDescent="0.2">
      <c r="A384" s="14">
        <v>42089</v>
      </c>
      <c r="B384" s="3">
        <v>-242963878952163</v>
      </c>
      <c r="C384" s="3">
        <f>[1]!nefin_factors__1[[#This Row],[Rm_minus_Rf]]/B383-1</f>
        <v>-1.4671749642696703</v>
      </c>
      <c r="D384" s="3">
        <v>102249485995204</v>
      </c>
      <c r="E384" s="3">
        <f>[1]!nefin_factors__1[[#This Row],[SMB]]/D383-1</f>
        <v>-1.4027370409205191</v>
      </c>
      <c r="F384" s="3">
        <v>-76905340096531</v>
      </c>
      <c r="G384" s="3">
        <f>[1]!nefin_factors__1[[#This Row],[HML]]/F383-1</f>
        <v>-0.69931979945171252</v>
      </c>
      <c r="H384" s="3">
        <v>472087287317624</v>
      </c>
      <c r="I384" s="4">
        <f>[1]!nefin_factors__1[[#This Row],[Risk_Free]]/H383-1</f>
        <v>0</v>
      </c>
      <c r="J384">
        <v>54013</v>
      </c>
      <c r="K384">
        <v>54013</v>
      </c>
      <c r="L384">
        <v>52647</v>
      </c>
      <c r="M384">
        <v>53014</v>
      </c>
      <c r="N384">
        <v>2550600</v>
      </c>
      <c r="O384">
        <v>53014</v>
      </c>
      <c r="P384">
        <v>-1.85682285206509E-2</v>
      </c>
      <c r="Q384">
        <v>-1.8742782221502999E-2</v>
      </c>
      <c r="R384" s="8">
        <v>14.8766222000122</v>
      </c>
      <c r="S384" s="8">
        <v>-1.0958864190973401E-2</v>
      </c>
      <c r="T384" s="9">
        <v>-1.1019354888684199E-2</v>
      </c>
      <c r="U384" s="12">
        <v>5.0788E-2</v>
      </c>
      <c r="V384" s="16">
        <v>3.0472000000000001</v>
      </c>
      <c r="W384" s="17">
        <f t="shared" si="5"/>
        <v>-1.6683339249411011E-2</v>
      </c>
    </row>
    <row r="385" spans="1:23" x14ac:dyDescent="0.2">
      <c r="A385" s="15">
        <v>42090</v>
      </c>
      <c r="B385" s="5">
        <v>-652457879935225</v>
      </c>
      <c r="C385" s="5">
        <f>[1]!nefin_factors__1[[#This Row],[Rm_minus_Rf]]/B384-1</f>
        <v>1.685411027964725</v>
      </c>
      <c r="D385" s="5">
        <v>398376035443437</v>
      </c>
      <c r="E385" s="5">
        <f>[1]!nefin_factors__1[[#This Row],[SMB]]/D384-1</f>
        <v>2.89611773170305</v>
      </c>
      <c r="F385" s="5">
        <v>-86812115117797</v>
      </c>
      <c r="G385" s="5">
        <f>[1]!nefin_factors__1[[#This Row],[HML]]/F384-1</f>
        <v>0.12881777791803661</v>
      </c>
      <c r="H385" s="5">
        <v>471734778848543</v>
      </c>
      <c r="I385" s="6">
        <f>[1]!nefin_factors__1[[#This Row],[Risk_Free]]/H384-1</f>
        <v>-7.4670188872050236E-4</v>
      </c>
      <c r="J385">
        <v>53014</v>
      </c>
      <c r="K385">
        <v>53345</v>
      </c>
      <c r="L385">
        <v>52813</v>
      </c>
      <c r="M385">
        <v>53081</v>
      </c>
      <c r="N385">
        <v>3021100</v>
      </c>
      <c r="O385">
        <v>53081</v>
      </c>
      <c r="P385">
        <v>1.2638171049157399E-3</v>
      </c>
      <c r="Q385">
        <v>1.26301916031167E-3</v>
      </c>
      <c r="R385" s="8">
        <v>15.494764328002899</v>
      </c>
      <c r="S385" s="8">
        <v>4.1551180780206698E-2</v>
      </c>
      <c r="T385" s="9">
        <v>4.0711121923114303E-2</v>
      </c>
      <c r="U385" s="12">
        <v>5.0788E-2</v>
      </c>
      <c r="V385" s="16">
        <v>3.0788000000000002</v>
      </c>
      <c r="W385" s="17">
        <f t="shared" si="5"/>
        <v>1.0370175899186096E-2</v>
      </c>
    </row>
    <row r="386" spans="1:23" x14ac:dyDescent="0.2">
      <c r="A386" s="14">
        <v>42093</v>
      </c>
      <c r="B386" s="3">
        <v>220568954854836</v>
      </c>
      <c r="C386" s="3">
        <f>[1]!nefin_factors__1[[#This Row],[Rm_minus_Rf]]/B385-1</f>
        <v>-1.3380585347160399</v>
      </c>
      <c r="D386" s="3">
        <v>-178877678354105</v>
      </c>
      <c r="E386" s="3">
        <f>[1]!nefin_factors__1[[#This Row],[SMB]]/D385-1</f>
        <v>-1.4490171657915973</v>
      </c>
      <c r="F386" s="3">
        <v>-136567498669235</v>
      </c>
      <c r="G386" s="3">
        <f>[1]!nefin_factors__1[[#This Row],[HML]]/F385-1</f>
        <v>0.57313870862291494</v>
      </c>
      <c r="H386" s="3">
        <v>472087287317624</v>
      </c>
      <c r="I386" s="4">
        <f>[1]!nefin_factors__1[[#This Row],[Risk_Free]]/H385-1</f>
        <v>7.4725986907608899E-4</v>
      </c>
      <c r="J386">
        <v>53081</v>
      </c>
      <c r="K386">
        <v>53456</v>
      </c>
      <c r="L386">
        <v>52603</v>
      </c>
      <c r="M386">
        <v>52758</v>
      </c>
      <c r="N386">
        <v>2714000</v>
      </c>
      <c r="O386">
        <v>52758</v>
      </c>
      <c r="P386">
        <v>-6.0850398447654898E-3</v>
      </c>
      <c r="Q386">
        <v>-6.1036291491916601E-3</v>
      </c>
      <c r="R386" s="8">
        <v>15.371135711669901</v>
      </c>
      <c r="S386" s="8">
        <v>-7.97864424785499E-3</v>
      </c>
      <c r="T386" s="9">
        <v>-8.0106439530351799E-3</v>
      </c>
      <c r="U386" s="12">
        <v>5.0788E-2</v>
      </c>
      <c r="V386" s="16">
        <v>3.0756999999999999</v>
      </c>
      <c r="W386" s="17">
        <f t="shared" si="5"/>
        <v>-1.0068857996623493E-3</v>
      </c>
    </row>
    <row r="387" spans="1:23" x14ac:dyDescent="0.2">
      <c r="A387" s="15">
        <v>42094</v>
      </c>
      <c r="B387" s="5">
        <v>-213147956763701</v>
      </c>
      <c r="C387" s="5">
        <f>[1]!nefin_factors__1[[#This Row],[Rm_minus_Rf]]/B386-1</f>
        <v>-1.9663552012747261</v>
      </c>
      <c r="D387" s="5">
        <v>127954854767462</v>
      </c>
      <c r="E387" s="5">
        <f>[1]!nefin_factors__1[[#This Row],[SMB]]/D386-1</f>
        <v>-1.7153204130599429</v>
      </c>
      <c r="F387" s="5">
        <v>-702290417890524</v>
      </c>
      <c r="G387" s="5">
        <f>[1]!nefin_factors__1[[#This Row],[HML]]/F386-1</f>
        <v>4.1424418308448612</v>
      </c>
      <c r="H387" s="5">
        <v>47243976461453</v>
      </c>
      <c r="I387" s="6">
        <f>[1]!nefin_factors__1[[#This Row],[Risk_Free]]/H386-1</f>
        <v>-0.89992533641418126</v>
      </c>
      <c r="J387">
        <v>52758</v>
      </c>
      <c r="K387">
        <v>53357</v>
      </c>
      <c r="L387">
        <v>52758</v>
      </c>
      <c r="M387">
        <v>53106</v>
      </c>
      <c r="N387">
        <v>2998100</v>
      </c>
      <c r="O387">
        <v>53106</v>
      </c>
      <c r="P387">
        <v>6.5961560332081799E-3</v>
      </c>
      <c r="Q387">
        <v>6.5744965898747601E-3</v>
      </c>
      <c r="R387" s="8">
        <v>15.2475070953369</v>
      </c>
      <c r="S387" s="8">
        <v>-8.0429501525212093E-3</v>
      </c>
      <c r="T387" s="9">
        <v>-8.0754691593048003E-3</v>
      </c>
      <c r="U387" s="12">
        <v>5.0788E-2</v>
      </c>
      <c r="V387" s="16">
        <v>3.1042000000000001</v>
      </c>
      <c r="W387" s="17">
        <f t="shared" si="5"/>
        <v>9.2661833078648836E-3</v>
      </c>
    </row>
    <row r="388" spans="1:23" x14ac:dyDescent="0.2">
      <c r="A388" s="14">
        <v>42095</v>
      </c>
      <c r="B388" s="3">
        <v>203923595004721</v>
      </c>
      <c r="C388" s="3">
        <f>[1]!nefin_factors__1[[#This Row],[Rm_minus_Rf]]/B387-1</f>
        <v>-1.9567231987627904</v>
      </c>
      <c r="D388" s="3">
        <v>-298112096516438</v>
      </c>
      <c r="E388" s="3">
        <f>[1]!nefin_factors__1[[#This Row],[SMB]]/D387-1</f>
        <v>-3.3298224757334158</v>
      </c>
      <c r="F388" s="3">
        <v>5100053512723</v>
      </c>
      <c r="G388" s="3">
        <f>[1]!nefin_factors__1[[#This Row],[HML]]/F387-1</f>
        <v>-1.0072620291873582</v>
      </c>
      <c r="H388" s="3">
        <v>472087287317624</v>
      </c>
      <c r="I388" s="4">
        <f>[1]!nefin_factors__1[[#This Row],[Risk_Free]]/H387-1</f>
        <v>8.9925392119100387</v>
      </c>
      <c r="J388">
        <v>53106</v>
      </c>
      <c r="K388">
        <v>53106</v>
      </c>
      <c r="L388">
        <v>52370</v>
      </c>
      <c r="M388">
        <v>52519</v>
      </c>
      <c r="N388">
        <v>1498600</v>
      </c>
      <c r="O388">
        <v>52519</v>
      </c>
      <c r="P388">
        <v>-1.1053364968176899E-2</v>
      </c>
      <c r="Q388">
        <v>-1.11149073270446E-2</v>
      </c>
      <c r="R388" s="8">
        <v>15.7832298278809</v>
      </c>
      <c r="S388" s="8">
        <v>3.5135126297897397E-2</v>
      </c>
      <c r="T388" s="9">
        <v>3.4531975005096499E-2</v>
      </c>
      <c r="U388" s="12">
        <v>5.0788E-2</v>
      </c>
      <c r="V388" s="16">
        <v>3.0851999999999999</v>
      </c>
      <c r="W388" s="17">
        <f t="shared" ref="W388:W451" si="6">V388/V387-1</f>
        <v>-6.1207396430642547E-3</v>
      </c>
    </row>
    <row r="389" spans="1:23" x14ac:dyDescent="0.2">
      <c r="A389" s="15">
        <v>42096</v>
      </c>
      <c r="B389" s="5">
        <v>124920373481198</v>
      </c>
      <c r="C389" s="5">
        <f>[1]!nefin_factors__1[[#This Row],[Rm_minus_Rf]]/B388-1</f>
        <v>-0.38741579424241712</v>
      </c>
      <c r="D389" s="5">
        <v>469054852981662</v>
      </c>
      <c r="E389" s="5">
        <f>[1]!nefin_factors__1[[#This Row],[SMB]]/D388-1</f>
        <v>-2.5734177125408868</v>
      </c>
      <c r="F389" s="5">
        <v>50242425028965</v>
      </c>
      <c r="G389" s="5">
        <f>[1]!nefin_factors__1[[#This Row],[HML]]/F388-1</f>
        <v>8.851352520836544</v>
      </c>
      <c r="H389" s="5">
        <v>472087287317624</v>
      </c>
      <c r="I389" s="6">
        <f>[1]!nefin_factors__1[[#This Row],[Risk_Free]]/H388-1</f>
        <v>0</v>
      </c>
      <c r="J389">
        <v>52511</v>
      </c>
      <c r="K389">
        <v>52679</v>
      </c>
      <c r="L389">
        <v>51683</v>
      </c>
      <c r="M389">
        <v>52149</v>
      </c>
      <c r="N389">
        <v>2573500</v>
      </c>
      <c r="O389">
        <v>52149</v>
      </c>
      <c r="P389">
        <v>-7.0450694034539501E-3</v>
      </c>
      <c r="Q389">
        <v>-7.0700030802373299E-3</v>
      </c>
      <c r="R389" s="8">
        <v>15.4123449325562</v>
      </c>
      <c r="S389" s="8">
        <v>-2.3498658434149299E-2</v>
      </c>
      <c r="T389" s="9">
        <v>-2.37791548149896E-2</v>
      </c>
      <c r="U389" s="12">
        <v>5.0788E-2</v>
      </c>
      <c r="V389" s="16">
        <v>3.1015000000000001</v>
      </c>
      <c r="W389" s="17">
        <f t="shared" si="6"/>
        <v>5.2832879554001178E-3</v>
      </c>
    </row>
    <row r="390" spans="1:23" x14ac:dyDescent="0.2">
      <c r="A390" s="14">
        <v>42100</v>
      </c>
      <c r="B390" s="3">
        <v>117809391886918</v>
      </c>
      <c r="C390" s="3">
        <f>[1]!nefin_factors__1[[#This Row],[Rm_minus_Rf]]/B389-1</f>
        <v>-5.6924114106577606E-2</v>
      </c>
      <c r="D390" s="3">
        <v>978784755114365</v>
      </c>
      <c r="E390" s="3">
        <f>[1]!nefin_factors__1[[#This Row],[SMB]]/D389-1</f>
        <v>1.0867170414984093</v>
      </c>
      <c r="F390" s="3">
        <v>624470161962402</v>
      </c>
      <c r="G390" s="3">
        <f>[1]!nefin_factors__1[[#This Row],[HML]]/F389-1</f>
        <v>11.429140544119674</v>
      </c>
      <c r="H390" s="3">
        <v>473144625713129</v>
      </c>
      <c r="I390" s="4">
        <f>[1]!nefin_factors__1[[#This Row],[Risk_Free]]/H389-1</f>
        <v>2.2397095281101453E-3</v>
      </c>
      <c r="J390">
        <v>52149</v>
      </c>
      <c r="K390">
        <v>52388</v>
      </c>
      <c r="L390">
        <v>51130</v>
      </c>
      <c r="M390">
        <v>52344</v>
      </c>
      <c r="N390">
        <v>3538900</v>
      </c>
      <c r="O390">
        <v>52344</v>
      </c>
      <c r="P390">
        <v>3.73928550883051E-3</v>
      </c>
      <c r="Q390">
        <v>3.7323117599246799E-3</v>
      </c>
      <c r="R390" s="8">
        <v>15.2475070953369</v>
      </c>
      <c r="S390" s="8">
        <v>-1.0695215275728901E-2</v>
      </c>
      <c r="T390" s="9">
        <v>-1.07528201901071E-2</v>
      </c>
      <c r="U390" s="12">
        <v>5.0788E-2</v>
      </c>
      <c r="V390" s="16">
        <v>3.1271</v>
      </c>
      <c r="W390" s="17">
        <f t="shared" si="6"/>
        <v>8.2540706109945905E-3</v>
      </c>
    </row>
    <row r="391" spans="1:23" x14ac:dyDescent="0.2">
      <c r="A391" s="15">
        <v>42101</v>
      </c>
      <c r="B391" s="5">
        <v>-143520934581833</v>
      </c>
      <c r="C391" s="5">
        <f>[1]!nefin_factors__1[[#This Row],[Rm_minus_Rf]]/B390-1</f>
        <v>-2.2182469689648752</v>
      </c>
      <c r="D391" s="5">
        <v>-519224929452176</v>
      </c>
      <c r="E391" s="5">
        <f>[1]!nefin_factors__1[[#This Row],[SMB]]/D390-1</f>
        <v>-1.530479175057756</v>
      </c>
      <c r="F391" s="5">
        <v>-588349472565044</v>
      </c>
      <c r="G391" s="5">
        <f>[1]!nefin_factors__1[[#This Row],[HML]]/F390-1</f>
        <v>-1.9421578618202533</v>
      </c>
      <c r="H391" s="5">
        <v>473497009526147</v>
      </c>
      <c r="I391" s="6">
        <f>[1]!nefin_factors__1[[#This Row],[Risk_Free]]/H390-1</f>
        <v>7.4476976777848591E-4</v>
      </c>
      <c r="J391">
        <v>52343</v>
      </c>
      <c r="K391">
        <v>52468</v>
      </c>
      <c r="L391">
        <v>51574</v>
      </c>
      <c r="M391">
        <v>51782</v>
      </c>
      <c r="N391">
        <v>2880300</v>
      </c>
      <c r="O391">
        <v>51782</v>
      </c>
      <c r="P391">
        <v>-1.07366651383157E-2</v>
      </c>
      <c r="Q391">
        <v>-1.07947190382514E-2</v>
      </c>
      <c r="R391" s="8">
        <v>15.066184997558601</v>
      </c>
      <c r="S391" s="8">
        <v>-1.18919098609418E-2</v>
      </c>
      <c r="T391" s="9">
        <v>-1.1963184243582999E-2</v>
      </c>
      <c r="U391" s="12">
        <v>5.0788E-2</v>
      </c>
      <c r="V391" s="16">
        <v>3.1389999999999998</v>
      </c>
      <c r="W391" s="17">
        <f t="shared" si="6"/>
        <v>3.805442742476961E-3</v>
      </c>
    </row>
    <row r="392" spans="1:23" x14ac:dyDescent="0.2">
      <c r="A392" s="14">
        <v>42102</v>
      </c>
      <c r="B392" s="3">
        <v>-22127432624782</v>
      </c>
      <c r="C392" s="3">
        <f>[1]!nefin_factors__1[[#This Row],[Rm_minus_Rf]]/B391-1</f>
        <v>-0.84582435524647903</v>
      </c>
      <c r="D392" s="3">
        <v>-678643954955278</v>
      </c>
      <c r="E392" s="3">
        <f>[1]!nefin_factors__1[[#This Row],[SMB]]/D391-1</f>
        <v>0.30703268749307133</v>
      </c>
      <c r="F392" s="3">
        <v>-154233303258108</v>
      </c>
      <c r="G392" s="3">
        <f>[1]!nefin_factors__1[[#This Row],[HML]]/F391-1</f>
        <v>-0.73785426782879115</v>
      </c>
      <c r="H392" s="3">
        <v>47420168370671</v>
      </c>
      <c r="I392" s="4">
        <f>[1]!nefin_factors__1[[#This Row],[Risk_Free]]/H391-1</f>
        <v>-0.8998511766354621</v>
      </c>
      <c r="J392">
        <v>51782</v>
      </c>
      <c r="K392">
        <v>52786</v>
      </c>
      <c r="L392">
        <v>51782</v>
      </c>
      <c r="M392">
        <v>52591</v>
      </c>
      <c r="N392">
        <v>2678700</v>
      </c>
      <c r="O392">
        <v>52591</v>
      </c>
      <c r="P392">
        <v>1.5623189525317599E-2</v>
      </c>
      <c r="Q392">
        <v>1.55024039131506E-2</v>
      </c>
      <c r="R392" s="8">
        <v>15.3299255371094</v>
      </c>
      <c r="S392" s="8">
        <v>1.7505434556304999E-2</v>
      </c>
      <c r="T392" s="9">
        <v>1.7353979407627101E-2</v>
      </c>
      <c r="U392" s="12">
        <v>5.0788E-2</v>
      </c>
      <c r="V392" s="16">
        <v>3.1025999999999998</v>
      </c>
      <c r="W392" s="17">
        <f t="shared" si="6"/>
        <v>-1.1596049697355837E-2</v>
      </c>
    </row>
    <row r="393" spans="1:23" x14ac:dyDescent="0.2">
      <c r="A393" s="15">
        <v>42103</v>
      </c>
      <c r="B393" s="5">
        <v>2262575926</v>
      </c>
      <c r="C393" s="5">
        <f>[1]!nefin_factors__1[[#This Row],[Rm_minus_Rf]]/B392-1</f>
        <v>-1.0001022520761611</v>
      </c>
      <c r="D393" s="5">
        <v>-353162958203409</v>
      </c>
      <c r="E393" s="5">
        <f>[1]!nefin_factors__1[[#This Row],[SMB]]/D392-1</f>
        <v>-0.47960494508982676</v>
      </c>
      <c r="F393" s="5">
        <v>-225736106271242</v>
      </c>
      <c r="G393" s="5">
        <f>[1]!nefin_factors__1[[#This Row],[HML]]/F392-1</f>
        <v>0.46360157957243975</v>
      </c>
      <c r="H393" s="5">
        <v>474906233330241</v>
      </c>
      <c r="I393" s="6">
        <f>[1]!nefin_factors__1[[#This Row],[Risk_Free]]/H392-1</f>
        <v>9.0148575943051004</v>
      </c>
      <c r="J393">
        <v>52591</v>
      </c>
      <c r="K393">
        <v>53164</v>
      </c>
      <c r="L393">
        <v>52591</v>
      </c>
      <c r="M393">
        <v>53119</v>
      </c>
      <c r="N393">
        <v>2606900</v>
      </c>
      <c r="O393">
        <v>53119</v>
      </c>
      <c r="P393">
        <v>1.00397406400334E-2</v>
      </c>
      <c r="Q393">
        <v>9.9896772474384905E-3</v>
      </c>
      <c r="R393" s="8">
        <v>15.667843818664601</v>
      </c>
      <c r="S393" s="8">
        <v>2.20430637174827E-2</v>
      </c>
      <c r="T393" s="9">
        <v>2.18036276036521E-2</v>
      </c>
      <c r="U393" s="12">
        <v>5.0788E-2</v>
      </c>
      <c r="V393" s="16">
        <v>3.1191</v>
      </c>
      <c r="W393" s="17">
        <f t="shared" si="6"/>
        <v>5.3181202862115917E-3</v>
      </c>
    </row>
    <row r="394" spans="1:23" x14ac:dyDescent="0.2">
      <c r="A394" s="14">
        <v>42104</v>
      </c>
      <c r="B394" s="3">
        <v>819163528880364</v>
      </c>
      <c r="C394" s="3">
        <f>[1]!nefin_factors__1[[#This Row],[Rm_minus_Rf]]/B393-1</f>
        <v>362048.07842741895</v>
      </c>
      <c r="D394" s="3">
        <v>18138230044795</v>
      </c>
      <c r="E394" s="3">
        <f>[1]!nefin_factors__1[[#This Row],[SMB]]/D393-1</f>
        <v>-1.0513593785063609</v>
      </c>
      <c r="F394" s="3">
        <v>104842139576045</v>
      </c>
      <c r="G394" s="3">
        <f>[1]!nefin_factors__1[[#This Row],[HML]]/F393-1</f>
        <v>-1.4644455922796322</v>
      </c>
      <c r="H394" s="3">
        <v>474906233330241</v>
      </c>
      <c r="I394" s="4">
        <f>[1]!nefin_factors__1[[#This Row],[Risk_Free]]/H393-1</f>
        <v>0</v>
      </c>
      <c r="J394">
        <v>53119</v>
      </c>
      <c r="K394">
        <v>53416</v>
      </c>
      <c r="L394">
        <v>52653</v>
      </c>
      <c r="M394">
        <v>53239</v>
      </c>
      <c r="N394">
        <v>2740900</v>
      </c>
      <c r="O394">
        <v>53239</v>
      </c>
      <c r="P394">
        <v>2.2590786724148199E-3</v>
      </c>
      <c r="Q394">
        <v>2.2565307907126898E-3</v>
      </c>
      <c r="R394" s="8">
        <v>16.360162734985401</v>
      </c>
      <c r="S394" s="8">
        <v>4.4187294512908502E-2</v>
      </c>
      <c r="T394" s="9">
        <v>4.3238874244467901E-2</v>
      </c>
      <c r="U394" s="12">
        <v>5.0788E-2</v>
      </c>
      <c r="V394" s="16">
        <v>3.1173000000000002</v>
      </c>
      <c r="W394" s="17">
        <f t="shared" si="6"/>
        <v>-5.7708954506097143E-4</v>
      </c>
    </row>
    <row r="395" spans="1:23" x14ac:dyDescent="0.2">
      <c r="A395" s="15">
        <v>42107</v>
      </c>
      <c r="B395" s="5">
        <v>-972599844</v>
      </c>
      <c r="C395" s="5">
        <f>[1]!nefin_factors__1[[#This Row],[Rm_minus_Rf]]/B394-1</f>
        <v>-1.0000011873085284</v>
      </c>
      <c r="D395" s="5">
        <v>-591311852822238</v>
      </c>
      <c r="E395" s="5">
        <f>[1]!nefin_factors__1[[#This Row],[SMB]]/D394-1</f>
        <v>-33.600306168898911</v>
      </c>
      <c r="F395" s="5">
        <v>294285924181816</v>
      </c>
      <c r="G395" s="5">
        <f>[1]!nefin_factors__1[[#This Row],[HML]]/F394-1</f>
        <v>1.8069431372903453</v>
      </c>
      <c r="H395" s="5">
        <v>476314959083401</v>
      </c>
      <c r="I395" s="6">
        <f>[1]!nefin_factors__1[[#This Row],[Risk_Free]]/H394-1</f>
        <v>2.966323990488462E-3</v>
      </c>
      <c r="J395">
        <v>53239</v>
      </c>
      <c r="K395">
        <v>53334</v>
      </c>
      <c r="L395">
        <v>52790</v>
      </c>
      <c r="M395">
        <v>52902</v>
      </c>
      <c r="N395">
        <v>2533600</v>
      </c>
      <c r="O395">
        <v>52902</v>
      </c>
      <c r="P395">
        <v>-6.3299460921505402E-3</v>
      </c>
      <c r="Q395">
        <v>-6.3500651475430899E-3</v>
      </c>
      <c r="R395" s="8">
        <v>16.318954467773398</v>
      </c>
      <c r="S395" s="8">
        <v>-2.51880309300945E-3</v>
      </c>
      <c r="T395" s="9">
        <v>-2.5219806143419701E-3</v>
      </c>
      <c r="U395" s="12">
        <v>5.0788E-2</v>
      </c>
      <c r="V395" s="16">
        <v>3.1271</v>
      </c>
      <c r="W395" s="17">
        <f t="shared" si="6"/>
        <v>3.1437461906136388E-3</v>
      </c>
    </row>
    <row r="396" spans="1:23" x14ac:dyDescent="0.2">
      <c r="A396" s="14">
        <v>42108</v>
      </c>
      <c r="B396" s="3">
        <v>-495252778120462</v>
      </c>
      <c r="C396" s="3">
        <f>[1]!nefin_factors__1[[#This Row],[Rm_minus_Rf]]/B395-1</f>
        <v>509204.07665685168</v>
      </c>
      <c r="D396" s="3">
        <v>115154649182202</v>
      </c>
      <c r="E396" s="3">
        <f>[1]!nefin_factors__1[[#This Row],[SMB]]/D395-1</f>
        <v>-1.1947443614272013</v>
      </c>
      <c r="F396" s="3">
        <v>-222165586908773</v>
      </c>
      <c r="G396" s="3">
        <f>[1]!nefin_factors__1[[#This Row],[HML]]/F395-1</f>
        <v>-1.7549310675542689</v>
      </c>
      <c r="H396" s="3">
        <v>477371176764274</v>
      </c>
      <c r="I396" s="4">
        <f>[1]!nefin_factors__1[[#This Row],[Risk_Free]]/H395-1</f>
        <v>2.2174774500165473E-3</v>
      </c>
      <c r="J396">
        <v>52902</v>
      </c>
      <c r="K396">
        <v>53417</v>
      </c>
      <c r="L396">
        <v>52714</v>
      </c>
      <c r="M396">
        <v>53070</v>
      </c>
      <c r="N396">
        <v>2075700</v>
      </c>
      <c r="O396">
        <v>53070</v>
      </c>
      <c r="P396">
        <v>3.1756833390042E-3</v>
      </c>
      <c r="Q396">
        <v>3.1706515068586098E-3</v>
      </c>
      <c r="R396" s="8">
        <v>16.442581176757798</v>
      </c>
      <c r="S396" s="8">
        <v>7.5756813912495301E-3</v>
      </c>
      <c r="T396" s="9">
        <v>7.5471300236878598E-3</v>
      </c>
      <c r="U396" s="12">
        <v>5.0788E-2</v>
      </c>
      <c r="V396" s="16">
        <v>3.1431</v>
      </c>
      <c r="W396" s="17">
        <f t="shared" si="6"/>
        <v>5.1165616705572958E-3</v>
      </c>
    </row>
    <row r="397" spans="1:23" x14ac:dyDescent="0.2">
      <c r="A397" s="15">
        <v>42109</v>
      </c>
      <c r="B397" s="5">
        <v>13882616863761</v>
      </c>
      <c r="C397" s="5">
        <f>[1]!nefin_factors__1[[#This Row],[Rm_minus_Rf]]/B396-1</f>
        <v>-1.028031376050927</v>
      </c>
      <c r="D397" s="5">
        <v>-103344916612779</v>
      </c>
      <c r="E397" s="5">
        <f>[1]!nefin_factors__1[[#This Row],[SMB]]/D396-1</f>
        <v>-1.8974445873154702</v>
      </c>
      <c r="F397" s="5">
        <v>556238220802992</v>
      </c>
      <c r="G397" s="5">
        <f>[1]!nefin_factors__1[[#This Row],[HML]]/F396-1</f>
        <v>-3.5037100864383555</v>
      </c>
      <c r="H397" s="5">
        <v>478427114638302</v>
      </c>
      <c r="I397" s="6">
        <f>[1]!nefin_factors__1[[#This Row],[Risk_Free]]/H396-1</f>
        <v>2.2119849823891702E-3</v>
      </c>
      <c r="J397">
        <v>53070</v>
      </c>
      <c r="K397">
        <v>53310</v>
      </c>
      <c r="L397">
        <v>52221</v>
      </c>
      <c r="M397">
        <v>52342</v>
      </c>
      <c r="N397">
        <v>2440800</v>
      </c>
      <c r="O397">
        <v>52342</v>
      </c>
      <c r="P397">
        <v>-1.3717731298285201E-2</v>
      </c>
      <c r="Q397">
        <v>-1.3812688775073899E-2</v>
      </c>
      <c r="R397" s="8">
        <v>16.277744293212901</v>
      </c>
      <c r="S397" s="8">
        <v>-1.0025025768323099E-2</v>
      </c>
      <c r="T397" s="9">
        <v>-1.00756147268712E-2</v>
      </c>
      <c r="U397" s="12">
        <v>5.0788E-2</v>
      </c>
      <c r="V397" s="16">
        <v>3.1808999999999998</v>
      </c>
      <c r="W397" s="17">
        <f t="shared" si="6"/>
        <v>1.2026343418917618E-2</v>
      </c>
    </row>
    <row r="398" spans="1:23" x14ac:dyDescent="0.2">
      <c r="A398" s="14">
        <v>42110</v>
      </c>
      <c r="B398" s="3">
        <v>-315757865519074</v>
      </c>
      <c r="C398" s="3">
        <f>[1]!nefin_factors__1[[#This Row],[Rm_minus_Rf]]/B397-1</f>
        <v>-23.744837563249632</v>
      </c>
      <c r="D398" s="3">
        <v>596356966131899</v>
      </c>
      <c r="E398" s="3">
        <f>[1]!nefin_factors__1[[#This Row],[SMB]]/D397-1</f>
        <v>-6.7705495894527354</v>
      </c>
      <c r="F398" s="3">
        <v>-128609628513536</v>
      </c>
      <c r="G398" s="3">
        <f>[1]!nefin_factors__1[[#This Row],[HML]]/F397-1</f>
        <v>-1.2312132171138359</v>
      </c>
      <c r="H398" s="3">
        <v>479482772854034</v>
      </c>
      <c r="I398" s="4">
        <f>[1]!nefin_factors__1[[#This Row],[Risk_Free]]/H397-1</f>
        <v>2.2065183670245681E-3</v>
      </c>
      <c r="J398">
        <v>52341</v>
      </c>
      <c r="K398">
        <v>52424</v>
      </c>
      <c r="L398">
        <v>51525</v>
      </c>
      <c r="M398">
        <v>51600</v>
      </c>
      <c r="N398">
        <v>2635000</v>
      </c>
      <c r="O398">
        <v>51600</v>
      </c>
      <c r="P398">
        <v>-1.41759963318177E-2</v>
      </c>
      <c r="Q398">
        <v>-1.42774355772126E-2</v>
      </c>
      <c r="R398" s="8">
        <v>16.318954467773398</v>
      </c>
      <c r="S398" s="8">
        <v>2.5316840165336999E-3</v>
      </c>
      <c r="T398" s="9">
        <v>2.5284847031832201E-3</v>
      </c>
      <c r="U398" s="12">
        <v>5.0788E-2</v>
      </c>
      <c r="V398" s="16">
        <v>3.2282000000000002</v>
      </c>
      <c r="W398" s="17">
        <f t="shared" si="6"/>
        <v>1.4870005344399528E-2</v>
      </c>
    </row>
    <row r="399" spans="1:23" x14ac:dyDescent="0.2">
      <c r="A399" s="15">
        <v>42111</v>
      </c>
      <c r="B399" s="5">
        <v>-123439182034701</v>
      </c>
      <c r="C399" s="5">
        <f>[1]!nefin_factors__1[[#This Row],[Rm_minus_Rf]]/B398-1</f>
        <v>-0.60907012773290869</v>
      </c>
      <c r="D399" s="5">
        <v>171502548172388</v>
      </c>
      <c r="E399" s="5">
        <f>[1]!nefin_factors__1[[#This Row],[SMB]]/D398-1</f>
        <v>-0.71241629106004944</v>
      </c>
      <c r="F399" s="5">
        <v>382696370917635</v>
      </c>
      <c r="G399" s="5">
        <f>[1]!nefin_factors__1[[#This Row],[HML]]/F398-1</f>
        <v>-3.9756432340317094</v>
      </c>
      <c r="H399" s="5">
        <v>480186389705484</v>
      </c>
      <c r="I399" s="6">
        <f>[1]!nefin_factors__1[[#This Row],[Risk_Free]]/H398-1</f>
        <v>1.4674497005635612E-3</v>
      </c>
      <c r="J399">
        <v>51603</v>
      </c>
      <c r="K399">
        <v>51998</v>
      </c>
      <c r="L399">
        <v>51244</v>
      </c>
      <c r="M399">
        <v>51474</v>
      </c>
      <c r="N399">
        <v>2942600</v>
      </c>
      <c r="O399">
        <v>51474</v>
      </c>
      <c r="P399">
        <v>-2.4418604651163002E-3</v>
      </c>
      <c r="Q399">
        <v>-2.4448466686338901E-3</v>
      </c>
      <c r="R399" s="8">
        <v>16.277744293212901</v>
      </c>
      <c r="S399" s="8">
        <v>-2.5252907782332698E-3</v>
      </c>
      <c r="T399" s="9">
        <v>-2.5284847031831498E-3</v>
      </c>
      <c r="U399" s="12">
        <v>5.0788E-2</v>
      </c>
      <c r="V399" s="16">
        <v>3.2162999999999999</v>
      </c>
      <c r="W399" s="17">
        <f t="shared" si="6"/>
        <v>-3.6862647915247848E-3</v>
      </c>
    </row>
    <row r="400" spans="1:23" x14ac:dyDescent="0.2">
      <c r="A400" s="14">
        <v>42114</v>
      </c>
      <c r="B400" s="3">
        <v>-349376139876753</v>
      </c>
      <c r="C400" s="3">
        <f>[1]!nefin_factors__1[[#This Row],[Rm_minus_Rf]]/B399-1</f>
        <v>1.8303504131981123</v>
      </c>
      <c r="D400" s="3">
        <v>-111892798341223</v>
      </c>
      <c r="E400" s="3">
        <f>[1]!nefin_factors__1[[#This Row],[SMB]]/D399-1</f>
        <v>-1.6524264480825819</v>
      </c>
      <c r="F400" s="3">
        <v>159257689065206</v>
      </c>
      <c r="G400" s="3">
        <f>[1]!nefin_factors__1[[#This Row],[HML]]/F399-1</f>
        <v>-0.5838536731264643</v>
      </c>
      <c r="H400" s="3">
        <v>482296495339263</v>
      </c>
      <c r="I400" s="4">
        <f>[1]!nefin_factors__1[[#This Row],[Risk_Free]]/H399-1</f>
        <v>4.3943470265228601E-3</v>
      </c>
      <c r="J400">
        <v>51474</v>
      </c>
      <c r="K400">
        <v>51474</v>
      </c>
      <c r="L400">
        <v>50592</v>
      </c>
      <c r="M400">
        <v>50916</v>
      </c>
      <c r="N400">
        <v>3123300</v>
      </c>
      <c r="O400">
        <v>50916</v>
      </c>
      <c r="P400">
        <v>-1.0840424291875501E-2</v>
      </c>
      <c r="Q400">
        <v>-1.0899609810695E-2</v>
      </c>
      <c r="R400" s="8">
        <v>15.816198348999</v>
      </c>
      <c r="S400" s="8">
        <v>-2.8354401560715899E-2</v>
      </c>
      <c r="T400" s="9">
        <v>-2.87641516674987E-2</v>
      </c>
      <c r="U400" s="12">
        <v>5.0788E-2</v>
      </c>
      <c r="V400" s="16">
        <v>3.1897000000000002</v>
      </c>
      <c r="W400" s="17">
        <f t="shared" si="6"/>
        <v>-8.2703727886079825E-3</v>
      </c>
    </row>
    <row r="401" spans="1:23" x14ac:dyDescent="0.2">
      <c r="A401" s="15">
        <v>42116</v>
      </c>
      <c r="B401" s="5">
        <v>128861780837333</v>
      </c>
      <c r="C401" s="5">
        <f>[1]!nefin_factors__1[[#This Row],[Rm_minus_Rf]]/B400-1</f>
        <v>-1.3688339475122446</v>
      </c>
      <c r="D401" s="5">
        <v>-336595583838709</v>
      </c>
      <c r="E401" s="5">
        <f>[1]!nefin_factors__1[[#This Row],[SMB]]/D400-1</f>
        <v>2.0081970317003153</v>
      </c>
      <c r="F401" s="5">
        <v>88532731894896</v>
      </c>
      <c r="G401" s="5">
        <f>[1]!nefin_factors__1[[#This Row],[HML]]/F400-1</f>
        <v>-0.44409131882701491</v>
      </c>
      <c r="H401" s="5">
        <v>483351129410003</v>
      </c>
      <c r="I401" s="6">
        <f>[1]!nefin_factors__1[[#This Row],[Risk_Free]]/H400-1</f>
        <v>2.1866923789237713E-3</v>
      </c>
      <c r="J401">
        <v>50916</v>
      </c>
      <c r="K401">
        <v>51063</v>
      </c>
      <c r="L401">
        <v>49668</v>
      </c>
      <c r="M401">
        <v>49807</v>
      </c>
      <c r="N401">
        <v>4181500</v>
      </c>
      <c r="O401">
        <v>49807</v>
      </c>
      <c r="P401">
        <v>-2.1780972582292401E-2</v>
      </c>
      <c r="Q401">
        <v>-2.2021679606532198E-2</v>
      </c>
      <c r="R401" s="8">
        <v>15.5771827697754</v>
      </c>
      <c r="S401" s="8">
        <v>-1.5112082691891701E-2</v>
      </c>
      <c r="T401" s="9">
        <v>-1.5227433819483899E-2</v>
      </c>
      <c r="U401" s="12">
        <v>5.0788E-2</v>
      </c>
      <c r="V401" s="16">
        <v>3.1594000000000002</v>
      </c>
      <c r="W401" s="17">
        <f t="shared" si="6"/>
        <v>-9.4993259554190246E-3</v>
      </c>
    </row>
    <row r="402" spans="1:23" x14ac:dyDescent="0.2">
      <c r="A402" s="14">
        <v>42117</v>
      </c>
      <c r="B402" s="3">
        <v>130286080097274</v>
      </c>
      <c r="C402" s="3">
        <f>[1]!nefin_factors__1[[#This Row],[Rm_minus_Rf]]/B401-1</f>
        <v>1.105292236911537E-2</v>
      </c>
      <c r="D402" s="3">
        <v>-942452366148999</v>
      </c>
      <c r="E402" s="3">
        <f>[1]!nefin_factors__1[[#This Row],[SMB]]/D401-1</f>
        <v>1.7999546381470246</v>
      </c>
      <c r="F402" s="3">
        <v>-79009464467591</v>
      </c>
      <c r="G402" s="3">
        <f>[1]!nefin_factors__1[[#This Row],[HML]]/F401-1</f>
        <v>-1.8924322425901101</v>
      </c>
      <c r="H402" s="3">
        <v>48370261210029</v>
      </c>
      <c r="I402" s="4">
        <f>[1]!nefin_factors__1[[#This Row],[Risk_Free]]/H401-1</f>
        <v>-0.89992728212082262</v>
      </c>
      <c r="J402">
        <v>49804</v>
      </c>
      <c r="K402">
        <v>49831</v>
      </c>
      <c r="L402">
        <v>48624</v>
      </c>
      <c r="M402">
        <v>49246</v>
      </c>
      <c r="N402">
        <v>3632500</v>
      </c>
      <c r="O402">
        <v>49246</v>
      </c>
      <c r="P402">
        <v>-1.1263477021302299E-2</v>
      </c>
      <c r="Q402">
        <v>-1.1327390356052401E-2</v>
      </c>
      <c r="R402" s="8">
        <v>15.494764328002899</v>
      </c>
      <c r="S402" s="8">
        <v>-5.2910857287644698E-3</v>
      </c>
      <c r="T402" s="9">
        <v>-5.3051330953160399E-3</v>
      </c>
      <c r="U402" s="12">
        <v>5.0788E-2</v>
      </c>
      <c r="V402" s="16">
        <v>3.1230000000000002</v>
      </c>
      <c r="W402" s="17">
        <f t="shared" si="6"/>
        <v>-1.1521174906627851E-2</v>
      </c>
    </row>
    <row r="403" spans="1:23" x14ac:dyDescent="0.2">
      <c r="A403" s="15">
        <v>42118</v>
      </c>
      <c r="B403" s="5">
        <v>11509893810391</v>
      </c>
      <c r="C403" s="5">
        <f>[1]!nefin_factors__1[[#This Row],[Rm_minus_Rf]]/B402-1</f>
        <v>-0.91165676485317926</v>
      </c>
      <c r="D403" s="5">
        <v>50632232459377</v>
      </c>
      <c r="E403" s="5">
        <f>[1]!nefin_factors__1[[#This Row],[SMB]]/D402-1</f>
        <v>-1.05372391674952</v>
      </c>
      <c r="F403" s="5">
        <v>52527758763325</v>
      </c>
      <c r="G403" s="5">
        <f>[1]!nefin_factors__1[[#This Row],[HML]]/F402-1</f>
        <v>-1.6648286900472717</v>
      </c>
      <c r="H403" s="5">
        <v>484405484513895</v>
      </c>
      <c r="I403" s="6">
        <f>[1]!nefin_factors__1[[#This Row],[Risk_Free]]/H402-1</f>
        <v>9.0145310857543866</v>
      </c>
      <c r="J403">
        <v>49246</v>
      </c>
      <c r="K403">
        <v>49298</v>
      </c>
      <c r="L403">
        <v>48640</v>
      </c>
      <c r="M403">
        <v>48736</v>
      </c>
      <c r="N403">
        <v>3489100</v>
      </c>
      <c r="O403">
        <v>48736</v>
      </c>
      <c r="P403">
        <v>-1.03561710595784E-2</v>
      </c>
      <c r="Q403">
        <v>-1.04101693328523E-2</v>
      </c>
      <c r="R403" s="8">
        <v>15.2887172698975</v>
      </c>
      <c r="S403" s="8">
        <v>-1.32977404130916E-2</v>
      </c>
      <c r="T403" s="9">
        <v>-1.3386947077138001E-2</v>
      </c>
      <c r="U403" s="12">
        <v>5.0788E-2</v>
      </c>
      <c r="V403" s="16">
        <v>3.1532</v>
      </c>
      <c r="W403" s="17">
        <f t="shared" si="6"/>
        <v>9.6701889209092062E-3</v>
      </c>
    </row>
    <row r="404" spans="1:23" x14ac:dyDescent="0.2">
      <c r="A404" s="14">
        <v>42121</v>
      </c>
      <c r="B404" s="3">
        <v>-167760441447267</v>
      </c>
      <c r="C404" s="3">
        <f>[1]!nefin_factors__1[[#This Row],[Rm_minus_Rf]]/B403-1</f>
        <v>-15.575324864927493</v>
      </c>
      <c r="D404" s="3">
        <v>492735668779296</v>
      </c>
      <c r="E404" s="3">
        <f>[1]!nefin_factors__1[[#This Row],[SMB]]/D403-1</f>
        <v>8.7316599495119078</v>
      </c>
      <c r="F404" s="3">
        <v>-637001738795239</v>
      </c>
      <c r="G404" s="3">
        <f>[1]!nefin_factors__1[[#This Row],[HML]]/F403-1</f>
        <v>-13.126954467358601</v>
      </c>
      <c r="H404" s="3">
        <v>485459560798596</v>
      </c>
      <c r="I404" s="4">
        <f>[1]!nefin_factors__1[[#This Row],[Risk_Free]]/H403-1</f>
        <v>2.1760205414660394E-3</v>
      </c>
      <c r="J404">
        <v>48740</v>
      </c>
      <c r="K404">
        <v>49871</v>
      </c>
      <c r="L404">
        <v>48740</v>
      </c>
      <c r="M404">
        <v>49602</v>
      </c>
      <c r="N404">
        <v>4137600</v>
      </c>
      <c r="O404">
        <v>49602</v>
      </c>
      <c r="P404">
        <v>1.7769205515430202E-2</v>
      </c>
      <c r="Q404">
        <v>1.7613178785842301E-2</v>
      </c>
      <c r="R404" s="8">
        <v>14.9178314208984</v>
      </c>
      <c r="S404" s="8">
        <v>-2.4258787941742601E-2</v>
      </c>
      <c r="T404" s="9">
        <v>-2.4557879307594101E-2</v>
      </c>
      <c r="U404" s="12">
        <v>5.0788E-2</v>
      </c>
      <c r="V404" s="16">
        <v>3.1375000000000002</v>
      </c>
      <c r="W404" s="17">
        <f t="shared" si="6"/>
        <v>-4.9790688824050688E-3</v>
      </c>
    </row>
    <row r="405" spans="1:23" x14ac:dyDescent="0.2">
      <c r="A405" s="15">
        <v>42122</v>
      </c>
      <c r="B405" s="5">
        <v>576600594992926</v>
      </c>
      <c r="C405" s="5">
        <f>[1]!nefin_factors__1[[#This Row],[Rm_minus_Rf]]/B404-1</f>
        <v>-4.4370474351319098</v>
      </c>
      <c r="D405" s="5">
        <v>-179658825073024</v>
      </c>
      <c r="E405" s="5">
        <f>[1]!nefin_factors__1[[#This Row],[SMB]]/D404-1</f>
        <v>-1.3646150186734218</v>
      </c>
      <c r="F405" s="5">
        <v>-348898511850527</v>
      </c>
      <c r="G405" s="5">
        <f>[1]!nefin_factors__1[[#This Row],[HML]]/F404-1</f>
        <v>-0.45228012640844817</v>
      </c>
      <c r="H405" s="5">
        <v>485810857626001</v>
      </c>
      <c r="I405" s="6">
        <f>[1]!nefin_factors__1[[#This Row],[Risk_Free]]/H404-1</f>
        <v>7.2363767401584234E-4</v>
      </c>
      <c r="J405">
        <v>49602</v>
      </c>
      <c r="K405">
        <v>50333</v>
      </c>
      <c r="L405">
        <v>49422</v>
      </c>
      <c r="M405">
        <v>50245</v>
      </c>
      <c r="N405">
        <v>3746800</v>
      </c>
      <c r="O405">
        <v>50245</v>
      </c>
      <c r="P405">
        <v>1.29631869682674E-2</v>
      </c>
      <c r="Q405">
        <v>1.2879884002328401E-2</v>
      </c>
      <c r="R405" s="8">
        <v>15.239265441894499</v>
      </c>
      <c r="S405" s="8">
        <v>2.15468845452607E-2</v>
      </c>
      <c r="T405" s="9">
        <v>2.13180319660401E-2</v>
      </c>
      <c r="U405" s="12">
        <v>5.0788E-2</v>
      </c>
      <c r="V405" s="16">
        <v>3.1831999999999998</v>
      </c>
      <c r="W405" s="17">
        <f t="shared" si="6"/>
        <v>1.4565737051792649E-2</v>
      </c>
    </row>
    <row r="406" spans="1:23" x14ac:dyDescent="0.2">
      <c r="A406" s="14">
        <v>42123</v>
      </c>
      <c r="B406" s="3">
        <v>-771029724363772</v>
      </c>
      <c r="C406" s="3">
        <f>[1]!nefin_factors__1[[#This Row],[Rm_minus_Rf]]/B405-1</f>
        <v>-2.3371989745748207</v>
      </c>
      <c r="D406" s="3">
        <v>384143449305991</v>
      </c>
      <c r="E406" s="3">
        <f>[1]!nefin_factors__1[[#This Row],[SMB]]/D405-1</f>
        <v>-3.1381830207887216</v>
      </c>
      <c r="F406" s="3">
        <v>-439307603880567</v>
      </c>
      <c r="G406" s="3">
        <f>[1]!nefin_factors__1[[#This Row],[HML]]/F405-1</f>
        <v>0.25912719303535603</v>
      </c>
      <c r="H406" s="3">
        <v>487215735410107</v>
      </c>
      <c r="I406" s="4">
        <f>[1]!nefin_factors__1[[#This Row],[Risk_Free]]/H405-1</f>
        <v>2.8918204730359331E-3</v>
      </c>
      <c r="J406">
        <v>50245</v>
      </c>
      <c r="K406">
        <v>50645</v>
      </c>
      <c r="L406">
        <v>49612</v>
      </c>
      <c r="M406">
        <v>49897</v>
      </c>
      <c r="N406">
        <v>3261200</v>
      </c>
      <c r="O406">
        <v>49897</v>
      </c>
      <c r="P406">
        <v>-6.9260622947556697E-3</v>
      </c>
      <c r="Q406">
        <v>-6.9501587912240703E-3</v>
      </c>
      <c r="R406" s="8">
        <v>14.8271703720093</v>
      </c>
      <c r="S406" s="8">
        <v>-2.7041511356252899E-2</v>
      </c>
      <c r="T406" s="9">
        <v>-2.74138609706264E-2</v>
      </c>
      <c r="U406" s="12">
        <v>5.0788E-2</v>
      </c>
      <c r="V406" s="16">
        <v>3.2149000000000001</v>
      </c>
      <c r="W406" s="17">
        <f t="shared" si="6"/>
        <v>9.9585322945463517E-3</v>
      </c>
    </row>
    <row r="407" spans="1:23" x14ac:dyDescent="0.2">
      <c r="A407" s="15">
        <v>42124</v>
      </c>
      <c r="B407" s="5">
        <v>125163013284358</v>
      </c>
      <c r="C407" s="5">
        <f>[1]!nefin_factors__1[[#This Row],[Rm_minus_Rf]]/B406-1</f>
        <v>-1.1623322802342522</v>
      </c>
      <c r="D407" s="5">
        <v>-109992950813692</v>
      </c>
      <c r="E407" s="5">
        <f>[1]!nefin_factors__1[[#This Row],[SMB]]/D406-1</f>
        <v>-1.2863330118277683</v>
      </c>
      <c r="F407" s="5">
        <v>6452110856.30124</v>
      </c>
      <c r="G407" s="5">
        <f>[1]!nefin_factors__1[[#This Row],[HML]]/F406-1</f>
        <v>-1.0000146870001778</v>
      </c>
      <c r="H407" s="5">
        <v>489322124111125</v>
      </c>
      <c r="I407" s="6">
        <f>[1]!nefin_factors__1[[#This Row],[Risk_Free]]/H406-1</f>
        <v>4.323318291936884E-3</v>
      </c>
      <c r="J407">
        <v>49897</v>
      </c>
      <c r="K407">
        <v>50895</v>
      </c>
      <c r="L407">
        <v>49892</v>
      </c>
      <c r="M407">
        <v>50865</v>
      </c>
      <c r="N407">
        <v>3142200</v>
      </c>
      <c r="O407">
        <v>50865</v>
      </c>
      <c r="P407">
        <v>1.9399963925686999E-2</v>
      </c>
      <c r="Q407">
        <v>1.9214183536013799E-2</v>
      </c>
      <c r="R407" s="8">
        <v>15.4123449325562</v>
      </c>
      <c r="S407" s="8">
        <v>3.9466252297952302E-2</v>
      </c>
      <c r="T407" s="9">
        <v>3.87073624670854E-2</v>
      </c>
      <c r="U407" s="12">
        <v>5.0788E-2</v>
      </c>
      <c r="V407" s="16">
        <v>3.1812999999999998</v>
      </c>
      <c r="W407" s="17">
        <f t="shared" si="6"/>
        <v>-1.0451335966904174E-2</v>
      </c>
    </row>
    <row r="408" spans="1:23" x14ac:dyDescent="0.2">
      <c r="A408" s="14">
        <v>42128</v>
      </c>
      <c r="B408" s="3">
        <v>179635955065623</v>
      </c>
      <c r="C408" s="3">
        <f>[1]!nefin_factors__1[[#This Row],[Rm_minus_Rf]]/B407-1</f>
        <v>0.4352159663774462</v>
      </c>
      <c r="D408" s="3">
        <v>-116009067278677</v>
      </c>
      <c r="E408" s="3">
        <f>[1]!nefin_factors__1[[#This Row],[SMB]]/D407-1</f>
        <v>5.4695472941490575E-2</v>
      </c>
      <c r="F408" s="3">
        <v>-64610612119772</v>
      </c>
      <c r="G408" s="3">
        <f>[1]!nefin_factors__1[[#This Row],[HML]]/F407-1</f>
        <v>-10014.87198062045</v>
      </c>
      <c r="H408" s="3">
        <v>49037490119197</v>
      </c>
      <c r="I408" s="4">
        <f>[1]!nefin_factors__1[[#This Row],[Risk_Free]]/H407-1</f>
        <v>-0.8997848498915193</v>
      </c>
      <c r="J408">
        <v>50867</v>
      </c>
      <c r="K408">
        <v>50867</v>
      </c>
      <c r="L408">
        <v>50054</v>
      </c>
      <c r="M408">
        <v>50138</v>
      </c>
      <c r="N408">
        <v>2613200</v>
      </c>
      <c r="O408">
        <v>50138</v>
      </c>
      <c r="P408">
        <v>-1.42927356728595E-2</v>
      </c>
      <c r="Q408">
        <v>-1.4395860623848501E-2</v>
      </c>
      <c r="R408" s="8">
        <v>14.8766222000122</v>
      </c>
      <c r="S408" s="8">
        <v>-3.4759348558401598E-2</v>
      </c>
      <c r="T408" s="9">
        <v>-3.5377829000881503E-2</v>
      </c>
      <c r="U408" s="12">
        <v>5.0788E-2</v>
      </c>
      <c r="V408" s="16">
        <v>3.2094</v>
      </c>
      <c r="W408" s="17">
        <f t="shared" si="6"/>
        <v>8.8328670669224341E-3</v>
      </c>
    </row>
    <row r="409" spans="1:23" x14ac:dyDescent="0.2">
      <c r="A409" s="15">
        <v>42129</v>
      </c>
      <c r="B409" s="5">
        <v>927606196750671</v>
      </c>
      <c r="C409" s="5">
        <f>[1]!nefin_factors__1[[#This Row],[Rm_minus_Rf]]/B408-1</f>
        <v>4.1638114230071936</v>
      </c>
      <c r="D409" s="5">
        <v>100963712703862</v>
      </c>
      <c r="E409" s="5">
        <f>[1]!nefin_factors__1[[#This Row],[SMB]]/D408-1</f>
        <v>-1.870308804925799</v>
      </c>
      <c r="F409" s="5">
        <v>103003183866922</v>
      </c>
      <c r="G409" s="5">
        <f>[1]!nefin_factors__1[[#This Row],[HML]]/F408-1</f>
        <v>-2.5942146419535499</v>
      </c>
      <c r="H409" s="5">
        <v>490725765104338</v>
      </c>
      <c r="I409" s="6">
        <f>[1]!nefin_factors__1[[#This Row],[Risk_Free]]/H408-1</f>
        <v>9.0071550136745397</v>
      </c>
      <c r="J409">
        <v>50138</v>
      </c>
      <c r="K409">
        <v>50574</v>
      </c>
      <c r="L409">
        <v>49827</v>
      </c>
      <c r="M409">
        <v>50058</v>
      </c>
      <c r="N409">
        <v>2670400</v>
      </c>
      <c r="O409">
        <v>50058</v>
      </c>
      <c r="P409">
        <v>-1.5955961546132401E-3</v>
      </c>
      <c r="Q409">
        <v>-1.59687047387055E-3</v>
      </c>
      <c r="R409" s="8">
        <v>14.835412025451699</v>
      </c>
      <c r="S409" s="8">
        <v>-2.7700554457929E-3</v>
      </c>
      <c r="T409" s="9">
        <v>-2.7738991492012701E-3</v>
      </c>
      <c r="U409" s="12">
        <v>5.0788E-2</v>
      </c>
      <c r="V409" s="16">
        <v>3.2850000000000001</v>
      </c>
      <c r="W409" s="17">
        <f t="shared" si="6"/>
        <v>2.3555804823331528E-2</v>
      </c>
    </row>
    <row r="410" spans="1:23" x14ac:dyDescent="0.2">
      <c r="A410" s="14">
        <v>42130</v>
      </c>
      <c r="B410" s="3">
        <v>-122408767344833</v>
      </c>
      <c r="C410" s="3">
        <f>[1]!nefin_factors__1[[#This Row],[Rm_minus_Rf]]/B409-1</f>
        <v>-1.1319619982850706</v>
      </c>
      <c r="D410" s="3">
        <v>411142915184653</v>
      </c>
      <c r="E410" s="3">
        <f>[1]!nefin_factors__1[[#This Row],[SMB]]/D409-1</f>
        <v>3.0721849877943939</v>
      </c>
      <c r="F410" s="3">
        <v>-687280353227476</v>
      </c>
      <c r="G410" s="3">
        <f>[1]!nefin_factors__1[[#This Row],[HML]]/F409-1</f>
        <v>-7.6724185352894345</v>
      </c>
      <c r="H410" s="3">
        <v>491778171573198</v>
      </c>
      <c r="I410" s="4">
        <f>[1]!nefin_factors__1[[#This Row],[Risk_Free]]/H409-1</f>
        <v>2.1445918345783799E-3</v>
      </c>
      <c r="J410">
        <v>50067</v>
      </c>
      <c r="K410">
        <v>50853</v>
      </c>
      <c r="L410">
        <v>50067</v>
      </c>
      <c r="M410">
        <v>50287</v>
      </c>
      <c r="N410">
        <v>2662100</v>
      </c>
      <c r="O410">
        <v>50287</v>
      </c>
      <c r="P410">
        <v>4.5746933557073701E-3</v>
      </c>
      <c r="Q410">
        <v>4.5642612497490903E-3</v>
      </c>
      <c r="R410" s="8">
        <v>15.082669258117701</v>
      </c>
      <c r="S410" s="8">
        <v>1.66667098411044E-2</v>
      </c>
      <c r="T410" s="9">
        <v>1.6529344417869699E-2</v>
      </c>
      <c r="U410" s="12">
        <v>5.0788E-2</v>
      </c>
      <c r="V410" s="16">
        <v>3.3254000000000001</v>
      </c>
      <c r="W410" s="17">
        <f t="shared" si="6"/>
        <v>1.2298325722983172E-2</v>
      </c>
    </row>
    <row r="411" spans="1:23" x14ac:dyDescent="0.2">
      <c r="A411" s="15">
        <v>42131</v>
      </c>
      <c r="B411" s="5">
        <v>-290493281812859</v>
      </c>
      <c r="C411" s="5">
        <f>[1]!nefin_factors__1[[#This Row],[Rm_minus_Rf]]/B410-1</f>
        <v>1.3731411410632184</v>
      </c>
      <c r="D411" s="5">
        <v>-768897717382421</v>
      </c>
      <c r="E411" s="5">
        <f>[1]!nefin_factors__1[[#This Row],[SMB]]/D410-1</f>
        <v>-2.8701470680507599</v>
      </c>
      <c r="F411" s="5">
        <v>-16909059798366</v>
      </c>
      <c r="G411" s="5">
        <f>[1]!nefin_factors__1[[#This Row],[HML]]/F410-1</f>
        <v>-0.97539714365620833</v>
      </c>
      <c r="H411" s="5">
        <v>492479621550412</v>
      </c>
      <c r="I411" s="6">
        <f>[1]!nefin_factors__1[[#This Row],[Risk_Free]]/H410-1</f>
        <v>1.4263544373473991E-3</v>
      </c>
      <c r="J411">
        <v>50280</v>
      </c>
      <c r="K411">
        <v>50534</v>
      </c>
      <c r="L411">
        <v>49624</v>
      </c>
      <c r="M411">
        <v>50011</v>
      </c>
      <c r="N411">
        <v>3640800</v>
      </c>
      <c r="O411">
        <v>50011</v>
      </c>
      <c r="P411">
        <v>-5.48849603277191E-3</v>
      </c>
      <c r="Q411">
        <v>-5.5036131660467901E-3</v>
      </c>
      <c r="R411" s="8">
        <v>14.752992630004901</v>
      </c>
      <c r="S411" s="8">
        <v>-2.1858116920947902E-2</v>
      </c>
      <c r="T411" s="9">
        <v>-2.21005447466825E-2</v>
      </c>
      <c r="U411" s="12">
        <v>5.0788E-2</v>
      </c>
      <c r="V411" s="16">
        <v>3.3557000000000001</v>
      </c>
      <c r="W411" s="17">
        <f t="shared" si="6"/>
        <v>9.1116858122330946E-3</v>
      </c>
    </row>
    <row r="412" spans="1:23" x14ac:dyDescent="0.2">
      <c r="A412" s="14">
        <v>42132</v>
      </c>
      <c r="B412" s="3">
        <v>500106890829137</v>
      </c>
      <c r="C412" s="3">
        <f>[1]!nefin_factors__1[[#This Row],[Rm_minus_Rf]]/B411-1</f>
        <v>-2.7215781642458596</v>
      </c>
      <c r="D412" s="3">
        <v>-129827225576396</v>
      </c>
      <c r="E412" s="3">
        <f>[1]!nefin_factors__1[[#This Row],[SMB]]/D411-1</f>
        <v>-0.8311515008545346</v>
      </c>
      <c r="F412" s="3">
        <v>-193911572499358</v>
      </c>
      <c r="G412" s="3">
        <f>[1]!nefin_factors__1[[#This Row],[HML]]/F411-1</f>
        <v>10.467909795794593</v>
      </c>
      <c r="H412" s="3">
        <v>492479621550412</v>
      </c>
      <c r="I412" s="4">
        <f>[1]!nefin_factors__1[[#This Row],[Risk_Free]]/H411-1</f>
        <v>0</v>
      </c>
      <c r="J412">
        <v>50013</v>
      </c>
      <c r="K412">
        <v>50013</v>
      </c>
      <c r="L412">
        <v>48512</v>
      </c>
      <c r="M412">
        <v>48577</v>
      </c>
      <c r="N412">
        <v>3218400</v>
      </c>
      <c r="O412">
        <v>48577</v>
      </c>
      <c r="P412">
        <v>-2.8673691787806699E-2</v>
      </c>
      <c r="Q412">
        <v>-2.90928133726648E-2</v>
      </c>
      <c r="R412" s="8">
        <v>14.835412025451699</v>
      </c>
      <c r="S412" s="8">
        <v>5.5867483256228897E-3</v>
      </c>
      <c r="T412" s="9">
        <v>5.5712003288127601E-3</v>
      </c>
      <c r="U412" s="12">
        <v>5.0788E-2</v>
      </c>
      <c r="V412" s="16">
        <v>3.3815</v>
      </c>
      <c r="W412" s="17">
        <f t="shared" si="6"/>
        <v>7.6884107637749111E-3</v>
      </c>
    </row>
    <row r="413" spans="1:23" x14ac:dyDescent="0.2">
      <c r="A413" s="15">
        <v>42135</v>
      </c>
      <c r="B413" s="5">
        <v>-280992264096755</v>
      </c>
      <c r="C413" s="5">
        <f>[1]!nefin_factors__1[[#This Row],[Rm_minus_Rf]]/B412-1</f>
        <v>-1.5618644118878113</v>
      </c>
      <c r="D413" s="5">
        <v>-808620602547612</v>
      </c>
      <c r="E413" s="5">
        <f>[1]!nefin_factors__1[[#This Row],[SMB]]/D412-1</f>
        <v>5.2284362848976107</v>
      </c>
      <c r="F413" s="5">
        <v>152479860872243</v>
      </c>
      <c r="G413" s="5">
        <f>[1]!nefin_factors__1[[#This Row],[HML]]/F412-1</f>
        <v>-1.7863370860588934</v>
      </c>
      <c r="H413" s="5">
        <v>493531565121996</v>
      </c>
      <c r="I413" s="6">
        <f>[1]!nefin_factors__1[[#This Row],[Risk_Free]]/H412-1</f>
        <v>2.1360144167432704E-3</v>
      </c>
      <c r="J413">
        <v>48578</v>
      </c>
      <c r="K413">
        <v>49512</v>
      </c>
      <c r="L413">
        <v>48578</v>
      </c>
      <c r="M413">
        <v>49353</v>
      </c>
      <c r="N413">
        <v>2842100</v>
      </c>
      <c r="O413">
        <v>49353</v>
      </c>
      <c r="P413">
        <v>1.59746382032648E-2</v>
      </c>
      <c r="Q413">
        <v>1.5848386446362901E-2</v>
      </c>
      <c r="R413" s="8">
        <v>14.835412025451699</v>
      </c>
      <c r="S413" s="8">
        <v>0</v>
      </c>
      <c r="T413" s="9">
        <v>0</v>
      </c>
      <c r="U413" s="12">
        <v>5.0788E-2</v>
      </c>
      <c r="V413" s="16">
        <v>3.3418999999999999</v>
      </c>
      <c r="W413" s="17">
        <f t="shared" si="6"/>
        <v>-1.1710779239982316E-2</v>
      </c>
    </row>
    <row r="414" spans="1:23" x14ac:dyDescent="0.2">
      <c r="A414" s="14">
        <v>42136</v>
      </c>
      <c r="B414" s="3">
        <v>-735070826426829</v>
      </c>
      <c r="C414" s="3">
        <f>[1]!nefin_factors__1[[#This Row],[Rm_minus_Rf]]/B413-1</f>
        <v>1.6159824320776304</v>
      </c>
      <c r="D414" s="3">
        <v>-28945039075415</v>
      </c>
      <c r="E414" s="3">
        <f>[1]!nefin_factors__1[[#This Row],[SMB]]/D413-1</f>
        <v>-0.96420442543236995</v>
      </c>
      <c r="F414" s="3">
        <v>-154783958943231</v>
      </c>
      <c r="G414" s="3">
        <f>[1]!nefin_factors__1[[#This Row],[HML]]/F413-1</f>
        <v>-2.0151108353444691</v>
      </c>
      <c r="H414" s="3">
        <v>494232706636843</v>
      </c>
      <c r="I414" s="4">
        <f>[1]!nefin_factors__1[[#This Row],[Risk_Free]]/H413-1</f>
        <v>1.4206619482863836E-3</v>
      </c>
      <c r="J414">
        <v>49340</v>
      </c>
      <c r="K414">
        <v>49340</v>
      </c>
      <c r="L414">
        <v>48306</v>
      </c>
      <c r="M414">
        <v>49072</v>
      </c>
      <c r="N414">
        <v>3288000</v>
      </c>
      <c r="O414">
        <v>49072</v>
      </c>
      <c r="P414">
        <v>-5.6936761696351201E-3</v>
      </c>
      <c r="Q414">
        <v>-5.7099469334973398E-3</v>
      </c>
      <c r="R414" s="8">
        <v>14.5881547927856</v>
      </c>
      <c r="S414" s="8">
        <v>-1.6666779853705901E-2</v>
      </c>
      <c r="T414" s="9">
        <v>-1.6807233421851499E-2</v>
      </c>
      <c r="U414" s="12">
        <v>5.2531000000000001E-2</v>
      </c>
      <c r="V414" s="16">
        <v>3.3652000000000002</v>
      </c>
      <c r="W414" s="17">
        <f t="shared" si="6"/>
        <v>6.9720817499028254E-3</v>
      </c>
    </row>
    <row r="415" spans="1:23" x14ac:dyDescent="0.2">
      <c r="A415" s="15">
        <v>42137</v>
      </c>
      <c r="B415" s="5">
        <v>-69254075612684</v>
      </c>
      <c r="C415" s="5">
        <f>[1]!nefin_factors__1[[#This Row],[Rm_minus_Rf]]/B414-1</f>
        <v>-0.90578584658389005</v>
      </c>
      <c r="D415" s="5">
        <v>-110966407158184</v>
      </c>
      <c r="E415" s="5">
        <f>[1]!nefin_factors__1[[#This Row],[SMB]]/D414-1</f>
        <v>2.8336934653660686</v>
      </c>
      <c r="F415" s="5">
        <v>-442018273141902</v>
      </c>
      <c r="G415" s="5">
        <f>[1]!nefin_factors__1[[#This Row],[HML]]/F414-1</f>
        <v>1.8557111225202467</v>
      </c>
      <c r="H415" s="5">
        <v>494933724842994</v>
      </c>
      <c r="I415" s="6">
        <f>[1]!nefin_factors__1[[#This Row],[Risk_Free]]/H414-1</f>
        <v>1.4183970359251674E-3</v>
      </c>
      <c r="J415">
        <v>49064</v>
      </c>
      <c r="K415">
        <v>49064</v>
      </c>
      <c r="L415">
        <v>48028</v>
      </c>
      <c r="M415">
        <v>48388</v>
      </c>
      <c r="N415">
        <v>4234500</v>
      </c>
      <c r="O415">
        <v>48388</v>
      </c>
      <c r="P415">
        <v>-1.39387023149657E-2</v>
      </c>
      <c r="Q415">
        <v>-1.40367582742939E-2</v>
      </c>
      <c r="R415" s="8">
        <v>14.5881547927856</v>
      </c>
      <c r="S415" s="8">
        <v>0</v>
      </c>
      <c r="T415" s="9">
        <v>0</v>
      </c>
      <c r="U415" s="12">
        <v>5.2531000000000001E-2</v>
      </c>
      <c r="V415" s="16">
        <v>3.3940000000000001</v>
      </c>
      <c r="W415" s="17">
        <f t="shared" si="6"/>
        <v>8.5581837632235924E-3</v>
      </c>
    </row>
    <row r="416" spans="1:23" x14ac:dyDescent="0.2">
      <c r="A416" s="14">
        <v>42138</v>
      </c>
      <c r="B416" s="3">
        <v>420515569678737</v>
      </c>
      <c r="C416" s="3">
        <f>[1]!nefin_factors__1[[#This Row],[Rm_minus_Rf]]/B415-1</f>
        <v>-7.0720696357359056</v>
      </c>
      <c r="D416" s="3">
        <v>420472731870782</v>
      </c>
      <c r="E416" s="3">
        <f>[1]!nefin_factors__1[[#This Row],[SMB]]/D415-1</f>
        <v>-4.7891893829759926</v>
      </c>
      <c r="F416" s="3">
        <v>-813337482909586</v>
      </c>
      <c r="G416" s="3">
        <f>[1]!nefin_factors__1[[#This Row],[HML]]/F415-1</f>
        <v>0.84005398041197865</v>
      </c>
      <c r="H416" s="3">
        <v>495634619783747</v>
      </c>
      <c r="I416" s="4">
        <f>[1]!nefin_factors__1[[#This Row],[Risk_Free]]/H415-1</f>
        <v>1.4161389809823621E-3</v>
      </c>
      <c r="J416">
        <v>48390</v>
      </c>
      <c r="K416">
        <v>48606</v>
      </c>
      <c r="L416">
        <v>47722</v>
      </c>
      <c r="M416">
        <v>48010</v>
      </c>
      <c r="N416">
        <v>3186500</v>
      </c>
      <c r="O416">
        <v>48010</v>
      </c>
      <c r="P416">
        <v>-7.8118541787219904E-3</v>
      </c>
      <c r="Q416">
        <v>-7.8425265547528104E-3</v>
      </c>
      <c r="R416" s="8">
        <v>14.5057363510132</v>
      </c>
      <c r="S416" s="8">
        <v>-5.6496616005779999E-3</v>
      </c>
      <c r="T416" s="9">
        <v>-5.6656813044420502E-3</v>
      </c>
      <c r="U416" s="12">
        <v>5.2531000000000001E-2</v>
      </c>
      <c r="V416" s="16">
        <v>3.4424999999999999</v>
      </c>
      <c r="W416" s="17">
        <f t="shared" si="6"/>
        <v>1.4289923394225079E-2</v>
      </c>
    </row>
    <row r="417" spans="1:23" x14ac:dyDescent="0.2">
      <c r="A417" s="15">
        <v>42139</v>
      </c>
      <c r="B417" s="5">
        <v>916230619406146</v>
      </c>
      <c r="C417" s="5">
        <f>[1]!nefin_factors__1[[#This Row],[Rm_minus_Rf]]/B416-1</f>
        <v>1.1788268627155052</v>
      </c>
      <c r="D417" s="5">
        <v>607755737557353</v>
      </c>
      <c r="E417" s="5">
        <f>[1]!nefin_factors__1[[#This Row],[SMB]]/D416-1</f>
        <v>0.44541058549339185</v>
      </c>
      <c r="F417" s="5">
        <v>-159260401260889</v>
      </c>
      <c r="G417" s="5">
        <f>[1]!nefin_factors__1[[#This Row],[HML]]/F416-1</f>
        <v>-0.80418903025204225</v>
      </c>
      <c r="H417" s="5">
        <v>495634619783747</v>
      </c>
      <c r="I417" s="6">
        <f>[1]!nefin_factors__1[[#This Row],[Risk_Free]]/H416-1</f>
        <v>0</v>
      </c>
      <c r="J417">
        <v>48010</v>
      </c>
      <c r="K417">
        <v>48186</v>
      </c>
      <c r="L417">
        <v>47508</v>
      </c>
      <c r="M417">
        <v>47508</v>
      </c>
      <c r="N417">
        <v>2878900</v>
      </c>
      <c r="O417">
        <v>47508</v>
      </c>
      <c r="P417">
        <v>-1.0456154967715001E-2</v>
      </c>
      <c r="Q417">
        <v>-1.05112046308551E-2</v>
      </c>
      <c r="R417" s="8">
        <v>14.299689292907701</v>
      </c>
      <c r="S417" s="8">
        <v>-1.42045472853245E-2</v>
      </c>
      <c r="T417" s="9">
        <v>-1.4306397508397E-2</v>
      </c>
      <c r="U417" s="12">
        <v>5.2531000000000001E-2</v>
      </c>
      <c r="V417" s="16">
        <v>3.4674999999999998</v>
      </c>
      <c r="W417" s="17">
        <f t="shared" si="6"/>
        <v>7.2621641249090985E-3</v>
      </c>
    </row>
    <row r="418" spans="1:23" x14ac:dyDescent="0.2">
      <c r="A418" s="14">
        <v>42142</v>
      </c>
      <c r="B418" s="3">
        <v>-165630907176459</v>
      </c>
      <c r="C418" s="3">
        <f>[1]!nefin_factors__1[[#This Row],[Rm_minus_Rf]]/B417-1</f>
        <v>-1.180774254503536</v>
      </c>
      <c r="D418" s="3">
        <v>183702896492203</v>
      </c>
      <c r="E418" s="3">
        <f>[1]!nefin_factors__1[[#This Row],[SMB]]/D417-1</f>
        <v>-0.69773564420711498</v>
      </c>
      <c r="F418" s="3">
        <v>112423322409141</v>
      </c>
      <c r="G418" s="3">
        <f>[1]!nefin_factors__1[[#This Row],[HML]]/F417-1</f>
        <v>-1.705908823028627</v>
      </c>
      <c r="H418" s="3">
        <v>49703604004292</v>
      </c>
      <c r="I418" s="4">
        <f>[1]!nefin_factors__1[[#This Row],[Risk_Free]]/H417-1</f>
        <v>-0.89971724730209834</v>
      </c>
      <c r="J418">
        <v>47509</v>
      </c>
      <c r="K418">
        <v>47788</v>
      </c>
      <c r="L418">
        <v>47217</v>
      </c>
      <c r="M418">
        <v>47217</v>
      </c>
      <c r="N418">
        <v>2411800</v>
      </c>
      <c r="O418">
        <v>47217</v>
      </c>
      <c r="P418">
        <v>-6.1252841626673301E-3</v>
      </c>
      <c r="Q418">
        <v>-6.1441206744202899E-3</v>
      </c>
      <c r="R418" s="8">
        <v>14.0936422348022</v>
      </c>
      <c r="S418" s="8">
        <v>-1.4409151150380099E-2</v>
      </c>
      <c r="T418" s="9">
        <v>-1.45139710982388E-2</v>
      </c>
      <c r="U418" s="12">
        <v>5.2531000000000001E-2</v>
      </c>
      <c r="V418" s="16">
        <v>3.4851000000000001</v>
      </c>
      <c r="W418" s="17">
        <f t="shared" si="6"/>
        <v>5.0757029560202227E-3</v>
      </c>
    </row>
    <row r="419" spans="1:23" x14ac:dyDescent="0.2">
      <c r="A419" s="15">
        <v>42143</v>
      </c>
      <c r="B419" s="5">
        <v>-129508759969559</v>
      </c>
      <c r="C419" s="5">
        <f>[1]!nefin_factors__1[[#This Row],[Rm_minus_Rf]]/B418-1</f>
        <v>-0.21808820480839586</v>
      </c>
      <c r="D419" s="5">
        <v>12185383594878</v>
      </c>
      <c r="E419" s="5">
        <f>[1]!nefin_factors__1[[#This Row],[SMB]]/D418-1</f>
        <v>-0.93366798331677259</v>
      </c>
      <c r="F419" s="5">
        <v>5560480005.5494804</v>
      </c>
      <c r="G419" s="5">
        <f>[1]!nefin_factors__1[[#This Row],[HML]]/F418-1</f>
        <v>-0.99995053980004867</v>
      </c>
      <c r="H419" s="5">
        <v>497736565448159</v>
      </c>
      <c r="I419" s="6">
        <f>[1]!nefin_factors__1[[#This Row],[Risk_Free]]/H418-1</f>
        <v>9.0140940565432341</v>
      </c>
      <c r="J419">
        <v>47220</v>
      </c>
      <c r="K419">
        <v>48084</v>
      </c>
      <c r="L419">
        <v>46676</v>
      </c>
      <c r="M419">
        <v>47451</v>
      </c>
      <c r="N419">
        <v>3544600</v>
      </c>
      <c r="O419">
        <v>47451</v>
      </c>
      <c r="P419">
        <v>4.9558421754876099E-3</v>
      </c>
      <c r="Q419">
        <v>4.9436024118878199E-3</v>
      </c>
      <c r="R419" s="8">
        <v>14.0029811859131</v>
      </c>
      <c r="S419" s="8">
        <v>-6.43275776097052E-3</v>
      </c>
      <c r="T419" s="9">
        <v>-6.4535371074454602E-3</v>
      </c>
      <c r="U419" s="12">
        <v>5.2531000000000001E-2</v>
      </c>
      <c r="V419" s="16">
        <v>3.5347</v>
      </c>
      <c r="W419" s="17">
        <f t="shared" si="6"/>
        <v>1.423201629795412E-2</v>
      </c>
    </row>
    <row r="420" spans="1:23" x14ac:dyDescent="0.2">
      <c r="A420" s="14">
        <v>42144</v>
      </c>
      <c r="B420" s="3">
        <v>-117732371270302</v>
      </c>
      <c r="C420" s="3">
        <f>[1]!nefin_factors__1[[#This Row],[Rm_minus_Rf]]/B419-1</f>
        <v>-9.093121347177624E-2</v>
      </c>
      <c r="D420" s="3">
        <v>957264023903721</v>
      </c>
      <c r="E420" s="3">
        <f>[1]!nefin_factors__1[[#This Row],[SMB]]/D419-1</f>
        <v>77.558382380846595</v>
      </c>
      <c r="F420" s="3">
        <v>-37187015807386</v>
      </c>
      <c r="G420" s="3">
        <f>[1]!nefin_factors__1[[#This Row],[HML]]/F419-1</f>
        <v>-6688.7348304953075</v>
      </c>
      <c r="H420" s="3">
        <v>498086781988594</v>
      </c>
      <c r="I420" s="4">
        <f>[1]!nefin_factors__1[[#This Row],[Risk_Free]]/H419-1</f>
        <v>7.0361826867126886E-4</v>
      </c>
      <c r="J420">
        <v>47451</v>
      </c>
      <c r="K420">
        <v>47451</v>
      </c>
      <c r="L420">
        <v>45977</v>
      </c>
      <c r="M420">
        <v>46588</v>
      </c>
      <c r="N420">
        <v>3236800</v>
      </c>
      <c r="O420">
        <v>46588</v>
      </c>
      <c r="P420">
        <v>-1.81871825672799E-2</v>
      </c>
      <c r="Q420">
        <v>-1.8354602409055999E-2</v>
      </c>
      <c r="R420" s="8">
        <v>14.011222839355501</v>
      </c>
      <c r="S420" s="8">
        <v>5.8842727549190997E-4</v>
      </c>
      <c r="T420" s="9">
        <v>5.8825422004633995E-4</v>
      </c>
      <c r="U420" s="12">
        <v>5.2531000000000001E-2</v>
      </c>
      <c r="V420" s="16">
        <v>3.5181</v>
      </c>
      <c r="W420" s="17">
        <f t="shared" si="6"/>
        <v>-4.6962967154213775E-3</v>
      </c>
    </row>
    <row r="421" spans="1:23" x14ac:dyDescent="0.2">
      <c r="A421" s="15">
        <v>42145</v>
      </c>
      <c r="B421" s="5">
        <v>224995306239408</v>
      </c>
      <c r="C421" s="5">
        <f>[1]!nefin_factors__1[[#This Row],[Rm_minus_Rf]]/B420-1</f>
        <v>-2.9110742764438235</v>
      </c>
      <c r="D421" s="5">
        <v>673572133286869</v>
      </c>
      <c r="E421" s="5">
        <f>[1]!nefin_factors__1[[#This Row],[SMB]]/D420-1</f>
        <v>-0.29635699611895683</v>
      </c>
      <c r="F421" s="5">
        <v>-510877991846537</v>
      </c>
      <c r="G421" s="5">
        <f>[1]!nefin_factors__1[[#This Row],[HML]]/F420-1</f>
        <v>12.738074452994089</v>
      </c>
      <c r="H421" s="5">
        <v>499137247026438</v>
      </c>
      <c r="I421" s="6">
        <f>[1]!nefin_factors__1[[#This Row],[Risk_Free]]/H420-1</f>
        <v>2.1090000293724209E-3</v>
      </c>
      <c r="J421">
        <v>46588</v>
      </c>
      <c r="K421">
        <v>46781</v>
      </c>
      <c r="L421">
        <v>46030</v>
      </c>
      <c r="M421">
        <v>46649</v>
      </c>
      <c r="N421">
        <v>2945700</v>
      </c>
      <c r="O421">
        <v>46649</v>
      </c>
      <c r="P421">
        <v>1.30935004722255E-3</v>
      </c>
      <c r="Q421">
        <v>1.3084935959642801E-3</v>
      </c>
      <c r="R421" s="8">
        <v>13.796933174133301</v>
      </c>
      <c r="S421" s="8">
        <v>-1.52940409868823E-2</v>
      </c>
      <c r="T421" s="9">
        <v>-1.54122011440534E-2</v>
      </c>
      <c r="U421" s="12">
        <v>5.2531000000000001E-2</v>
      </c>
      <c r="V421" s="16">
        <v>3.4908999999999999</v>
      </c>
      <c r="W421" s="17">
        <f t="shared" si="6"/>
        <v>-7.7314459509394418E-3</v>
      </c>
    </row>
    <row r="422" spans="1:23" x14ac:dyDescent="0.2">
      <c r="A422" s="14">
        <v>42146</v>
      </c>
      <c r="B422" s="3">
        <v>-120828937519547</v>
      </c>
      <c r="C422" s="3">
        <f>[1]!nefin_factors__1[[#This Row],[Rm_minus_Rf]]/B421-1</f>
        <v>-1.5370287031276022</v>
      </c>
      <c r="D422" s="3">
        <v>64102948782112</v>
      </c>
      <c r="E422" s="3">
        <f>[1]!nefin_factors__1[[#This Row],[SMB]]/D421-1</f>
        <v>-0.90483135270263459</v>
      </c>
      <c r="F422" s="3">
        <v>-370248433545272</v>
      </c>
      <c r="G422" s="3">
        <f>[1]!nefin_factors__1[[#This Row],[HML]]/F421-1</f>
        <v>-0.27527033958336733</v>
      </c>
      <c r="H422" s="3">
        <v>499487340529292</v>
      </c>
      <c r="I422" s="4">
        <f>[1]!nefin_factors__1[[#This Row],[Risk_Free]]/H421-1</f>
        <v>7.0139727087026316E-4</v>
      </c>
      <c r="J422">
        <v>46649</v>
      </c>
      <c r="K422">
        <v>46649</v>
      </c>
      <c r="L422">
        <v>45677</v>
      </c>
      <c r="M422">
        <v>45720</v>
      </c>
      <c r="N422">
        <v>2869600</v>
      </c>
      <c r="O422">
        <v>45720</v>
      </c>
      <c r="P422">
        <v>-1.9914681986752201E-2</v>
      </c>
      <c r="Q422">
        <v>-2.01156519097598E-2</v>
      </c>
      <c r="R422" s="8">
        <v>13.8051748275757</v>
      </c>
      <c r="S422" s="8">
        <v>5.9736562886914001E-4</v>
      </c>
      <c r="T422" s="9">
        <v>5.9718727704582703E-4</v>
      </c>
      <c r="U422" s="12">
        <v>5.2531000000000001E-2</v>
      </c>
      <c r="V422" s="16">
        <v>3.4925000000000002</v>
      </c>
      <c r="W422" s="17">
        <f t="shared" si="6"/>
        <v>4.5833452691290688E-4</v>
      </c>
    </row>
    <row r="423" spans="1:23" x14ac:dyDescent="0.2">
      <c r="A423" s="15">
        <v>42149</v>
      </c>
      <c r="B423" s="5">
        <v>381070405821818</v>
      </c>
      <c r="C423" s="5">
        <f>[1]!nefin_factors__1[[#This Row],[Rm_minus_Rf]]/B422-1</f>
        <v>-4.1538008497357737</v>
      </c>
      <c r="D423" s="5">
        <v>-111887162156287</v>
      </c>
      <c r="E423" s="5">
        <f>[1]!nefin_factors__1[[#This Row],[SMB]]/D422-1</f>
        <v>-2.7454292553154627</v>
      </c>
      <c r="F423" s="5">
        <v>452314144993648</v>
      </c>
      <c r="G423" s="5">
        <f>[1]!nefin_factors__1[[#This Row],[HML]]/F422-1</f>
        <v>-2.2216503947432402</v>
      </c>
      <c r="H423" s="5">
        <v>50053743658407</v>
      </c>
      <c r="I423" s="6">
        <f>[1]!nefin_factors__1[[#This Row],[Risk_Free]]/H422-1</f>
        <v>-0.89978976523135401</v>
      </c>
      <c r="J423">
        <v>45715</v>
      </c>
      <c r="K423">
        <v>45715</v>
      </c>
      <c r="L423">
        <v>42749</v>
      </c>
      <c r="M423">
        <v>44336</v>
      </c>
      <c r="N423">
        <v>4727700</v>
      </c>
      <c r="O423">
        <v>44336</v>
      </c>
      <c r="P423">
        <v>-3.0271216097987799E-2</v>
      </c>
      <c r="Q423">
        <v>-3.0738850805987299E-2</v>
      </c>
      <c r="R423" s="8">
        <v>14.011222839355501</v>
      </c>
      <c r="S423" s="8">
        <v>1.4925300142793099E-2</v>
      </c>
      <c r="T423" s="9">
        <v>1.4815013867007801E-2</v>
      </c>
      <c r="U423" s="12">
        <v>5.2531000000000001E-2</v>
      </c>
      <c r="V423" s="16">
        <v>3.4826000000000001</v>
      </c>
      <c r="W423" s="17">
        <f t="shared" si="6"/>
        <v>-2.8346456692913691E-3</v>
      </c>
    </row>
    <row r="424" spans="1:23" x14ac:dyDescent="0.2">
      <c r="A424" s="14">
        <v>42150</v>
      </c>
      <c r="B424" s="3">
        <v>-175770371430528</v>
      </c>
      <c r="C424" s="3">
        <f>[1]!nefin_factors__1[[#This Row],[Rm_minus_Rf]]/B423-1</f>
        <v>-1.4612543213673623</v>
      </c>
      <c r="D424" s="3">
        <v>347001683638013</v>
      </c>
      <c r="E424" s="3">
        <f>[1]!nefin_factors__1[[#This Row],[SMB]]/D423-1</f>
        <v>-4.1013538725140934</v>
      </c>
      <c r="F424" s="3">
        <v>483148358028083</v>
      </c>
      <c r="G424" s="3">
        <f>[1]!nefin_factors__1[[#This Row],[HML]]/F423-1</f>
        <v>6.8169906636167621E-2</v>
      </c>
      <c r="H424" s="3">
        <v>500887407135941</v>
      </c>
      <c r="I424" s="4">
        <f>[1]!nefin_factors__1[[#This Row],[Risk_Free]]/H423-1</f>
        <v>9.0069918956364052</v>
      </c>
      <c r="J424">
        <v>44338</v>
      </c>
      <c r="K424">
        <v>45588</v>
      </c>
      <c r="L424">
        <v>44338</v>
      </c>
      <c r="M424">
        <v>44545</v>
      </c>
      <c r="N424">
        <v>3726600</v>
      </c>
      <c r="O424">
        <v>44545</v>
      </c>
      <c r="P424">
        <v>4.7140021652833904E-3</v>
      </c>
      <c r="Q424">
        <v>4.7029260519846003E-3</v>
      </c>
      <c r="R424" s="8">
        <v>13.7227563858032</v>
      </c>
      <c r="S424" s="8">
        <v>-2.05881805679962E-2</v>
      </c>
      <c r="T424" s="9">
        <v>-2.08030717532444E-2</v>
      </c>
      <c r="U424" s="12">
        <v>5.2531000000000001E-2</v>
      </c>
      <c r="V424" s="16">
        <v>3.5074000000000001</v>
      </c>
      <c r="W424" s="17">
        <f t="shared" si="6"/>
        <v>7.1211164072819688E-3</v>
      </c>
    </row>
    <row r="425" spans="1:23" x14ac:dyDescent="0.2">
      <c r="A425" s="15">
        <v>42151</v>
      </c>
      <c r="B425" s="5">
        <v>992394942425325</v>
      </c>
      <c r="C425" s="5">
        <f>[1]!nefin_factors__1[[#This Row],[Rm_minus_Rf]]/B424-1</f>
        <v>-6.6459739735918015</v>
      </c>
      <c r="D425" s="5">
        <v>-718919416552145</v>
      </c>
      <c r="E425" s="5">
        <f>[1]!nefin_factors__1[[#This Row],[SMB]]/D424-1</f>
        <v>-3.0718038281973037</v>
      </c>
      <c r="F425" s="5">
        <v>797410080315452</v>
      </c>
      <c r="G425" s="5">
        <f>[1]!nefin_factors__1[[#This Row],[HML]]/F424-1</f>
        <v>0.65044559722813444</v>
      </c>
      <c r="H425" s="5">
        <v>501587256072078</v>
      </c>
      <c r="I425" s="6">
        <f>[1]!nefin_factors__1[[#This Row],[Risk_Free]]/H424-1</f>
        <v>1.3972180697030545E-3</v>
      </c>
      <c r="J425">
        <v>44546</v>
      </c>
      <c r="K425">
        <v>46039</v>
      </c>
      <c r="L425">
        <v>44540</v>
      </c>
      <c r="M425">
        <v>46038</v>
      </c>
      <c r="N425">
        <v>3739600</v>
      </c>
      <c r="O425">
        <v>46038</v>
      </c>
      <c r="P425">
        <v>3.3516668537434E-2</v>
      </c>
      <c r="Q425">
        <v>3.2967228250975998E-2</v>
      </c>
      <c r="R425" s="8">
        <v>14.1348514556885</v>
      </c>
      <c r="S425" s="8">
        <v>3.0030035030524701E-2</v>
      </c>
      <c r="T425" s="9">
        <v>2.95879620402037E-2</v>
      </c>
      <c r="U425" s="12">
        <v>5.2531000000000001E-2</v>
      </c>
      <c r="V425" s="16">
        <v>3.4761000000000002</v>
      </c>
      <c r="W425" s="17">
        <f t="shared" si="6"/>
        <v>-8.9239892798084197E-3</v>
      </c>
    </row>
    <row r="426" spans="1:23" x14ac:dyDescent="0.2">
      <c r="A426" s="14">
        <v>42152</v>
      </c>
      <c r="B426" s="3">
        <v>-549079243858638</v>
      </c>
      <c r="C426" s="3">
        <f>[1]!nefin_factors__1[[#This Row],[Rm_minus_Rf]]/B425-1</f>
        <v>-1.5532870235278882</v>
      </c>
      <c r="D426" s="3">
        <v>845723723704703</v>
      </c>
      <c r="E426" s="3">
        <f>[1]!nefin_factors__1[[#This Row],[SMB]]/D425-1</f>
        <v>-2.1763818089107914</v>
      </c>
      <c r="F426" s="3">
        <v>-875341411553885</v>
      </c>
      <c r="G426" s="3">
        <f>[1]!nefin_factors__1[[#This Row],[HML]]/F425-1</f>
        <v>-2.0977305569144598</v>
      </c>
      <c r="H426" s="3">
        <v>502286982154709</v>
      </c>
      <c r="I426" s="4">
        <f>[1]!nefin_factors__1[[#This Row],[Risk_Free]]/H425-1</f>
        <v>1.3950236457571652E-3</v>
      </c>
      <c r="J426">
        <v>46038</v>
      </c>
      <c r="K426">
        <v>47997</v>
      </c>
      <c r="L426">
        <v>46038</v>
      </c>
      <c r="M426">
        <v>47715</v>
      </c>
      <c r="N426">
        <v>4252000</v>
      </c>
      <c r="O426">
        <v>47715</v>
      </c>
      <c r="P426">
        <v>3.6426430340153797E-2</v>
      </c>
      <c r="Q426">
        <v>3.5778671445634E-2</v>
      </c>
      <c r="R426" s="8">
        <v>13.8463850021362</v>
      </c>
      <c r="S426" s="8">
        <v>-2.0408107778429298E-2</v>
      </c>
      <c r="T426" s="9">
        <v>-2.0619230559883801E-2</v>
      </c>
      <c r="U426" s="12">
        <v>5.2531000000000001E-2</v>
      </c>
      <c r="V426" s="16">
        <v>3.4746000000000001</v>
      </c>
      <c r="W426" s="17">
        <f t="shared" si="6"/>
        <v>-4.3151808060759578E-4</v>
      </c>
    </row>
    <row r="427" spans="1:23" x14ac:dyDescent="0.2">
      <c r="A427" s="15">
        <v>42153</v>
      </c>
      <c r="B427" s="5">
        <v>-188277493206852</v>
      </c>
      <c r="C427" s="5">
        <f>[1]!nefin_factors__1[[#This Row],[Rm_minus_Rf]]/B426-1</f>
        <v>-0.65710324090246508</v>
      </c>
      <c r="D427" s="5">
        <v>290867609676487</v>
      </c>
      <c r="E427" s="5">
        <f>[1]!nefin_factors__1[[#This Row],[SMB]]/D426-1</f>
        <v>-0.65607254293123307</v>
      </c>
      <c r="F427" s="5">
        <v>-672034818368101</v>
      </c>
      <c r="G427" s="5">
        <f>[1]!nefin_factors__1[[#This Row],[HML]]/F426-1</f>
        <v>-0.23225976801997639</v>
      </c>
      <c r="H427" s="5">
        <v>503336341022287</v>
      </c>
      <c r="I427" s="6">
        <f>[1]!nefin_factors__1[[#This Row],[Risk_Free]]/H426-1</f>
        <v>2.0891619828100616E-3</v>
      </c>
      <c r="J427">
        <v>47697</v>
      </c>
      <c r="K427">
        <v>47872</v>
      </c>
      <c r="L427">
        <v>46847</v>
      </c>
      <c r="M427">
        <v>47154</v>
      </c>
      <c r="N427">
        <v>3778600</v>
      </c>
      <c r="O427">
        <v>47154</v>
      </c>
      <c r="P427">
        <v>-1.1757309022320001E-2</v>
      </c>
      <c r="Q427">
        <v>-1.18269727571242E-2</v>
      </c>
      <c r="R427" s="8">
        <v>13.8463850021362</v>
      </c>
      <c r="S427" s="8">
        <v>0</v>
      </c>
      <c r="T427" s="9">
        <v>0</v>
      </c>
      <c r="U427" s="12">
        <v>5.2531000000000001E-2</v>
      </c>
      <c r="V427" s="16">
        <v>3.4811000000000001</v>
      </c>
      <c r="W427" s="17">
        <f t="shared" si="6"/>
        <v>1.8707189316755635E-3</v>
      </c>
    </row>
    <row r="428" spans="1:23" x14ac:dyDescent="0.2">
      <c r="A428" s="14">
        <v>42156</v>
      </c>
      <c r="B428" s="3">
        <v>432624995656514</v>
      </c>
      <c r="C428" s="3">
        <f>[1]!nefin_factors__1[[#This Row],[Rm_minus_Rf]]/B427-1</f>
        <v>-3.2978051613487778</v>
      </c>
      <c r="D428" s="3">
        <v>7903518229138</v>
      </c>
      <c r="E428" s="3">
        <f>[1]!nefin_factors__1[[#This Row],[SMB]]/D427-1</f>
        <v>-0.97282778155350969</v>
      </c>
      <c r="F428" s="3">
        <v>214289523158638</v>
      </c>
      <c r="G428" s="3">
        <f>[1]!nefin_factors__1[[#This Row],[HML]]/F427-1</f>
        <v>-1.3188666975306371</v>
      </c>
      <c r="H428" s="3">
        <v>504385423712117</v>
      </c>
      <c r="I428" s="4">
        <f>[1]!nefin_factors__1[[#This Row],[Risk_Free]]/H427-1</f>
        <v>2.0842577901274417E-3</v>
      </c>
      <c r="J428">
        <v>47151</v>
      </c>
      <c r="K428">
        <v>47151</v>
      </c>
      <c r="L428">
        <v>45570</v>
      </c>
      <c r="M428">
        <v>46626</v>
      </c>
      <c r="N428">
        <v>4667300</v>
      </c>
      <c r="O428">
        <v>46626</v>
      </c>
      <c r="P428">
        <v>-1.11973533528439E-2</v>
      </c>
      <c r="Q428">
        <v>-1.12605156569327E-2</v>
      </c>
      <c r="R428" s="8">
        <v>13.6733045578003</v>
      </c>
      <c r="S428" s="8">
        <v>-1.2500100330562E-2</v>
      </c>
      <c r="T428" s="9">
        <v>-1.25788838074344E-2</v>
      </c>
      <c r="U428" s="12">
        <v>5.2531000000000001E-2</v>
      </c>
      <c r="V428" s="16">
        <v>3.4849000000000001</v>
      </c>
      <c r="W428" s="17">
        <f t="shared" si="6"/>
        <v>1.0916089741748181E-3</v>
      </c>
    </row>
    <row r="429" spans="1:23" x14ac:dyDescent="0.2">
      <c r="A429" s="15">
        <v>42157</v>
      </c>
      <c r="B429" s="5">
        <v>192075790450176</v>
      </c>
      <c r="C429" s="5">
        <f>[1]!nefin_factors__1[[#This Row],[Rm_minus_Rf]]/B428-1</f>
        <v>-0.55602243888220437</v>
      </c>
      <c r="D429" s="5">
        <v>-733082667177619</v>
      </c>
      <c r="E429" s="5">
        <f>[1]!nefin_factors__1[[#This Row],[SMB]]/D428-1</f>
        <v>-93.753966768236694</v>
      </c>
      <c r="F429" s="5">
        <v>17616859891745</v>
      </c>
      <c r="G429" s="5">
        <f>[1]!nefin_factors__1[[#This Row],[HML]]/F428-1</f>
        <v>-0.91778944844306143</v>
      </c>
      <c r="H429" s="5">
        <v>505434230369639</v>
      </c>
      <c r="I429" s="6">
        <f>[1]!nefin_factors__1[[#This Row],[Risk_Free]]/H428-1</f>
        <v>2.0793754304062606E-3</v>
      </c>
      <c r="J429">
        <v>46625</v>
      </c>
      <c r="K429">
        <v>46625</v>
      </c>
      <c r="L429">
        <v>45278</v>
      </c>
      <c r="M429">
        <v>45477</v>
      </c>
      <c r="N429">
        <v>3665000</v>
      </c>
      <c r="O429">
        <v>45477</v>
      </c>
      <c r="P429">
        <v>-2.46429031012739E-2</v>
      </c>
      <c r="Q429">
        <v>-2.4951621809169201E-2</v>
      </c>
      <c r="R429" s="8">
        <v>13.434289932251</v>
      </c>
      <c r="S429" s="8">
        <v>-1.74803891890907E-2</v>
      </c>
      <c r="T429" s="9">
        <v>-1.7634975325036301E-2</v>
      </c>
      <c r="U429" s="12">
        <v>5.2531000000000001E-2</v>
      </c>
      <c r="V429" s="16">
        <v>3.4750999999999999</v>
      </c>
      <c r="W429" s="17">
        <f t="shared" si="6"/>
        <v>-2.8121323423915268E-3</v>
      </c>
    </row>
    <row r="430" spans="1:23" x14ac:dyDescent="0.2">
      <c r="A430" s="14">
        <v>42158</v>
      </c>
      <c r="B430" s="3">
        <v>-112379378766443</v>
      </c>
      <c r="C430" s="3">
        <f>[1]!nefin_factors__1[[#This Row],[Rm_minus_Rf]]/B429-1</f>
        <v>-1.5850783094686467</v>
      </c>
      <c r="D430" s="3">
        <v>-286182542677097</v>
      </c>
      <c r="E430" s="3">
        <f>[1]!nefin_factors__1[[#This Row],[SMB]]/D429-1</f>
        <v>-0.60961763865062479</v>
      </c>
      <c r="F430" s="3">
        <v>-706731931152756</v>
      </c>
      <c r="G430" s="3">
        <f>[1]!nefin_factors__1[[#This Row],[HML]]/F429-1</f>
        <v>-41.116793542980957</v>
      </c>
      <c r="H430" s="3">
        <v>506133281528376</v>
      </c>
      <c r="I430" s="4">
        <f>[1]!nefin_factors__1[[#This Row],[Risk_Free]]/H429-1</f>
        <v>1.3830704703672314E-3</v>
      </c>
      <c r="J430">
        <v>45484</v>
      </c>
      <c r="K430">
        <v>46474</v>
      </c>
      <c r="L430">
        <v>45445</v>
      </c>
      <c r="M430">
        <v>46464</v>
      </c>
      <c r="N430">
        <v>3740100</v>
      </c>
      <c r="O430">
        <v>46464</v>
      </c>
      <c r="P430">
        <v>2.1703278580381201E-2</v>
      </c>
      <c r="Q430">
        <v>2.14711155563399E-2</v>
      </c>
      <c r="R430" s="8">
        <v>13.0221948623657</v>
      </c>
      <c r="S430" s="8">
        <v>-3.06747750030965E-2</v>
      </c>
      <c r="T430" s="9">
        <v>-3.1155093890587598E-2</v>
      </c>
      <c r="U430" s="12">
        <v>5.2531000000000001E-2</v>
      </c>
      <c r="V430" s="16">
        <v>3.4895999999999998</v>
      </c>
      <c r="W430" s="17">
        <f t="shared" si="6"/>
        <v>4.1725417973583756E-3</v>
      </c>
    </row>
    <row r="431" spans="1:23" x14ac:dyDescent="0.2">
      <c r="A431" s="15">
        <v>42160</v>
      </c>
      <c r="B431" s="5">
        <v>-888014029246964</v>
      </c>
      <c r="C431" s="5">
        <f>[1]!nefin_factors__1[[#This Row],[Rm_minus_Rf]]/B430-1</f>
        <v>6.9019303985699647</v>
      </c>
      <c r="D431" s="5">
        <v>107339756375455</v>
      </c>
      <c r="E431" s="5">
        <f>[1]!nefin_factors__1[[#This Row],[SMB]]/D430-1</f>
        <v>-1.375074438053923</v>
      </c>
      <c r="F431" s="5">
        <v>21569846967853</v>
      </c>
      <c r="G431" s="5">
        <f>[1]!nefin_factors__1[[#This Row],[HML]]/F430-1</f>
        <v>-1.0305205496130199</v>
      </c>
      <c r="H431" s="5">
        <v>507880373261882</v>
      </c>
      <c r="I431" s="6">
        <f>[1]!nefin_factors__1[[#This Row],[Risk_Free]]/H430-1</f>
        <v>3.4518412387944952E-3</v>
      </c>
      <c r="J431">
        <v>46468</v>
      </c>
      <c r="K431">
        <v>47532</v>
      </c>
      <c r="L431">
        <v>46279</v>
      </c>
      <c r="M431">
        <v>47366</v>
      </c>
      <c r="N431">
        <v>4103000</v>
      </c>
      <c r="O431">
        <v>47366</v>
      </c>
      <c r="P431">
        <v>1.9412878787878899E-2</v>
      </c>
      <c r="Q431">
        <v>1.9226852538210999E-2</v>
      </c>
      <c r="R431" s="8">
        <v>13.393079757690399</v>
      </c>
      <c r="S431" s="8">
        <v>2.84808882206673E-2</v>
      </c>
      <c r="T431" s="9">
        <v>2.8082847751220701E-2</v>
      </c>
      <c r="U431" s="12">
        <v>5.2531000000000001E-2</v>
      </c>
      <c r="V431" s="16">
        <v>3.5493999999999999</v>
      </c>
      <c r="W431" s="17">
        <f t="shared" si="6"/>
        <v>1.7136634571297549E-2</v>
      </c>
    </row>
    <row r="432" spans="1:23" x14ac:dyDescent="0.2">
      <c r="A432" s="14">
        <v>42163</v>
      </c>
      <c r="B432" s="3">
        <v>-339244349166685</v>
      </c>
      <c r="C432" s="3">
        <f>[1]!nefin_factors__1[[#This Row],[Rm_minus_Rf]]/B431-1</f>
        <v>-0.61797411077574504</v>
      </c>
      <c r="D432" s="3">
        <v>-665881394476292</v>
      </c>
      <c r="E432" s="3">
        <f>[1]!nefin_factors__1[[#This Row],[SMB]]/D431-1</f>
        <v>-7.2034926942367896</v>
      </c>
      <c r="F432" s="3">
        <v>-835501053864758</v>
      </c>
      <c r="G432" s="3">
        <f>[1]!nefin_factors__1[[#This Row],[HML]]/F431-1</f>
        <v>-39.73467693627876</v>
      </c>
      <c r="H432" s="3">
        <v>507880373261882</v>
      </c>
      <c r="I432" s="4">
        <f>[1]!nefin_factors__1[[#This Row],[Risk_Free]]/H431-1</f>
        <v>0</v>
      </c>
      <c r="J432">
        <v>47366</v>
      </c>
      <c r="K432">
        <v>47377</v>
      </c>
      <c r="L432">
        <v>46320</v>
      </c>
      <c r="M432">
        <v>46498</v>
      </c>
      <c r="N432">
        <v>4174900</v>
      </c>
      <c r="O432">
        <v>46498</v>
      </c>
      <c r="P432">
        <v>-1.8325381075032701E-2</v>
      </c>
      <c r="Q432">
        <v>-1.8495370824908298E-2</v>
      </c>
      <c r="R432" s="8">
        <v>13.599127769470201</v>
      </c>
      <c r="S432" s="8">
        <v>1.5384696516391299E-2</v>
      </c>
      <c r="T432" s="9">
        <v>1.52675520332918E-2</v>
      </c>
      <c r="U432" s="12">
        <v>5.2531000000000001E-2</v>
      </c>
      <c r="V432" s="16">
        <v>3.5345</v>
      </c>
      <c r="W432" s="17">
        <f t="shared" si="6"/>
        <v>-4.1978926015664442E-3</v>
      </c>
    </row>
    <row r="433" spans="1:23" x14ac:dyDescent="0.2">
      <c r="A433" s="15">
        <v>42164</v>
      </c>
      <c r="B433" s="5">
        <v>-961111838550304</v>
      </c>
      <c r="C433" s="5">
        <f>[1]!nefin_factors__1[[#This Row],[Rm_minus_Rf]]/B432-1</f>
        <v>1.8330960881475713</v>
      </c>
      <c r="D433" s="5">
        <v>-856453244566282</v>
      </c>
      <c r="E433" s="5">
        <f>[1]!nefin_factors__1[[#This Row],[SMB]]/D432-1</f>
        <v>0.28619488646303526</v>
      </c>
      <c r="F433" s="5">
        <v>-583818813518547</v>
      </c>
      <c r="G433" s="5">
        <f>[1]!nefin_factors__1[[#This Row],[HML]]/F432-1</f>
        <v>-0.30123509621203981</v>
      </c>
      <c r="H433" s="5">
        <v>507880373261882</v>
      </c>
      <c r="I433" s="6">
        <f>[1]!nefin_factors__1[[#This Row],[Risk_Free]]/H432-1</f>
        <v>0</v>
      </c>
      <c r="J433">
        <v>46501</v>
      </c>
      <c r="K433">
        <v>47243</v>
      </c>
      <c r="L433">
        <v>46497</v>
      </c>
      <c r="M433">
        <v>46762</v>
      </c>
      <c r="N433">
        <v>2851000</v>
      </c>
      <c r="O433">
        <v>46762</v>
      </c>
      <c r="P433">
        <v>5.67766355542165E-3</v>
      </c>
      <c r="Q433">
        <v>5.6616063732131102E-3</v>
      </c>
      <c r="R433" s="8">
        <v>13.879351615905801</v>
      </c>
      <c r="S433" s="8">
        <v>2.0605856007234399E-2</v>
      </c>
      <c r="T433" s="9">
        <v>2.0396427439654599E-2</v>
      </c>
      <c r="U433" s="12">
        <v>5.2531000000000001E-2</v>
      </c>
      <c r="V433" s="16">
        <v>3.6326000000000001</v>
      </c>
      <c r="W433" s="17">
        <f t="shared" si="6"/>
        <v>2.7754986561041139E-2</v>
      </c>
    </row>
    <row r="434" spans="1:23" x14ac:dyDescent="0.2">
      <c r="A434" s="14">
        <v>42165</v>
      </c>
      <c r="B434" s="3">
        <v>16813058438882</v>
      </c>
      <c r="C434" s="3">
        <f>[1]!nefin_factors__1[[#This Row],[Rm_minus_Rf]]/B433-1</f>
        <v>-1.0174933423609078</v>
      </c>
      <c r="D434" s="3">
        <v>-110655711962468</v>
      </c>
      <c r="E434" s="3">
        <f>[1]!nefin_factors__1[[#This Row],[SMB]]/D433-1</f>
        <v>-0.8707977199403274</v>
      </c>
      <c r="F434" s="3">
        <v>-211782482843042</v>
      </c>
      <c r="G434" s="3">
        <f>[1]!nefin_factors__1[[#This Row],[HML]]/F433-1</f>
        <v>-0.63724621759501754</v>
      </c>
      <c r="H434" s="3">
        <v>507880373261882</v>
      </c>
      <c r="I434" s="4">
        <f>[1]!nefin_factors__1[[#This Row],[Risk_Free]]/H433-1</f>
        <v>0</v>
      </c>
      <c r="J434">
        <v>46762</v>
      </c>
      <c r="K434">
        <v>47840</v>
      </c>
      <c r="L434">
        <v>46614</v>
      </c>
      <c r="M434">
        <v>46657</v>
      </c>
      <c r="N434">
        <v>3699200</v>
      </c>
      <c r="O434">
        <v>46657</v>
      </c>
      <c r="P434">
        <v>-2.24541294213254E-3</v>
      </c>
      <c r="Q434">
        <v>-2.2479376618397902E-3</v>
      </c>
      <c r="R434" s="8">
        <v>13.763965606689499</v>
      </c>
      <c r="S434" s="8">
        <v>-8.3134583133460706E-3</v>
      </c>
      <c r="T434" s="9">
        <v>-8.3482078343935992E-3</v>
      </c>
      <c r="U434" s="12">
        <v>5.2531000000000001E-2</v>
      </c>
      <c r="V434" s="16">
        <v>3.5554999999999999</v>
      </c>
      <c r="W434" s="17">
        <f t="shared" si="6"/>
        <v>-2.1224467323680107E-2</v>
      </c>
    </row>
    <row r="435" spans="1:23" x14ac:dyDescent="0.2">
      <c r="A435" s="15">
        <v>42166</v>
      </c>
      <c r="B435" s="5">
        <v>-496346460062001</v>
      </c>
      <c r="C435" s="5">
        <f>[1]!nefin_factors__1[[#This Row],[Rm_minus_Rf]]/B434-1</f>
        <v>-30.521485449318764</v>
      </c>
      <c r="D435" s="5">
        <v>-214098662559881</v>
      </c>
      <c r="E435" s="5">
        <f>[1]!nefin_factors__1[[#This Row],[SMB]]/D434-1</f>
        <v>0.93481799324104098</v>
      </c>
      <c r="F435" s="5">
        <v>19046243163575</v>
      </c>
      <c r="G435" s="5">
        <f>[1]!nefin_factors__1[[#This Row],[HML]]/F434-1</f>
        <v>-1.0899330431294014</v>
      </c>
      <c r="H435" s="5">
        <v>50822969973785</v>
      </c>
      <c r="I435" s="6">
        <f>[1]!nefin_factors__1[[#This Row],[Risk_Free]]/H434-1</f>
        <v>-0.8999312187486741</v>
      </c>
      <c r="J435">
        <v>46656</v>
      </c>
      <c r="K435">
        <v>46819</v>
      </c>
      <c r="L435">
        <v>45592</v>
      </c>
      <c r="M435">
        <v>46504</v>
      </c>
      <c r="N435">
        <v>4483200</v>
      </c>
      <c r="O435">
        <v>46504</v>
      </c>
      <c r="P435">
        <v>-3.27925070193114E-3</v>
      </c>
      <c r="Q435">
        <v>-3.2846392279575298E-3</v>
      </c>
      <c r="R435" s="8">
        <v>13.269452095031699</v>
      </c>
      <c r="S435" s="8">
        <v>-3.5928017640160598E-2</v>
      </c>
      <c r="T435" s="9">
        <v>-3.6589316661535601E-2</v>
      </c>
      <c r="U435" s="12">
        <v>5.2531000000000001E-2</v>
      </c>
      <c r="V435" s="16">
        <v>3.5790000000000002</v>
      </c>
      <c r="W435" s="17">
        <f t="shared" si="6"/>
        <v>6.6094782730981017E-3</v>
      </c>
    </row>
    <row r="436" spans="1:23" x14ac:dyDescent="0.2">
      <c r="A436" s="14">
        <v>42167</v>
      </c>
      <c r="B436" s="3">
        <v>-72456094619864</v>
      </c>
      <c r="C436" s="3">
        <f>[1]!nefin_factors__1[[#This Row],[Rm_minus_Rf]]/B435-1</f>
        <v>-0.85402113150799308</v>
      </c>
      <c r="D436" s="3">
        <v>263345229193247</v>
      </c>
      <c r="E436" s="3">
        <f>[1]!nefin_factors__1[[#This Row],[SMB]]/D435-1</f>
        <v>-2.2300180956039011</v>
      </c>
      <c r="F436" s="3">
        <v>-275292692989542</v>
      </c>
      <c r="G436" s="3">
        <f>[1]!nefin_factors__1[[#This Row],[HML]]/F435-1</f>
        <v>-15.453910444450573</v>
      </c>
      <c r="H436" s="3">
        <v>50822969973785</v>
      </c>
      <c r="I436" s="4">
        <f>[1]!nefin_factors__1[[#This Row],[Risk_Free]]/H435-1</f>
        <v>0</v>
      </c>
      <c r="J436">
        <v>46509</v>
      </c>
      <c r="K436">
        <v>46558</v>
      </c>
      <c r="L436">
        <v>46176</v>
      </c>
      <c r="M436">
        <v>46401</v>
      </c>
      <c r="N436">
        <v>3615300</v>
      </c>
      <c r="O436">
        <v>46401</v>
      </c>
      <c r="P436">
        <v>-2.21486323757092E-3</v>
      </c>
      <c r="Q436">
        <v>-2.2173196749369602E-3</v>
      </c>
      <c r="R436" s="8">
        <v>13.038679122924799</v>
      </c>
      <c r="S436" s="8">
        <v>-1.7391366287145299E-2</v>
      </c>
      <c r="T436" s="9">
        <v>-1.75443726865019E-2</v>
      </c>
      <c r="U436" s="12">
        <v>5.2531000000000001E-2</v>
      </c>
      <c r="V436" s="16">
        <v>3.6467000000000001</v>
      </c>
      <c r="W436" s="17">
        <f t="shared" si="6"/>
        <v>1.8915898295613243E-2</v>
      </c>
    </row>
    <row r="437" spans="1:23" x14ac:dyDescent="0.2">
      <c r="A437" s="15">
        <v>42170</v>
      </c>
      <c r="B437" s="5">
        <v>-537202923126506</v>
      </c>
      <c r="C437" s="5">
        <f>[1]!nefin_factors__1[[#This Row],[Rm_minus_Rf]]/B436-1</f>
        <v>6.4141854587237255</v>
      </c>
      <c r="D437" s="5">
        <v>3820926353.66153</v>
      </c>
      <c r="E437" s="5">
        <f>[1]!nefin_factors__1[[#This Row],[SMB]]/D436-1</f>
        <v>-0.99998549080852772</v>
      </c>
      <c r="F437" s="5">
        <v>375627564298217</v>
      </c>
      <c r="G437" s="5">
        <f>[1]!nefin_factors__1[[#This Row],[HML]]/F436-1</f>
        <v>-2.3644661622474903</v>
      </c>
      <c r="H437" s="5">
        <v>50822969973785</v>
      </c>
      <c r="I437" s="6">
        <f>[1]!nefin_factors__1[[#This Row],[Risk_Free]]/H436-1</f>
        <v>0</v>
      </c>
      <c r="J437">
        <v>46400</v>
      </c>
      <c r="K437">
        <v>47386</v>
      </c>
      <c r="L437">
        <v>46218</v>
      </c>
      <c r="M437">
        <v>47282</v>
      </c>
      <c r="N437">
        <v>3579400</v>
      </c>
      <c r="O437">
        <v>47282</v>
      </c>
      <c r="P437">
        <v>1.8986659770263498E-2</v>
      </c>
      <c r="Q437">
        <v>1.88086626634935E-2</v>
      </c>
      <c r="R437" s="8">
        <v>12.8573570251465</v>
      </c>
      <c r="S437" s="8">
        <v>-1.3906469489203399E-2</v>
      </c>
      <c r="T437" s="9">
        <v>-1.4004070348067801E-2</v>
      </c>
      <c r="U437" s="12">
        <v>5.2531000000000001E-2</v>
      </c>
      <c r="V437" s="16">
        <v>3.6724999999999999</v>
      </c>
      <c r="W437" s="17">
        <f t="shared" si="6"/>
        <v>7.0748896262373684E-3</v>
      </c>
    </row>
    <row r="438" spans="1:23" x14ac:dyDescent="0.2">
      <c r="A438" s="14">
        <v>42171</v>
      </c>
      <c r="B438" s="3">
        <v>100340733191872</v>
      </c>
      <c r="C438" s="3">
        <f>[1]!nefin_factors__1[[#This Row],[Rm_minus_Rf]]/B437-1</f>
        <v>-1.1867836693960854</v>
      </c>
      <c r="D438" s="3">
        <v>-360650147526559</v>
      </c>
      <c r="E438" s="3">
        <f>[1]!nefin_factors__1[[#This Row],[SMB]]/D437-1</f>
        <v>-94389.144168482599</v>
      </c>
      <c r="F438" s="3">
        <v>740752924512089</v>
      </c>
      <c r="G438" s="3">
        <f>[1]!nefin_factors__1[[#This Row],[HML]]/F437-1</f>
        <v>0.97204091210940224</v>
      </c>
      <c r="H438" s="3">
        <v>50822969973785</v>
      </c>
      <c r="I438" s="4">
        <f>[1]!nefin_factors__1[[#This Row],[Risk_Free]]/H437-1</f>
        <v>0</v>
      </c>
      <c r="J438">
        <v>47281</v>
      </c>
      <c r="K438">
        <v>47689</v>
      </c>
      <c r="L438">
        <v>46746</v>
      </c>
      <c r="M438">
        <v>47364</v>
      </c>
      <c r="N438">
        <v>3562000</v>
      </c>
      <c r="O438">
        <v>47364</v>
      </c>
      <c r="P438">
        <v>1.7342751998645799E-3</v>
      </c>
      <c r="Q438">
        <v>1.73277308110425E-3</v>
      </c>
      <c r="R438" s="8">
        <v>12.898567199706999</v>
      </c>
      <c r="S438" s="8">
        <v>3.20525818416484E-3</v>
      </c>
      <c r="T438" s="9">
        <v>3.2001322944306102E-3</v>
      </c>
      <c r="U438" s="12">
        <v>5.2531000000000001E-2</v>
      </c>
      <c r="V438" s="16">
        <v>3.7313999999999998</v>
      </c>
      <c r="W438" s="17">
        <f t="shared" si="6"/>
        <v>1.603812117086445E-2</v>
      </c>
    </row>
    <row r="439" spans="1:23" x14ac:dyDescent="0.2">
      <c r="A439" s="15">
        <v>42172</v>
      </c>
      <c r="B439" s="5">
        <v>-761296090838654</v>
      </c>
      <c r="C439" s="5">
        <f>[1]!nefin_factors__1[[#This Row],[Rm_minus_Rf]]/B438-1</f>
        <v>-8.5871091093474483</v>
      </c>
      <c r="D439" s="5">
        <v>249678602894111</v>
      </c>
      <c r="E439" s="5">
        <f>[1]!nefin_factors__1[[#This Row],[SMB]]/D438-1</f>
        <v>-1.6923014023603695</v>
      </c>
      <c r="F439" s="5">
        <v>141299437813567</v>
      </c>
      <c r="G439" s="5">
        <f>[1]!nefin_factors__1[[#This Row],[HML]]/F438-1</f>
        <v>-0.80924889644325526</v>
      </c>
      <c r="H439" s="5">
        <v>50822969973785</v>
      </c>
      <c r="I439" s="6">
        <f>[1]!nefin_factors__1[[#This Row],[Risk_Free]]/H438-1</f>
        <v>0</v>
      </c>
      <c r="J439">
        <v>47364</v>
      </c>
      <c r="K439">
        <v>48681</v>
      </c>
      <c r="L439">
        <v>47364</v>
      </c>
      <c r="M439">
        <v>48553</v>
      </c>
      <c r="N439">
        <v>4320300</v>
      </c>
      <c r="O439">
        <v>48553</v>
      </c>
      <c r="P439">
        <v>2.5103454100160499E-2</v>
      </c>
      <c r="Q439">
        <v>2.4793538326622899E-2</v>
      </c>
      <c r="R439" s="8">
        <v>13.145824432373001</v>
      </c>
      <c r="S439" s="8">
        <v>1.91692987155592E-2</v>
      </c>
      <c r="T439" s="9">
        <v>1.8987882457763099E-2</v>
      </c>
      <c r="U439" s="12">
        <v>5.2531000000000001E-2</v>
      </c>
      <c r="V439" s="16">
        <v>3.7759999999999998</v>
      </c>
      <c r="W439" s="17">
        <f t="shared" si="6"/>
        <v>1.1952618320201447E-2</v>
      </c>
    </row>
    <row r="440" spans="1:23" x14ac:dyDescent="0.2">
      <c r="A440" s="14">
        <v>42173</v>
      </c>
      <c r="B440" s="3">
        <v>159144532695827</v>
      </c>
      <c r="C440" s="3">
        <f>[1]!nefin_factors__1[[#This Row],[Rm_minus_Rf]]/B439-1</f>
        <v>-1.2090442005560691</v>
      </c>
      <c r="D440" s="3">
        <v>-748795921434635</v>
      </c>
      <c r="E440" s="3">
        <f>[1]!nefin_factors__1[[#This Row],[SMB]]/D439-1</f>
        <v>-3.9990392158362096</v>
      </c>
      <c r="F440" s="3">
        <v>127024305421398</v>
      </c>
      <c r="G440" s="3">
        <f>[1]!nefin_factors__1[[#This Row],[HML]]/F439-1</f>
        <v>-0.10102752433455442</v>
      </c>
      <c r="H440" s="3">
        <v>508578995602749</v>
      </c>
      <c r="I440" s="4">
        <f>[1]!nefin_factors__1[[#This Row],[Risk_Free]]/H439-1</f>
        <v>9.0068727952160046</v>
      </c>
      <c r="J440">
        <v>48553</v>
      </c>
      <c r="K440">
        <v>49396</v>
      </c>
      <c r="L440">
        <v>48082</v>
      </c>
      <c r="M440">
        <v>48551</v>
      </c>
      <c r="N440">
        <v>4184700</v>
      </c>
      <c r="O440">
        <v>48551</v>
      </c>
      <c r="P440">
        <v>-4.1192099355380498E-5</v>
      </c>
      <c r="Q440">
        <v>-4.1192947773204002E-5</v>
      </c>
      <c r="R440" s="8">
        <v>13.2200012207031</v>
      </c>
      <c r="S440" s="8">
        <v>5.6425770541837002E-3</v>
      </c>
      <c r="T440" s="9">
        <v>5.6267173480513202E-3</v>
      </c>
      <c r="U440" s="12">
        <v>5.2531000000000001E-2</v>
      </c>
      <c r="V440" s="16">
        <v>3.7986</v>
      </c>
      <c r="W440" s="17">
        <f t="shared" si="6"/>
        <v>5.9851694915253884E-3</v>
      </c>
    </row>
    <row r="441" spans="1:23" x14ac:dyDescent="0.2">
      <c r="A441" s="15">
        <v>42174</v>
      </c>
      <c r="B441" s="5">
        <v>-736516782203309</v>
      </c>
      <c r="C441" s="5">
        <f>[1]!nefin_factors__1[[#This Row],[Rm_minus_Rf]]/B440-1</f>
        <v>-5.6279741422912331</v>
      </c>
      <c r="D441" s="5">
        <v>379351128842388</v>
      </c>
      <c r="E441" s="5">
        <f>[1]!nefin_factors__1[[#This Row],[SMB]]/D440-1</f>
        <v>-1.5066148438890807</v>
      </c>
      <c r="F441" s="5">
        <v>-903593649821934</v>
      </c>
      <c r="G441" s="5">
        <f>[1]!nefin_factors__1[[#This Row],[HML]]/F440-1</f>
        <v>-8.1135492284275728</v>
      </c>
      <c r="H441" s="5">
        <v>508578995602749</v>
      </c>
      <c r="I441" s="6">
        <f>[1]!nefin_factors__1[[#This Row],[Risk_Free]]/H440-1</f>
        <v>0</v>
      </c>
      <c r="J441">
        <v>48550</v>
      </c>
      <c r="K441">
        <v>48550</v>
      </c>
      <c r="L441">
        <v>46928</v>
      </c>
      <c r="M441">
        <v>47264</v>
      </c>
      <c r="N441">
        <v>4381000</v>
      </c>
      <c r="O441">
        <v>47264</v>
      </c>
      <c r="P441">
        <v>-2.65082078638957E-2</v>
      </c>
      <c r="Q441">
        <v>-2.68658854985908E-2</v>
      </c>
      <c r="R441" s="8">
        <v>13.4754991531372</v>
      </c>
      <c r="S441" s="8">
        <v>1.9326727669823001E-2</v>
      </c>
      <c r="T441" s="9">
        <v>1.9142338441526699E-2</v>
      </c>
      <c r="U441" s="12">
        <v>5.2531000000000001E-2</v>
      </c>
      <c r="V441" s="16">
        <v>3.8028</v>
      </c>
      <c r="W441" s="17">
        <f t="shared" si="6"/>
        <v>1.1056705101879505E-3</v>
      </c>
    </row>
    <row r="442" spans="1:23" x14ac:dyDescent="0.2">
      <c r="A442" s="14">
        <v>42177</v>
      </c>
      <c r="B442" s="3">
        <v>23422692099615</v>
      </c>
      <c r="C442" s="3">
        <f>[1]!nefin_factors__1[[#This Row],[Rm_minus_Rf]]/B441-1</f>
        <v>-1.0318019801660805</v>
      </c>
      <c r="D442" s="3">
        <v>-396099266534116</v>
      </c>
      <c r="E442" s="3">
        <f>[1]!nefin_factors__1[[#This Row],[SMB]]/D441-1</f>
        <v>-2.0441494341741802</v>
      </c>
      <c r="F442" s="3">
        <v>454237969.155788</v>
      </c>
      <c r="G442" s="3">
        <f>[1]!nefin_factors__1[[#This Row],[HML]]/F441-1</f>
        <v>-1.0000005027015952</v>
      </c>
      <c r="H442" s="3">
        <v>508578995602749</v>
      </c>
      <c r="I442" s="4">
        <f>[1]!nefin_factors__1[[#This Row],[Risk_Free]]/H441-1</f>
        <v>0</v>
      </c>
      <c r="J442">
        <v>47263</v>
      </c>
      <c r="K442">
        <v>47391</v>
      </c>
      <c r="L442">
        <v>46425</v>
      </c>
      <c r="M442">
        <v>46590</v>
      </c>
      <c r="N442">
        <v>2601200</v>
      </c>
      <c r="O442">
        <v>46590</v>
      </c>
      <c r="P442">
        <v>-1.4260324983073801E-2</v>
      </c>
      <c r="Q442">
        <v>-1.4362980520263901E-2</v>
      </c>
      <c r="R442" s="8">
        <v>12.8738412857056</v>
      </c>
      <c r="S442" s="8">
        <v>-4.4648336569842698E-2</v>
      </c>
      <c r="T442" s="9">
        <v>-4.5675772324611799E-2</v>
      </c>
      <c r="U442" s="12">
        <v>5.2531000000000001E-2</v>
      </c>
      <c r="V442" s="16">
        <v>3.7869999999999999</v>
      </c>
      <c r="W442" s="17">
        <f t="shared" si="6"/>
        <v>-4.1548332807405108E-3</v>
      </c>
    </row>
    <row r="443" spans="1:23" x14ac:dyDescent="0.2">
      <c r="A443" s="15">
        <v>42178</v>
      </c>
      <c r="B443" s="5">
        <v>-157001460791301</v>
      </c>
      <c r="C443" s="5">
        <f>[1]!nefin_factors__1[[#This Row],[Rm_minus_Rf]]/B442-1</f>
        <v>-7.7029639515212533</v>
      </c>
      <c r="D443" s="5">
        <v>923581772225313</v>
      </c>
      <c r="E443" s="5">
        <f>[1]!nefin_factors__1[[#This Row],[SMB]]/D442-1</f>
        <v>-3.3316927100286993</v>
      </c>
      <c r="F443" s="5">
        <v>504672133382921</v>
      </c>
      <c r="G443" s="5">
        <f>[1]!nefin_factors__1[[#This Row],[HML]]/F442-1</f>
        <v>1111029.269708334</v>
      </c>
      <c r="H443" s="5">
        <v>508578995602749</v>
      </c>
      <c r="I443" s="6">
        <f>[1]!nefin_factors__1[[#This Row],[Risk_Free]]/H442-1</f>
        <v>0</v>
      </c>
      <c r="J443">
        <v>46585</v>
      </c>
      <c r="K443">
        <v>46585</v>
      </c>
      <c r="L443">
        <v>45276</v>
      </c>
      <c r="M443">
        <v>46265</v>
      </c>
      <c r="N443">
        <v>4193100</v>
      </c>
      <c r="O443">
        <v>46265</v>
      </c>
      <c r="P443">
        <v>-6.9757458682120398E-3</v>
      </c>
      <c r="Q443">
        <v>-7.0001901277117898E-3</v>
      </c>
      <c r="R443" s="8">
        <v>12.362842559814499</v>
      </c>
      <c r="S443" s="8">
        <v>-3.9692791848832801E-2</v>
      </c>
      <c r="T443" s="9">
        <v>-4.0502037221252098E-2</v>
      </c>
      <c r="U443" s="12">
        <v>5.2531000000000001E-2</v>
      </c>
      <c r="V443" s="16">
        <v>3.8698000000000001</v>
      </c>
      <c r="W443" s="17">
        <f t="shared" si="6"/>
        <v>2.1864272511222582E-2</v>
      </c>
    </row>
    <row r="444" spans="1:23" x14ac:dyDescent="0.2">
      <c r="A444" s="14">
        <v>42179</v>
      </c>
      <c r="B444" s="3">
        <v>5009637880</v>
      </c>
      <c r="C444" s="3">
        <f>[1]!nefin_factors__1[[#This Row],[Rm_minus_Rf]]/B443-1</f>
        <v>-1.0000319082246416</v>
      </c>
      <c r="D444" s="3">
        <v>41854755254505</v>
      </c>
      <c r="E444" s="3">
        <f>[1]!nefin_factors__1[[#This Row],[SMB]]/D443-1</f>
        <v>-0.95468213371766897</v>
      </c>
      <c r="F444" s="3">
        <v>129846329568498</v>
      </c>
      <c r="G444" s="3">
        <f>[1]!nefin_factors__1[[#This Row],[HML]]/F443-1</f>
        <v>-0.74271151312018879</v>
      </c>
      <c r="H444" s="3">
        <v>508578995602749</v>
      </c>
      <c r="I444" s="4">
        <f>[1]!nefin_factors__1[[#This Row],[Risk_Free]]/H443-1</f>
        <v>0</v>
      </c>
      <c r="J444">
        <v>46263</v>
      </c>
      <c r="K444">
        <v>46480</v>
      </c>
      <c r="L444">
        <v>45340</v>
      </c>
      <c r="M444">
        <v>45340</v>
      </c>
      <c r="N444">
        <v>3962000</v>
      </c>
      <c r="O444">
        <v>45340</v>
      </c>
      <c r="P444">
        <v>-1.9993515616556799E-2</v>
      </c>
      <c r="Q444">
        <v>-2.01960906216107E-2</v>
      </c>
      <c r="R444" s="8">
        <v>11.810635566711399</v>
      </c>
      <c r="S444" s="8">
        <v>-4.4666647679245698E-2</v>
      </c>
      <c r="T444" s="9">
        <v>-4.5694939386950802E-2</v>
      </c>
      <c r="U444" s="12">
        <v>5.2531000000000001E-2</v>
      </c>
      <c r="V444" s="16">
        <v>3.8698000000000001</v>
      </c>
      <c r="W444" s="17">
        <f t="shared" si="6"/>
        <v>0</v>
      </c>
    </row>
    <row r="445" spans="1:23" x14ac:dyDescent="0.2">
      <c r="A445" s="15">
        <v>42180</v>
      </c>
      <c r="B445" s="5">
        <v>-10911431908484</v>
      </c>
      <c r="C445" s="5">
        <f>[1]!nefin_factors__1[[#This Row],[Rm_minus_Rf]]/B444-1</f>
        <v>-2179.0879516353384</v>
      </c>
      <c r="D445" s="5">
        <v>-106174580156036</v>
      </c>
      <c r="E445" s="5">
        <f>[1]!nefin_factors__1[[#This Row],[SMB]]/D444-1</f>
        <v>-3.5367387650560445</v>
      </c>
      <c r="F445" s="5">
        <v>-433161930214325</v>
      </c>
      <c r="G445" s="5">
        <f>[1]!nefin_factors__1[[#This Row],[HML]]/F444-1</f>
        <v>-4.3359582181013323</v>
      </c>
      <c r="H445" s="5">
        <v>508578995602749</v>
      </c>
      <c r="I445" s="6">
        <f>[1]!nefin_factors__1[[#This Row],[Risk_Free]]/H444-1</f>
        <v>0</v>
      </c>
      <c r="J445">
        <v>45340</v>
      </c>
      <c r="K445">
        <v>45572</v>
      </c>
      <c r="L445">
        <v>44183</v>
      </c>
      <c r="M445">
        <v>45292</v>
      </c>
      <c r="N445">
        <v>4331700</v>
      </c>
      <c r="O445">
        <v>45292</v>
      </c>
      <c r="P445">
        <v>-1.0586678429642699E-3</v>
      </c>
      <c r="Q445">
        <v>-1.0592286275898301E-3</v>
      </c>
      <c r="R445" s="8">
        <v>11.538654327392599</v>
      </c>
      <c r="S445" s="8">
        <v>-2.3028560367820999E-2</v>
      </c>
      <c r="T445" s="9">
        <v>-2.32978600870286E-2</v>
      </c>
      <c r="U445" s="12">
        <v>5.2531000000000001E-2</v>
      </c>
      <c r="V445" s="16">
        <v>3.8653</v>
      </c>
      <c r="W445" s="17">
        <f t="shared" si="6"/>
        <v>-1.1628507933226784E-3</v>
      </c>
    </row>
    <row r="446" spans="1:23" x14ac:dyDescent="0.2">
      <c r="A446" s="14">
        <v>42181</v>
      </c>
      <c r="B446" s="3">
        <v>148865931508398</v>
      </c>
      <c r="C446" s="3">
        <f>[1]!nefin_factors__1[[#This Row],[Rm_minus_Rf]]/B445-1</f>
        <v>-14.643116023356184</v>
      </c>
      <c r="D446" s="3">
        <v>-42902911765692</v>
      </c>
      <c r="E446" s="3">
        <f>[1]!nefin_factors__1[[#This Row],[SMB]]/D445-1</f>
        <v>-0.5959210603645323</v>
      </c>
      <c r="F446" s="3">
        <v>204829606989383</v>
      </c>
      <c r="G446" s="3">
        <f>[1]!nefin_factors__1[[#This Row],[HML]]/F445-1</f>
        <v>-1.4728707504097485</v>
      </c>
      <c r="H446" s="3">
        <v>508928260861907</v>
      </c>
      <c r="I446" s="4">
        <f>[1]!nefin_factors__1[[#This Row],[Risk_Free]]/H445-1</f>
        <v>6.8674731394291477E-4</v>
      </c>
      <c r="J446">
        <v>45300</v>
      </c>
      <c r="K446">
        <v>45969</v>
      </c>
      <c r="L446">
        <v>44697</v>
      </c>
      <c r="M446">
        <v>44831</v>
      </c>
      <c r="N446">
        <v>3135300</v>
      </c>
      <c r="O446">
        <v>44831</v>
      </c>
      <c r="P446">
        <v>-1.0178397951073E-2</v>
      </c>
      <c r="Q446">
        <v>-1.0230552042042099E-2</v>
      </c>
      <c r="R446" s="8">
        <v>11.4150247573853</v>
      </c>
      <c r="S446" s="8">
        <v>-1.0714359656174101E-2</v>
      </c>
      <c r="T446" s="9">
        <v>-1.07721717246169E-2</v>
      </c>
      <c r="U446" s="12">
        <v>5.2531000000000001E-2</v>
      </c>
      <c r="V446" s="16">
        <v>3.8599000000000001</v>
      </c>
      <c r="W446" s="17">
        <f t="shared" si="6"/>
        <v>-1.3970455074637789E-3</v>
      </c>
    </row>
    <row r="447" spans="1:23" x14ac:dyDescent="0.2">
      <c r="A447" s="15">
        <v>42184</v>
      </c>
      <c r="B447" s="5">
        <v>-172714177618187</v>
      </c>
      <c r="C447" s="5">
        <f>[1]!nefin_factors__1[[#This Row],[Rm_minus_Rf]]/B446-1</f>
        <v>-2.1601994886818252</v>
      </c>
      <c r="D447" s="5">
        <v>205090050899404</v>
      </c>
      <c r="E447" s="5">
        <f>[1]!nefin_factors__1[[#This Row],[SMB]]/D446-1</f>
        <v>-5.780329410261789</v>
      </c>
      <c r="F447" s="5">
        <v>-261508834552072</v>
      </c>
      <c r="G447" s="5">
        <f>[1]!nefin_factors__1[[#This Row],[HML]]/F446-1</f>
        <v>-2.2767140375640462</v>
      </c>
      <c r="H447" s="5">
        <v>508928260861907</v>
      </c>
      <c r="I447" s="6">
        <f>[1]!nefin_factors__1[[#This Row],[Risk_Free]]/H446-1</f>
        <v>0</v>
      </c>
      <c r="J447">
        <v>44832</v>
      </c>
      <c r="K447">
        <v>44832</v>
      </c>
      <c r="L447">
        <v>43767</v>
      </c>
      <c r="M447">
        <v>43957</v>
      </c>
      <c r="N447">
        <v>2771900</v>
      </c>
      <c r="O447">
        <v>43957</v>
      </c>
      <c r="P447">
        <v>-1.9495438424304599E-2</v>
      </c>
      <c r="Q447">
        <v>-1.96879810611011E-2</v>
      </c>
      <c r="R447" s="8">
        <v>11.208977699279799</v>
      </c>
      <c r="S447" s="8">
        <v>-1.8050546115074801E-2</v>
      </c>
      <c r="T447" s="9">
        <v>-1.8215444574707799E-2</v>
      </c>
      <c r="U447" s="12">
        <v>5.2531000000000001E-2</v>
      </c>
      <c r="V447" s="16">
        <v>3.8368000000000002</v>
      </c>
      <c r="W447" s="17">
        <f t="shared" si="6"/>
        <v>-5.9846110002849118E-3</v>
      </c>
    </row>
    <row r="448" spans="1:23" x14ac:dyDescent="0.2">
      <c r="A448" s="14">
        <v>42185</v>
      </c>
      <c r="B448" s="3">
        <v>193510494704728</v>
      </c>
      <c r="C448" s="3">
        <f>[1]!nefin_factors__1[[#This Row],[Rm_minus_Rf]]/B447-1</f>
        <v>-2.1204088591529215</v>
      </c>
      <c r="D448" s="3">
        <v>-582310786311214</v>
      </c>
      <c r="E448" s="3">
        <f>[1]!nefin_factors__1[[#This Row],[SMB]]/D447-1</f>
        <v>-3.8392931970982618</v>
      </c>
      <c r="F448" s="3">
        <v>-13537305756199</v>
      </c>
      <c r="G448" s="3">
        <f>[1]!nefin_factors__1[[#This Row],[HML]]/F447-1</f>
        <v>-0.94823384923348186</v>
      </c>
      <c r="H448" s="3">
        <v>508928260861907</v>
      </c>
      <c r="I448" s="4">
        <f>[1]!nefin_factors__1[[#This Row],[Risk_Free]]/H447-1</f>
        <v>0</v>
      </c>
      <c r="J448">
        <v>43956</v>
      </c>
      <c r="K448">
        <v>44531</v>
      </c>
      <c r="L448">
        <v>43956</v>
      </c>
      <c r="M448">
        <v>44132</v>
      </c>
      <c r="N448">
        <v>2960700</v>
      </c>
      <c r="O448">
        <v>44132</v>
      </c>
      <c r="P448">
        <v>3.9811634096957897E-3</v>
      </c>
      <c r="Q448">
        <v>3.9732595494097796E-3</v>
      </c>
      <c r="R448" s="8">
        <v>10.9617214202881</v>
      </c>
      <c r="S448" s="8">
        <v>-2.2058699523504501E-2</v>
      </c>
      <c r="T448" s="9">
        <v>-2.2305630711273301E-2</v>
      </c>
      <c r="U448" s="12">
        <v>5.2531000000000001E-2</v>
      </c>
      <c r="V448" s="16">
        <v>3.8921000000000001</v>
      </c>
      <c r="W448" s="17">
        <f t="shared" si="6"/>
        <v>1.4413052543786442E-2</v>
      </c>
    </row>
    <row r="449" spans="1:23" x14ac:dyDescent="0.2">
      <c r="A449" s="15">
        <v>42186</v>
      </c>
      <c r="B449" s="5">
        <v>-399325001524443</v>
      </c>
      <c r="C449" s="5">
        <f>[1]!nefin_factors__1[[#This Row],[Rm_minus_Rf]]/B448-1</f>
        <v>-3.0635831774073097</v>
      </c>
      <c r="D449" s="5">
        <v>103926807398102</v>
      </c>
      <c r="E449" s="5">
        <f>[1]!nefin_factors__1[[#This Row],[SMB]]/D448-1</f>
        <v>-1.1784730934771981</v>
      </c>
      <c r="F449" s="5">
        <v>-931140699312995</v>
      </c>
      <c r="G449" s="5">
        <f>[1]!nefin_factors__1[[#This Row],[HML]]/F448-1</f>
        <v>67.783310067928937</v>
      </c>
      <c r="H449" s="5">
        <v>508928260861907</v>
      </c>
      <c r="I449" s="6">
        <f>[1]!nefin_factors__1[[#This Row],[Risk_Free]]/H448-1</f>
        <v>0</v>
      </c>
      <c r="J449">
        <v>44132</v>
      </c>
      <c r="K449">
        <v>45294</v>
      </c>
      <c r="L449">
        <v>44132</v>
      </c>
      <c r="M449">
        <v>45059</v>
      </c>
      <c r="N449">
        <v>4831200</v>
      </c>
      <c r="O449">
        <v>45059</v>
      </c>
      <c r="P449">
        <v>2.1005166319224101E-2</v>
      </c>
      <c r="Q449">
        <v>2.0787599227732399E-2</v>
      </c>
      <c r="R449" s="8">
        <v>11.373815536499</v>
      </c>
      <c r="S449" s="8">
        <v>3.7593989949453503E-2</v>
      </c>
      <c r="T449" s="9">
        <v>3.6904561741808298E-2</v>
      </c>
      <c r="U449" s="12">
        <v>5.2531000000000001E-2</v>
      </c>
      <c r="V449" s="16">
        <v>3.9020999999999999</v>
      </c>
      <c r="W449" s="17">
        <f t="shared" si="6"/>
        <v>2.5693070578864941E-3</v>
      </c>
    </row>
    <row r="450" spans="1:23" x14ac:dyDescent="0.2">
      <c r="A450" s="14">
        <v>42187</v>
      </c>
      <c r="B450" s="3">
        <v>519721773845124</v>
      </c>
      <c r="C450" s="3">
        <f>[1]!nefin_factors__1[[#This Row],[Rm_minus_Rf]]/B449-1</f>
        <v>-2.3015007121043269</v>
      </c>
      <c r="D450" s="3">
        <v>-837490939578516</v>
      </c>
      <c r="E450" s="3">
        <f>[1]!nefin_factors__1[[#This Row],[SMB]]/D449-1</f>
        <v>-9.0584688450057307</v>
      </c>
      <c r="F450" s="3">
        <v>-988034343839017</v>
      </c>
      <c r="G450" s="3">
        <f>[1]!nefin_factors__1[[#This Row],[HML]]/F449-1</f>
        <v>6.1101017889131803E-2</v>
      </c>
      <c r="H450" s="3">
        <v>508928260861907</v>
      </c>
      <c r="I450" s="4">
        <f>[1]!nefin_factors__1[[#This Row],[Risk_Free]]/H449-1</f>
        <v>0</v>
      </c>
      <c r="J450">
        <v>45064</v>
      </c>
      <c r="K450">
        <v>45547</v>
      </c>
      <c r="L450">
        <v>44789</v>
      </c>
      <c r="M450">
        <v>45313</v>
      </c>
      <c r="N450">
        <v>3773200</v>
      </c>
      <c r="O450">
        <v>45313</v>
      </c>
      <c r="P450">
        <v>5.6370536407821499E-3</v>
      </c>
      <c r="Q450">
        <v>5.6212249109806496E-3</v>
      </c>
      <c r="R450" s="8">
        <v>11.373815536499</v>
      </c>
      <c r="S450" s="8">
        <v>0</v>
      </c>
      <c r="T450" s="9">
        <v>0</v>
      </c>
      <c r="U450" s="12">
        <v>5.2531000000000001E-2</v>
      </c>
      <c r="V450" s="16">
        <v>3.9821</v>
      </c>
      <c r="W450" s="17">
        <f t="shared" si="6"/>
        <v>2.050178109223233E-2</v>
      </c>
    </row>
    <row r="451" spans="1:23" x14ac:dyDescent="0.2">
      <c r="A451" s="15">
        <v>42188</v>
      </c>
      <c r="B451" s="5">
        <v>-874644558323371</v>
      </c>
      <c r="C451" s="5">
        <f>[1]!nefin_factors__1[[#This Row],[Rm_minus_Rf]]/B450-1</f>
        <v>-2.6829092070789651</v>
      </c>
      <c r="D451" s="5">
        <v>-518895696175394</v>
      </c>
      <c r="E451" s="5">
        <f>[1]!nefin_factors__1[[#This Row],[SMB]]/D450-1</f>
        <v>-0.38041634643051947</v>
      </c>
      <c r="F451" s="5">
        <v>-821008101967684</v>
      </c>
      <c r="G451" s="5">
        <f>[1]!nefin_factors__1[[#This Row],[HML]]/F450-1</f>
        <v>-0.16904902437130975</v>
      </c>
      <c r="H451" s="5">
        <v>508928260861907</v>
      </c>
      <c r="I451" s="6">
        <f>[1]!nefin_factors__1[[#This Row],[Risk_Free]]/H450-1</f>
        <v>0</v>
      </c>
      <c r="J451">
        <v>45313</v>
      </c>
      <c r="K451">
        <v>47033</v>
      </c>
      <c r="L451">
        <v>44973</v>
      </c>
      <c r="M451">
        <v>47033</v>
      </c>
      <c r="N451">
        <v>4001300</v>
      </c>
      <c r="O451">
        <v>47033</v>
      </c>
      <c r="P451">
        <v>3.7958201840531301E-2</v>
      </c>
      <c r="Q451">
        <v>3.7255515956553402E-2</v>
      </c>
      <c r="R451" s="8">
        <v>11.2913970947266</v>
      </c>
      <c r="S451" s="8">
        <v>-7.2463960021950102E-3</v>
      </c>
      <c r="T451" s="9">
        <v>-7.2727786597581497E-3</v>
      </c>
      <c r="U451" s="12">
        <v>5.2531000000000001E-2</v>
      </c>
      <c r="V451" s="16">
        <v>4.0425000000000004</v>
      </c>
      <c r="W451" s="17">
        <f t="shared" si="6"/>
        <v>1.5167876246201972E-2</v>
      </c>
    </row>
    <row r="452" spans="1:23" x14ac:dyDescent="0.2">
      <c r="A452" s="14">
        <v>42191</v>
      </c>
      <c r="B452" s="3">
        <v>-70263572354484</v>
      </c>
      <c r="C452" s="3">
        <f>[1]!nefin_factors__1[[#This Row],[Rm_minus_Rf]]/B451-1</f>
        <v>-0.91966614130753399</v>
      </c>
      <c r="D452" s="3">
        <v>-103185188004362</v>
      </c>
      <c r="E452" s="3">
        <f>[1]!nefin_factors__1[[#This Row],[SMB]]/D451-1</f>
        <v>-0.80114464474285407</v>
      </c>
      <c r="F452" s="3">
        <v>-409988466826998</v>
      </c>
      <c r="G452" s="3">
        <f>[1]!nefin_factors__1[[#This Row],[HML]]/F451-1</f>
        <v>-0.5006279891216765</v>
      </c>
      <c r="H452" s="3">
        <v>51032501594972</v>
      </c>
      <c r="I452" s="4">
        <f>[1]!nefin_factors__1[[#This Row],[Risk_Free]]/H451-1</f>
        <v>-0.89972554971000285</v>
      </c>
      <c r="J452">
        <v>47033</v>
      </c>
      <c r="K452">
        <v>48081</v>
      </c>
      <c r="L452">
        <v>47019</v>
      </c>
      <c r="M452">
        <v>47598</v>
      </c>
      <c r="N452">
        <v>3323700</v>
      </c>
      <c r="O452">
        <v>47598</v>
      </c>
      <c r="P452">
        <v>1.2012842047073299E-2</v>
      </c>
      <c r="Q452">
        <v>1.19412605545946E-2</v>
      </c>
      <c r="R452" s="8">
        <v>11.2172203063965</v>
      </c>
      <c r="S452" s="8">
        <v>-6.5691858142969996E-3</v>
      </c>
      <c r="T452" s="9">
        <v>-6.5908578794509898E-3</v>
      </c>
      <c r="U452" s="12">
        <v>5.2531000000000001E-2</v>
      </c>
      <c r="V452" s="16">
        <v>4.1040999999999999</v>
      </c>
      <c r="W452" s="17">
        <f t="shared" ref="W452:W515" si="7">V452/V451-1</f>
        <v>1.5238095238095051E-2</v>
      </c>
    </row>
    <row r="453" spans="1:23" x14ac:dyDescent="0.2">
      <c r="A453" s="15">
        <v>42192</v>
      </c>
      <c r="B453" s="5">
        <v>204512132146746</v>
      </c>
      <c r="C453" s="5">
        <f>[1]!nefin_factors__1[[#This Row],[Rm_minus_Rf]]/B452-1</f>
        <v>-3.910642389700453</v>
      </c>
      <c r="D453" s="5">
        <v>-124471429615982</v>
      </c>
      <c r="E453" s="5">
        <f>[1]!nefin_factors__1[[#This Row],[SMB]]/D452-1</f>
        <v>0.20629163955896601</v>
      </c>
      <c r="F453" s="5">
        <v>-485935411459317</v>
      </c>
      <c r="G453" s="5">
        <f>[1]!nefin_factors__1[[#This Row],[HML]]/F452-1</f>
        <v>0.18524166111327744</v>
      </c>
      <c r="H453" s="5">
        <v>511023209999406</v>
      </c>
      <c r="I453" s="6">
        <f>[1]!nefin_factors__1[[#This Row],[Risk_Free]]/H452-1</f>
        <v>9.0136813604637158</v>
      </c>
      <c r="J453">
        <v>47598</v>
      </c>
      <c r="K453">
        <v>48092</v>
      </c>
      <c r="L453">
        <v>47389</v>
      </c>
      <c r="M453">
        <v>47735</v>
      </c>
      <c r="N453">
        <v>3370800</v>
      </c>
      <c r="O453">
        <v>47735</v>
      </c>
      <c r="P453">
        <v>2.87827219631076E-3</v>
      </c>
      <c r="Q453">
        <v>2.8741379020756201E-3</v>
      </c>
      <c r="R453" s="8">
        <v>11.3902997970581</v>
      </c>
      <c r="S453" s="8">
        <v>1.54296752744814E-2</v>
      </c>
      <c r="T453" s="9">
        <v>1.53118483104132E-2</v>
      </c>
      <c r="U453" s="12">
        <v>5.2531000000000001E-2</v>
      </c>
      <c r="V453" s="16">
        <v>4.1948999999999996</v>
      </c>
      <c r="W453" s="17">
        <f t="shared" si="7"/>
        <v>2.2124217246168421E-2</v>
      </c>
    </row>
    <row r="454" spans="1:23" x14ac:dyDescent="0.2">
      <c r="A454" s="14">
        <v>42193</v>
      </c>
      <c r="B454" s="3">
        <v>-109829514569255</v>
      </c>
      <c r="C454" s="3">
        <f>[1]!nefin_factors__1[[#This Row],[Rm_minus_Rf]]/B453-1</f>
        <v>-1.5370317810311993</v>
      </c>
      <c r="D454" s="3">
        <v>567998037416652</v>
      </c>
      <c r="E454" s="3">
        <f>[1]!nefin_factors__1[[#This Row],[SMB]]/D453-1</f>
        <v>-5.5632804183982927</v>
      </c>
      <c r="F454" s="3">
        <v>62456805794224</v>
      </c>
      <c r="G454" s="3">
        <f>[1]!nefin_factors__1[[#This Row],[HML]]/F453-1</f>
        <v>-1.1285290273591286</v>
      </c>
      <c r="H454" s="3">
        <v>511721281776678</v>
      </c>
      <c r="I454" s="4">
        <f>[1]!nefin_factors__1[[#This Row],[Risk_Free]]/H453-1</f>
        <v>1.3660275377176401E-3</v>
      </c>
      <c r="J454">
        <v>47735</v>
      </c>
      <c r="K454">
        <v>49290</v>
      </c>
      <c r="L454">
        <v>47715</v>
      </c>
      <c r="M454">
        <v>48914</v>
      </c>
      <c r="N454">
        <v>6060700</v>
      </c>
      <c r="O454">
        <v>48914</v>
      </c>
      <c r="P454">
        <v>2.4698858280087999E-2</v>
      </c>
      <c r="Q454">
        <v>2.43987726237225E-2</v>
      </c>
      <c r="R454" s="8">
        <v>11.398542404174799</v>
      </c>
      <c r="S454" s="8">
        <v>7.2367299792386298E-4</v>
      </c>
      <c r="T454" s="9">
        <v>7.2341127288118702E-4</v>
      </c>
      <c r="U454" s="12">
        <v>5.2531000000000001E-2</v>
      </c>
      <c r="V454" s="16">
        <v>3.9479000000000002</v>
      </c>
      <c r="W454" s="17">
        <f t="shared" si="7"/>
        <v>-5.8881022193615906E-2</v>
      </c>
    </row>
    <row r="455" spans="1:23" x14ac:dyDescent="0.2">
      <c r="A455" s="15">
        <v>42195</v>
      </c>
      <c r="B455" s="5">
        <v>136831308421421</v>
      </c>
      <c r="C455" s="5">
        <f>[1]!nefin_factors__1[[#This Row],[Rm_minus_Rf]]/B454-1</f>
        <v>-2.2458518910701324</v>
      </c>
      <c r="D455" s="5">
        <v>-354159152522345</v>
      </c>
      <c r="E455" s="5">
        <f>[1]!nefin_factors__1[[#This Row],[SMB]]/D454-1</f>
        <v>-1.6235217891475799</v>
      </c>
      <c r="F455" s="5">
        <v>-651996704793146</v>
      </c>
      <c r="G455" s="5">
        <f>[1]!nefin_factors__1[[#This Row],[HML]]/F454-1</f>
        <v>-11.439161857576819</v>
      </c>
      <c r="H455" s="5">
        <v>511721281776678</v>
      </c>
      <c r="I455" s="6">
        <f>[1]!nefin_factors__1[[#This Row],[Risk_Free]]/H454-1</f>
        <v>0</v>
      </c>
      <c r="J455">
        <v>48915</v>
      </c>
      <c r="K455">
        <v>49247</v>
      </c>
      <c r="L455">
        <v>48658</v>
      </c>
      <c r="M455">
        <v>49107</v>
      </c>
      <c r="N455">
        <v>3585000</v>
      </c>
      <c r="O455">
        <v>49107</v>
      </c>
      <c r="P455">
        <v>3.9457006174101698E-3</v>
      </c>
      <c r="Q455">
        <v>3.9379367566082799E-3</v>
      </c>
      <c r="R455" s="8">
        <v>11.596346855163601</v>
      </c>
      <c r="S455" s="8">
        <v>1.73534052321738E-2</v>
      </c>
      <c r="T455" s="9">
        <v>1.7204554473138799E-2</v>
      </c>
      <c r="U455" s="12">
        <v>5.2531000000000001E-2</v>
      </c>
      <c r="V455" s="16">
        <v>4.0099</v>
      </c>
      <c r="W455" s="17">
        <f t="shared" si="7"/>
        <v>1.5704551787026011E-2</v>
      </c>
    </row>
    <row r="456" spans="1:23" x14ac:dyDescent="0.2">
      <c r="A456" s="14">
        <v>42198</v>
      </c>
      <c r="B456" s="3">
        <v>690452279139538</v>
      </c>
      <c r="C456" s="3">
        <f>[1]!nefin_factors__1[[#This Row],[Rm_minus_Rf]]/B455-1</f>
        <v>4.0460109393461545</v>
      </c>
      <c r="D456" s="3">
        <v>-739939613770179</v>
      </c>
      <c r="E456" s="3">
        <f>[1]!nefin_factors__1[[#This Row],[SMB]]/D455-1</f>
        <v>1.0892855895443616</v>
      </c>
      <c r="F456" s="3">
        <v>464484715439433</v>
      </c>
      <c r="G456" s="3">
        <f>[1]!nefin_factors__1[[#This Row],[HML]]/F455-1</f>
        <v>-1.7124034707917679</v>
      </c>
      <c r="H456" s="3">
        <v>512419231324612</v>
      </c>
      <c r="I456" s="4">
        <f>[1]!nefin_factors__1[[#This Row],[Risk_Free]]/H455-1</f>
        <v>1.3639251928525553E-3</v>
      </c>
      <c r="J456">
        <v>49105</v>
      </c>
      <c r="K456">
        <v>49752</v>
      </c>
      <c r="L456">
        <v>48698</v>
      </c>
      <c r="M456">
        <v>49338</v>
      </c>
      <c r="N456">
        <v>4551200</v>
      </c>
      <c r="O456">
        <v>49338</v>
      </c>
      <c r="P456">
        <v>4.7040136844034297E-3</v>
      </c>
      <c r="Q456">
        <v>4.6929843864861797E-3</v>
      </c>
      <c r="R456" s="8">
        <v>12.198005676269499</v>
      </c>
      <c r="S456" s="8">
        <v>5.1883555739071101E-2</v>
      </c>
      <c r="T456" s="9">
        <v>5.0582419728139302E-2</v>
      </c>
      <c r="U456" s="12">
        <v>5.2531000000000001E-2</v>
      </c>
      <c r="V456" s="16">
        <v>4.1172000000000004</v>
      </c>
      <c r="W456" s="17">
        <f t="shared" si="7"/>
        <v>2.6758772039203071E-2</v>
      </c>
    </row>
    <row r="457" spans="1:23" x14ac:dyDescent="0.2">
      <c r="A457" s="15">
        <v>42199</v>
      </c>
      <c r="B457" s="5">
        <v>223598401006992</v>
      </c>
      <c r="C457" s="5">
        <f>[1]!nefin_factors__1[[#This Row],[Rm_minus_Rf]]/B456-1</f>
        <v>-0.67615661825948792</v>
      </c>
      <c r="D457" s="5">
        <v>-166682855347609</v>
      </c>
      <c r="E457" s="5">
        <f>[1]!nefin_factors__1[[#This Row],[SMB]]/D456-1</f>
        <v>-0.7747345158366129</v>
      </c>
      <c r="F457" s="5">
        <v>-414996255263627</v>
      </c>
      <c r="G457" s="5">
        <f>[1]!nefin_factors__1[[#This Row],[HML]]/F456-1</f>
        <v>-1.8934551374225808</v>
      </c>
      <c r="H457" s="5">
        <v>5127681602759</v>
      </c>
      <c r="I457" s="6">
        <f>[1]!nefin_factors__1[[#This Row],[Risk_Free]]/H456-1</f>
        <v>-0.98999319055706814</v>
      </c>
      <c r="J457">
        <v>49339</v>
      </c>
      <c r="K457">
        <v>49339</v>
      </c>
      <c r="L457">
        <v>47135</v>
      </c>
      <c r="M457">
        <v>47363</v>
      </c>
      <c r="N457">
        <v>4221100</v>
      </c>
      <c r="O457">
        <v>47363</v>
      </c>
      <c r="P457">
        <v>-4.0029997162430601E-2</v>
      </c>
      <c r="Q457">
        <v>-4.08532420526527E-2</v>
      </c>
      <c r="R457" s="8">
        <v>11.794153213501</v>
      </c>
      <c r="S457" s="8">
        <v>-3.3108118866984497E-2</v>
      </c>
      <c r="T457" s="9">
        <v>-3.3668598328989503E-2</v>
      </c>
      <c r="U457" s="12">
        <v>5.2531000000000001E-2</v>
      </c>
      <c r="V457" s="16">
        <v>3.9729000000000001</v>
      </c>
      <c r="W457" s="17">
        <f t="shared" si="7"/>
        <v>-3.5048090935587362E-2</v>
      </c>
    </row>
    <row r="458" spans="1:23" x14ac:dyDescent="0.2">
      <c r="A458" s="14">
        <v>42200</v>
      </c>
      <c r="B458" s="3">
        <v>-421077109184257</v>
      </c>
      <c r="C458" s="3">
        <f>[1]!nefin_factors__1[[#This Row],[Rm_minus_Rf]]/B457-1</f>
        <v>-2.8831847959909593</v>
      </c>
      <c r="D458" s="3">
        <v>-354358308879286</v>
      </c>
      <c r="E458" s="3">
        <f>[1]!nefin_factors__1[[#This Row],[SMB]]/D457-1</f>
        <v>1.1259433559635692</v>
      </c>
      <c r="F458" s="3">
        <v>-354316412232381</v>
      </c>
      <c r="G458" s="3">
        <f>[1]!nefin_factors__1[[#This Row],[HML]]/F457-1</f>
        <v>-0.14621780862263212</v>
      </c>
      <c r="H458" s="3">
        <v>513465926560208</v>
      </c>
      <c r="I458" s="4">
        <f>[1]!nefin_factors__1[[#This Row],[Risk_Free]]/H457-1</f>
        <v>99.136078317330103</v>
      </c>
      <c r="J458">
        <v>47349</v>
      </c>
      <c r="K458">
        <v>47715</v>
      </c>
      <c r="L458">
        <v>46701</v>
      </c>
      <c r="M458">
        <v>46710</v>
      </c>
      <c r="N458">
        <v>6141700</v>
      </c>
      <c r="O458">
        <v>46710</v>
      </c>
      <c r="P458">
        <v>-1.37871334163798E-2</v>
      </c>
      <c r="Q458">
        <v>-1.3883058650144E-2</v>
      </c>
      <c r="R458" s="8">
        <v>11.827119827270501</v>
      </c>
      <c r="S458" s="8">
        <v>2.7953083275900101E-3</v>
      </c>
      <c r="T458" s="9">
        <v>2.7914087186494698E-3</v>
      </c>
      <c r="U458" s="12">
        <v>5.2531000000000001E-2</v>
      </c>
      <c r="V458" s="16">
        <v>3.9794</v>
      </c>
      <c r="W458" s="17">
        <f t="shared" si="7"/>
        <v>1.6360844722997925E-3</v>
      </c>
    </row>
    <row r="459" spans="1:23" x14ac:dyDescent="0.2">
      <c r="A459" s="15">
        <v>42201</v>
      </c>
      <c r="B459" s="5">
        <v>154403157125573</v>
      </c>
      <c r="C459" s="5">
        <f>[1]!nefin_factors__1[[#This Row],[Rm_minus_Rf]]/B458-1</f>
        <v>-1.3666861811241526</v>
      </c>
      <c r="D459" s="5">
        <v>501885016842982</v>
      </c>
      <c r="E459" s="5">
        <f>[1]!nefin_factors__1[[#This Row],[SMB]]/D458-1</f>
        <v>-2.4163207247214622</v>
      </c>
      <c r="F459" s="5">
        <v>807278700086065</v>
      </c>
      <c r="G459" s="5">
        <f>[1]!nefin_factors__1[[#This Row],[HML]]/F458-1</f>
        <v>-3.2784118155853457</v>
      </c>
      <c r="H459" s="5">
        <v>513814763903664</v>
      </c>
      <c r="I459" s="6">
        <f>[1]!nefin_factors__1[[#This Row],[Risk_Free]]/H458-1</f>
        <v>6.7937778421423012E-4</v>
      </c>
      <c r="J459">
        <v>46730</v>
      </c>
      <c r="K459">
        <v>47188</v>
      </c>
      <c r="L459">
        <v>46321</v>
      </c>
      <c r="M459">
        <v>47161</v>
      </c>
      <c r="N459">
        <v>3653000</v>
      </c>
      <c r="O459">
        <v>47161</v>
      </c>
      <c r="P459">
        <v>9.6553200599442997E-3</v>
      </c>
      <c r="Q459">
        <v>9.6090053408605294E-3</v>
      </c>
      <c r="R459" s="8">
        <v>11.8600883483887</v>
      </c>
      <c r="S459" s="8">
        <v>2.7873407185259299E-3</v>
      </c>
      <c r="T459" s="9">
        <v>2.7834632878611602E-3</v>
      </c>
      <c r="U459" s="12">
        <v>5.2531000000000001E-2</v>
      </c>
      <c r="V459" s="16">
        <v>4.0010000000000003</v>
      </c>
      <c r="W459" s="17">
        <f t="shared" si="7"/>
        <v>5.4279539629089602E-3</v>
      </c>
    </row>
    <row r="460" spans="1:23" x14ac:dyDescent="0.2">
      <c r="A460" s="14">
        <v>42202</v>
      </c>
      <c r="B460" s="3">
        <v>-126859903927196</v>
      </c>
      <c r="C460" s="3">
        <f>[1]!nefin_factors__1[[#This Row],[Rm_minus_Rf]]/B459-1</f>
        <v>-1.8216147019845157</v>
      </c>
      <c r="D460" s="3">
        <v>465174775461726</v>
      </c>
      <c r="E460" s="3">
        <f>[1]!nefin_factors__1[[#This Row],[SMB]]/D459-1</f>
        <v>-7.3144724686493356E-2</v>
      </c>
      <c r="F460" s="3">
        <v>-140143870816021</v>
      </c>
      <c r="G460" s="3">
        <f>[1]!nefin_factors__1[[#This Row],[HML]]/F459-1</f>
        <v>-1.1736003573500453</v>
      </c>
      <c r="H460" s="3">
        <v>514512347020712</v>
      </c>
      <c r="I460" s="4">
        <f>[1]!nefin_factors__1[[#This Row],[Risk_Free]]/H459-1</f>
        <v>1.3576548710827474E-3</v>
      </c>
      <c r="J460">
        <v>47161</v>
      </c>
      <c r="K460">
        <v>47727</v>
      </c>
      <c r="L460">
        <v>46517</v>
      </c>
      <c r="M460">
        <v>47236</v>
      </c>
      <c r="N460">
        <v>3537700</v>
      </c>
      <c r="O460">
        <v>47236</v>
      </c>
      <c r="P460">
        <v>1.59029706749214E-3</v>
      </c>
      <c r="Q460">
        <v>1.5890338841578801E-3</v>
      </c>
      <c r="R460" s="8">
        <v>12.239214897155801</v>
      </c>
      <c r="S460" s="8">
        <v>3.1966677461939597E-2</v>
      </c>
      <c r="T460" s="9">
        <v>3.14663772569947E-2</v>
      </c>
      <c r="U460" s="12">
        <v>5.2531000000000001E-2</v>
      </c>
      <c r="V460" s="16">
        <v>3.9140999999999999</v>
      </c>
      <c r="W460" s="17">
        <f t="shared" si="7"/>
        <v>-2.1719570107473274E-2</v>
      </c>
    </row>
    <row r="461" spans="1:23" x14ac:dyDescent="0.2">
      <c r="A461" s="15">
        <v>42205</v>
      </c>
      <c r="B461" s="5">
        <v>-122601144876088</v>
      </c>
      <c r="C461" s="5">
        <f>[1]!nefin_factors__1[[#This Row],[Rm_minus_Rf]]/B460-1</f>
        <v>-3.3570568156444991E-2</v>
      </c>
      <c r="D461" s="5">
        <v>-221807575254443</v>
      </c>
      <c r="E461" s="5">
        <f>[1]!nefin_factors__1[[#This Row],[SMB]]/D460-1</f>
        <v>-1.4768263176658276</v>
      </c>
      <c r="F461" s="5">
        <v>-945590817726458</v>
      </c>
      <c r="G461" s="5">
        <f>[1]!nefin_factors__1[[#This Row],[HML]]/F460-1</f>
        <v>5.747286286731847</v>
      </c>
      <c r="H461" s="5">
        <v>514163570722204</v>
      </c>
      <c r="I461" s="6">
        <f>[1]!nefin_factors__1[[#This Row],[Risk_Free]]/H460-1</f>
        <v>-6.7787741252001155E-4</v>
      </c>
      <c r="J461">
        <v>47242</v>
      </c>
      <c r="K461">
        <v>47536</v>
      </c>
      <c r="L461">
        <v>46917</v>
      </c>
      <c r="M461">
        <v>47447</v>
      </c>
      <c r="N461">
        <v>3133600</v>
      </c>
      <c r="O461">
        <v>47447</v>
      </c>
      <c r="P461">
        <v>4.4669320010162199E-3</v>
      </c>
      <c r="Q461">
        <v>4.4569848713660702E-3</v>
      </c>
      <c r="R461" s="8">
        <v>12.527681350708001</v>
      </c>
      <c r="S461" s="8">
        <v>2.3569044142058002E-2</v>
      </c>
      <c r="T461" s="9">
        <v>2.3295582702835101E-2</v>
      </c>
      <c r="U461" s="12">
        <v>5.2531000000000001E-2</v>
      </c>
      <c r="V461" s="16">
        <v>3.8567</v>
      </c>
      <c r="W461" s="17">
        <f t="shared" si="7"/>
        <v>-1.4664929357962264E-2</v>
      </c>
    </row>
    <row r="462" spans="1:23" x14ac:dyDescent="0.2">
      <c r="A462" s="14">
        <v>42206</v>
      </c>
      <c r="B462" s="3">
        <v>-269027706734611</v>
      </c>
      <c r="C462" s="3">
        <f>[1]!nefin_factors__1[[#This Row],[Rm_minus_Rf]]/B461-1</f>
        <v>1.1943327446616845</v>
      </c>
      <c r="D462" s="3">
        <v>214692582518968</v>
      </c>
      <c r="E462" s="3">
        <f>[1]!nefin_factors__1[[#This Row],[SMB]]/D461-1</f>
        <v>-1.9679226792533431</v>
      </c>
      <c r="F462" s="3">
        <v>-824701581740776</v>
      </c>
      <c r="G462" s="3">
        <f>[1]!nefin_factors__1[[#This Row],[HML]]/F461-1</f>
        <v>-0.12784518812941037</v>
      </c>
      <c r="H462" s="3">
        <v>514512347020712</v>
      </c>
      <c r="I462" s="4">
        <f>[1]!nefin_factors__1[[#This Row],[Risk_Free]]/H461-1</f>
        <v>6.7833724201449286E-4</v>
      </c>
      <c r="J462">
        <v>47447</v>
      </c>
      <c r="K462">
        <v>47728</v>
      </c>
      <c r="L462">
        <v>46623</v>
      </c>
      <c r="M462">
        <v>47077</v>
      </c>
      <c r="N462">
        <v>3297000</v>
      </c>
      <c r="O462">
        <v>47077</v>
      </c>
      <c r="P462">
        <v>-7.7981748055725398E-3</v>
      </c>
      <c r="Q462">
        <v>-7.8287395740187105E-3</v>
      </c>
      <c r="R462" s="8">
        <v>13.145824432373001</v>
      </c>
      <c r="S462" s="8">
        <v>4.9342111808657697E-2</v>
      </c>
      <c r="T462" s="9">
        <v>4.8163407616340498E-2</v>
      </c>
      <c r="U462" s="12">
        <v>5.2531000000000001E-2</v>
      </c>
      <c r="V462" s="16">
        <v>3.806</v>
      </c>
      <c r="W462" s="17">
        <f t="shared" si="7"/>
        <v>-1.3145953794694965E-2</v>
      </c>
    </row>
    <row r="463" spans="1:23" x14ac:dyDescent="0.2">
      <c r="A463" s="15">
        <v>42207</v>
      </c>
      <c r="B463" s="5">
        <v>-112195857639656</v>
      </c>
      <c r="C463" s="5">
        <f>[1]!nefin_factors__1[[#This Row],[Rm_minus_Rf]]/B462-1</f>
        <v>-0.58295798227825524</v>
      </c>
      <c r="D463" s="5">
        <v>227727611966943</v>
      </c>
      <c r="E463" s="5">
        <f>[1]!nefin_factors__1[[#This Row],[SMB]]/D462-1</f>
        <v>6.0714857006405332E-2</v>
      </c>
      <c r="F463" s="5">
        <v>-546644024458464</v>
      </c>
      <c r="G463" s="5">
        <f>[1]!nefin_factors__1[[#This Row],[HML]]/F462-1</f>
        <v>-0.3371614210989986</v>
      </c>
      <c r="H463" s="5">
        <v>514512347020712</v>
      </c>
      <c r="I463" s="6">
        <f>[1]!nefin_factors__1[[#This Row],[Risk_Free]]/H462-1</f>
        <v>0</v>
      </c>
      <c r="J463">
        <v>47077</v>
      </c>
      <c r="K463">
        <v>47274</v>
      </c>
      <c r="L463">
        <v>46654</v>
      </c>
      <c r="M463">
        <v>47026</v>
      </c>
      <c r="N463">
        <v>2957300</v>
      </c>
      <c r="O463">
        <v>47026</v>
      </c>
      <c r="P463">
        <v>-1.08333156318374E-3</v>
      </c>
      <c r="Q463">
        <v>-1.0839187909682101E-3</v>
      </c>
      <c r="R463" s="8">
        <v>12.6595516204834</v>
      </c>
      <c r="S463" s="8">
        <v>-3.6990622410658397E-2</v>
      </c>
      <c r="T463" s="9">
        <v>-3.7692129340103998E-2</v>
      </c>
      <c r="U463" s="12">
        <v>5.2531000000000001E-2</v>
      </c>
      <c r="V463" s="16">
        <v>3.8517000000000001</v>
      </c>
      <c r="W463" s="17">
        <f t="shared" si="7"/>
        <v>1.2007356805044722E-2</v>
      </c>
    </row>
    <row r="464" spans="1:23" x14ac:dyDescent="0.2">
      <c r="A464" s="14">
        <v>42208</v>
      </c>
      <c r="B464" s="3">
        <v>-189968006972307</v>
      </c>
      <c r="C464" s="3">
        <f>[1]!nefin_factors__1[[#This Row],[Rm_minus_Rf]]/B463-1</f>
        <v>0.69318200305072741</v>
      </c>
      <c r="D464" s="3">
        <v>575939260059959</v>
      </c>
      <c r="E464" s="3">
        <f>[1]!nefin_factors__1[[#This Row],[SMB]]/D463-1</f>
        <v>1.5290708275795843</v>
      </c>
      <c r="F464" s="3">
        <v>966320428318991</v>
      </c>
      <c r="G464" s="3">
        <f>[1]!nefin_factors__1[[#This Row],[HML]]/F463-1</f>
        <v>-2.7677325372325834</v>
      </c>
      <c r="H464" s="3">
        <v>51590714712324</v>
      </c>
      <c r="I464" s="4">
        <f>[1]!nefin_factors__1[[#This Row],[Risk_Free]]/H463-1</f>
        <v>-0.8997289083322092</v>
      </c>
      <c r="J464">
        <v>47027</v>
      </c>
      <c r="K464">
        <v>47909</v>
      </c>
      <c r="L464">
        <v>47027</v>
      </c>
      <c r="M464">
        <v>47772</v>
      </c>
      <c r="N464">
        <v>3124100</v>
      </c>
      <c r="O464">
        <v>47772</v>
      </c>
      <c r="P464">
        <v>1.58635648364733E-2</v>
      </c>
      <c r="Q464">
        <v>1.5739053560765999E-2</v>
      </c>
      <c r="R464" s="8">
        <v>12.7337293624878</v>
      </c>
      <c r="S464" s="8">
        <v>5.8594809226995004E-3</v>
      </c>
      <c r="T464" s="9">
        <v>5.8423809298968803E-3</v>
      </c>
      <c r="U464" s="12">
        <v>5.2531000000000001E-2</v>
      </c>
      <c r="V464" s="16">
        <v>3.7385999999999999</v>
      </c>
      <c r="W464" s="17">
        <f t="shared" si="7"/>
        <v>-2.9363657605732563E-2</v>
      </c>
    </row>
    <row r="465" spans="1:23" x14ac:dyDescent="0.2">
      <c r="A465" s="15">
        <v>42209</v>
      </c>
      <c r="B465" s="5">
        <v>-108108441609609</v>
      </c>
      <c r="C465" s="5">
        <f>[1]!nefin_factors__1[[#This Row],[Rm_minus_Rf]]/B464-1</f>
        <v>-0.43091237660155723</v>
      </c>
      <c r="D465" s="5">
        <v>-787442317132879</v>
      </c>
      <c r="E465" s="5">
        <f>[1]!nefin_factors__1[[#This Row],[SMB]]/D464-1</f>
        <v>-2.367231532455178</v>
      </c>
      <c r="F465" s="5">
        <v>-105360639380144</v>
      </c>
      <c r="G465" s="5">
        <f>[1]!nefin_factors__1[[#This Row],[HML]]/F464-1</f>
        <v>-1.1090328179891935</v>
      </c>
      <c r="H465" s="5">
        <v>520088621459802</v>
      </c>
      <c r="I465" s="6">
        <f>[1]!nefin_factors__1[[#This Row],[Risk_Free]]/H464-1</f>
        <v>9.0810509092552483</v>
      </c>
      <c r="J465">
        <v>47774</v>
      </c>
      <c r="K465">
        <v>48837</v>
      </c>
      <c r="L465">
        <v>47502</v>
      </c>
      <c r="M465">
        <v>47597</v>
      </c>
      <c r="N465">
        <v>3592300</v>
      </c>
      <c r="O465">
        <v>47597</v>
      </c>
      <c r="P465">
        <v>-3.66323369337684E-3</v>
      </c>
      <c r="Q465">
        <v>-3.6699597650621499E-3</v>
      </c>
      <c r="R465" s="8">
        <v>12.6760358810425</v>
      </c>
      <c r="S465" s="8">
        <v>-4.5308620163400102E-3</v>
      </c>
      <c r="T465" s="9">
        <v>-4.5411574816376097E-3</v>
      </c>
      <c r="U465" s="12">
        <v>5.2531000000000001E-2</v>
      </c>
      <c r="V465" s="16">
        <v>3.8250000000000002</v>
      </c>
      <c r="W465" s="17">
        <f t="shared" si="7"/>
        <v>2.3110255175734284E-2</v>
      </c>
    </row>
    <row r="466" spans="1:23" x14ac:dyDescent="0.2">
      <c r="A466" s="14">
        <v>42212</v>
      </c>
      <c r="B466" s="3">
        <v>-101312688894117</v>
      </c>
      <c r="C466" s="3">
        <f>[1]!nefin_factors__1[[#This Row],[Rm_minus_Rf]]/B465-1</f>
        <v>-6.2860518700585621E-2</v>
      </c>
      <c r="D466" s="3">
        <v>-404821089572461</v>
      </c>
      <c r="E466" s="3">
        <f>[1]!nefin_factors__1[[#This Row],[SMB]]/D465-1</f>
        <v>-0.4859038169977492</v>
      </c>
      <c r="F466" s="3">
        <v>-962759750783224</v>
      </c>
      <c r="G466" s="3">
        <f>[1]!nefin_factors__1[[#This Row],[HML]]/F465-1</f>
        <v>8.1377553937344764</v>
      </c>
      <c r="H466" s="3">
        <v>521481472053109</v>
      </c>
      <c r="I466" s="4">
        <f>[1]!nefin_factors__1[[#This Row],[Risk_Free]]/H465-1</f>
        <v>2.6781024153104127E-3</v>
      </c>
      <c r="J466">
        <v>47607</v>
      </c>
      <c r="K466">
        <v>47875</v>
      </c>
      <c r="L466">
        <v>47105</v>
      </c>
      <c r="M466">
        <v>47209</v>
      </c>
      <c r="N466">
        <v>2451400</v>
      </c>
      <c r="O466">
        <v>47209</v>
      </c>
      <c r="P466">
        <v>-8.15177427148772E-3</v>
      </c>
      <c r="Q466">
        <v>-8.1851816602397306E-3</v>
      </c>
      <c r="R466" s="8">
        <v>11.794153213501</v>
      </c>
      <c r="S466" s="8">
        <v>-6.9570837004556907E-2</v>
      </c>
      <c r="T466" s="9">
        <v>-7.2109333690836094E-2</v>
      </c>
      <c r="U466" s="12">
        <v>5.2531000000000001E-2</v>
      </c>
      <c r="V466" s="16">
        <v>3.8506999999999998</v>
      </c>
      <c r="W466" s="17">
        <f t="shared" si="7"/>
        <v>6.7189542483658826E-3</v>
      </c>
    </row>
    <row r="467" spans="1:23" x14ac:dyDescent="0.2">
      <c r="A467" s="15">
        <v>42213</v>
      </c>
      <c r="B467" s="5">
        <v>126735496247519</v>
      </c>
      <c r="C467" s="5">
        <f>[1]!nefin_factors__1[[#This Row],[Rm_minus_Rf]]/B466-1</f>
        <v>-2.2509340896081795</v>
      </c>
      <c r="D467" s="5">
        <v>-52173116594867</v>
      </c>
      <c r="E467" s="5">
        <f>[1]!nefin_factors__1[[#This Row],[SMB]]/D466-1</f>
        <v>-0.8711205568613829</v>
      </c>
      <c r="F467" s="5">
        <v>183761802842089</v>
      </c>
      <c r="G467" s="5">
        <f>[1]!nefin_factors__1[[#This Row],[HML]]/F466-1</f>
        <v>-1.1908698433774316</v>
      </c>
      <c r="H467" s="5">
        <v>522177714881833</v>
      </c>
      <c r="I467" s="6">
        <f>[1]!nefin_factors__1[[#This Row],[Risk_Free]]/H466-1</f>
        <v>1.3351247667205968E-3</v>
      </c>
      <c r="J467">
        <v>47205</v>
      </c>
      <c r="K467">
        <v>47338</v>
      </c>
      <c r="L467">
        <v>46742</v>
      </c>
      <c r="M467">
        <v>47043</v>
      </c>
      <c r="N467">
        <v>3443800</v>
      </c>
      <c r="O467">
        <v>47043</v>
      </c>
      <c r="P467">
        <v>-3.51627867567628E-3</v>
      </c>
      <c r="Q467">
        <v>-3.5224753138744301E-3</v>
      </c>
      <c r="R467" s="8">
        <v>11.596346855163601</v>
      </c>
      <c r="S467" s="8">
        <v>-1.6771585767027301E-2</v>
      </c>
      <c r="T467" s="9">
        <v>-1.691382139915E-2</v>
      </c>
      <c r="U467" s="12">
        <v>5.2531000000000001E-2</v>
      </c>
      <c r="V467" s="16">
        <v>3.8344</v>
      </c>
      <c r="W467" s="17">
        <f t="shared" si="7"/>
        <v>-4.2329965980211215E-3</v>
      </c>
    </row>
    <row r="468" spans="1:23" x14ac:dyDescent="0.2">
      <c r="A468" s="14">
        <v>42214</v>
      </c>
      <c r="B468" s="3">
        <v>119251165981859</v>
      </c>
      <c r="C468" s="3">
        <f>[1]!nefin_factors__1[[#This Row],[Rm_minus_Rf]]/B467-1</f>
        <v>-5.905472805379508E-2</v>
      </c>
      <c r="D468" s="3">
        <v>-159148814213966</v>
      </c>
      <c r="E468" s="3">
        <f>[1]!nefin_factors__1[[#This Row],[SMB]]/D467-1</f>
        <v>2.0503988375811097</v>
      </c>
      <c r="F468" s="3">
        <v>226705635681231</v>
      </c>
      <c r="G468" s="3">
        <f>[1]!nefin_factors__1[[#This Row],[HML]]/F467-1</f>
        <v>0.2336929229848963</v>
      </c>
      <c r="H468" s="3">
        <v>522525790697781</v>
      </c>
      <c r="I468" s="4">
        <f>[1]!nefin_factors__1[[#This Row],[Risk_Free]]/H467-1</f>
        <v>6.6658496911675691E-4</v>
      </c>
      <c r="J468">
        <v>47038</v>
      </c>
      <c r="K468">
        <v>47441</v>
      </c>
      <c r="L468">
        <v>46388</v>
      </c>
      <c r="M468">
        <v>46741</v>
      </c>
      <c r="N468">
        <v>4085200</v>
      </c>
      <c r="O468">
        <v>46741</v>
      </c>
      <c r="P468">
        <v>-6.4196586102076604E-3</v>
      </c>
      <c r="Q468">
        <v>-6.4403532343693297E-3</v>
      </c>
      <c r="R468" s="8">
        <v>12.0166835784912</v>
      </c>
      <c r="S468" s="8">
        <v>3.62474254690359E-2</v>
      </c>
      <c r="T468" s="9">
        <v>3.5605942995317302E-2</v>
      </c>
      <c r="U468" s="12">
        <v>5.2531000000000001E-2</v>
      </c>
      <c r="V468" s="16">
        <v>3.8437999999999999</v>
      </c>
      <c r="W468" s="17">
        <f t="shared" si="7"/>
        <v>2.4514917588149832E-3</v>
      </c>
    </row>
    <row r="469" spans="1:23" x14ac:dyDescent="0.2">
      <c r="A469" s="15">
        <v>42215</v>
      </c>
      <c r="B469" s="5">
        <v>-445535553337193</v>
      </c>
      <c r="C469" s="5">
        <f>[1]!nefin_factors__1[[#This Row],[Rm_minus_Rf]]/B468-1</f>
        <v>-4.7361106675046667</v>
      </c>
      <c r="D469" s="5">
        <v>979521321744932</v>
      </c>
      <c r="E469" s="5">
        <f>[1]!nefin_factors__1[[#This Row],[SMB]]/D468-1</f>
        <v>-7.154750989398039</v>
      </c>
      <c r="F469" s="5">
        <v>-2517825640679</v>
      </c>
      <c r="G469" s="5">
        <f>[1]!nefin_factors__1[[#This Row],[HML]]/F468-1</f>
        <v>-1.011106144905102</v>
      </c>
      <c r="H469" s="5">
        <v>525657106047905</v>
      </c>
      <c r="I469" s="6">
        <f>[1]!nefin_factors__1[[#This Row],[Risk_Free]]/H468-1</f>
        <v>5.9926522400788329E-3</v>
      </c>
      <c r="J469">
        <v>46740</v>
      </c>
      <c r="K469">
        <v>46740</v>
      </c>
      <c r="L469">
        <v>45628</v>
      </c>
      <c r="M469">
        <v>45628</v>
      </c>
      <c r="N469">
        <v>3082000</v>
      </c>
      <c r="O469">
        <v>45628</v>
      </c>
      <c r="P469">
        <v>-2.3812070772983099E-2</v>
      </c>
      <c r="Q469">
        <v>-2.4100160666983401E-2</v>
      </c>
      <c r="R469" s="8">
        <v>11.9507493972778</v>
      </c>
      <c r="S469" s="8">
        <v>-5.48691390912792E-3</v>
      </c>
      <c r="T469" s="9">
        <v>-5.5020223122666098E-3</v>
      </c>
      <c r="U469" s="12">
        <v>5.2531000000000001E-2</v>
      </c>
      <c r="V469" s="16">
        <v>3.9015</v>
      </c>
      <c r="W469" s="17">
        <f t="shared" si="7"/>
        <v>1.5011186846350055E-2</v>
      </c>
    </row>
    <row r="470" spans="1:23" x14ac:dyDescent="0.2">
      <c r="A470" s="14">
        <v>42216</v>
      </c>
      <c r="B470" s="3">
        <v>188959125481966</v>
      </c>
      <c r="C470" s="3">
        <f>[1]!nefin_factors__1[[#This Row],[Rm_minus_Rf]]/B469-1</f>
        <v>-1.4241168276394696</v>
      </c>
      <c r="D470" s="3">
        <v>-128606980542973</v>
      </c>
      <c r="E470" s="3">
        <f>[1]!nefin_factors__1[[#This Row],[SMB]]/D469-1</f>
        <v>-1.1312957438372764</v>
      </c>
      <c r="F470" s="3">
        <v>-884524755756197</v>
      </c>
      <c r="G470" s="3">
        <f>[1]!nefin_factors__1[[#This Row],[HML]]/F469-1</f>
        <v>350.30500756901534</v>
      </c>
      <c r="H470" s="3">
        <v>524961470736551</v>
      </c>
      <c r="I470" s="4">
        <f>[1]!nefin_factors__1[[#This Row],[Risk_Free]]/H469-1</f>
        <v>-1.3233632787428284E-3</v>
      </c>
      <c r="J470">
        <v>45628</v>
      </c>
      <c r="K470">
        <v>45975</v>
      </c>
      <c r="L470">
        <v>45401</v>
      </c>
      <c r="M470">
        <v>45869</v>
      </c>
      <c r="N470">
        <v>3231400</v>
      </c>
      <c r="O470">
        <v>45869</v>
      </c>
      <c r="P470">
        <v>5.2818444814588502E-3</v>
      </c>
      <c r="Q470">
        <v>5.2679444645644703E-3</v>
      </c>
      <c r="R470" s="8">
        <v>12.0331678390503</v>
      </c>
      <c r="S470" s="8">
        <v>6.8965697059717402E-3</v>
      </c>
      <c r="T470" s="9">
        <v>6.8728971464324497E-3</v>
      </c>
      <c r="U470" s="12">
        <v>5.2531000000000001E-2</v>
      </c>
      <c r="V470" s="16">
        <v>3.8656000000000001</v>
      </c>
      <c r="W470" s="17">
        <f t="shared" si="7"/>
        <v>-9.2015891323848908E-3</v>
      </c>
    </row>
    <row r="471" spans="1:23" x14ac:dyDescent="0.2">
      <c r="A471" s="15">
        <v>42219</v>
      </c>
      <c r="B471" s="5">
        <v>-11346549471942</v>
      </c>
      <c r="C471" s="5">
        <f>[1]!nefin_factors__1[[#This Row],[Rm_minus_Rf]]/B470-1</f>
        <v>-1.0600476396310634</v>
      </c>
      <c r="D471" s="5">
        <v>184930290633387</v>
      </c>
      <c r="E471" s="5">
        <f>[1]!nefin_factors__1[[#This Row],[SMB]]/D470-1</f>
        <v>-2.4379490899531229</v>
      </c>
      <c r="F471" s="5">
        <v>454997953985485</v>
      </c>
      <c r="G471" s="5">
        <f>[1]!nefin_factors__1[[#This Row],[HML]]/F470-1</f>
        <v>-1.5143982133055154</v>
      </c>
      <c r="H471" s="5">
        <v>524961470736551</v>
      </c>
      <c r="I471" s="6">
        <f>[1]!nefin_factors__1[[#This Row],[Risk_Free]]/H470-1</f>
        <v>0</v>
      </c>
      <c r="J471">
        <v>45869</v>
      </c>
      <c r="K471">
        <v>48054</v>
      </c>
      <c r="L471">
        <v>45866</v>
      </c>
      <c r="M471">
        <v>48054</v>
      </c>
      <c r="N471">
        <v>4603800</v>
      </c>
      <c r="O471">
        <v>48054</v>
      </c>
      <c r="P471">
        <v>4.76356580697204E-2</v>
      </c>
      <c r="Q471">
        <v>4.6535870939384501E-2</v>
      </c>
      <c r="R471" s="8">
        <v>12.362842559814499</v>
      </c>
      <c r="S471" s="8">
        <v>2.7397072268657001E-2</v>
      </c>
      <c r="T471" s="9">
        <v>2.7028489396061998E-2</v>
      </c>
      <c r="U471" s="12">
        <v>5.2531000000000001E-2</v>
      </c>
      <c r="V471" s="16">
        <v>3.9386000000000001</v>
      </c>
      <c r="W471" s="17">
        <f t="shared" si="7"/>
        <v>1.8884519867549576E-2</v>
      </c>
    </row>
    <row r="472" spans="1:23" x14ac:dyDescent="0.2">
      <c r="A472" s="14">
        <v>42220</v>
      </c>
      <c r="B472" s="3">
        <v>-229479721062562</v>
      </c>
      <c r="C472" s="3">
        <f>[1]!nefin_factors__1[[#This Row],[Rm_minus_Rf]]/B471-1</f>
        <v>19.224626141191607</v>
      </c>
      <c r="D472" s="3">
        <v>-233086427267905</v>
      </c>
      <c r="E472" s="3">
        <f>[1]!nefin_factors__1[[#This Row],[SMB]]/D471-1</f>
        <v>-2.2604015625000269</v>
      </c>
      <c r="F472" s="3">
        <v>524428544166768</v>
      </c>
      <c r="G472" s="3">
        <f>[1]!nefin_factors__1[[#This Row],[HML]]/F471-1</f>
        <v>0.15259538987618826</v>
      </c>
      <c r="H472" s="3">
        <v>525309303566868</v>
      </c>
      <c r="I472" s="4">
        <f>[1]!nefin_factors__1[[#This Row],[Risk_Free]]/H471-1</f>
        <v>6.6258735108504219E-4</v>
      </c>
      <c r="J472">
        <v>48059</v>
      </c>
      <c r="K472">
        <v>49054</v>
      </c>
      <c r="L472">
        <v>47441</v>
      </c>
      <c r="M472">
        <v>47710</v>
      </c>
      <c r="N472">
        <v>3627200</v>
      </c>
      <c r="O472">
        <v>47710</v>
      </c>
      <c r="P472">
        <v>-7.1586132267865699E-3</v>
      </c>
      <c r="Q472">
        <v>-7.1843590415846103E-3</v>
      </c>
      <c r="R472" s="8">
        <v>12.4452619552612</v>
      </c>
      <c r="S472" s="8">
        <v>6.6668531802711603E-3</v>
      </c>
      <c r="T472" s="9">
        <v>6.6447279970664698E-3</v>
      </c>
      <c r="U472" s="12">
        <v>5.2531000000000001E-2</v>
      </c>
      <c r="V472" s="16">
        <v>3.9359999999999999</v>
      </c>
      <c r="W472" s="17">
        <f t="shared" si="7"/>
        <v>-6.60133042197808E-4</v>
      </c>
    </row>
    <row r="473" spans="1:23" x14ac:dyDescent="0.2">
      <c r="A473" s="15">
        <v>42221</v>
      </c>
      <c r="B473" s="5">
        <v>30485323872747</v>
      </c>
      <c r="C473" s="5">
        <f>[1]!nefin_factors__1[[#This Row],[Rm_minus_Rf]]/B472-1</f>
        <v>-1.1328453936216696</v>
      </c>
      <c r="D473" s="5">
        <v>-961559936059557</v>
      </c>
      <c r="E473" s="5">
        <f>[1]!nefin_factors__1[[#This Row],[SMB]]/D472-1</f>
        <v>3.1253364570831863</v>
      </c>
      <c r="F473" s="5">
        <v>179523352552039</v>
      </c>
      <c r="G473" s="5">
        <f>[1]!nefin_factors__1[[#This Row],[HML]]/F472-1</f>
        <v>-0.65767814405054459</v>
      </c>
      <c r="H473" s="5">
        <v>525309303566868</v>
      </c>
      <c r="I473" s="6">
        <f>[1]!nefin_factors__1[[#This Row],[Risk_Free]]/H472-1</f>
        <v>0</v>
      </c>
      <c r="J473">
        <v>47712</v>
      </c>
      <c r="K473">
        <v>48061</v>
      </c>
      <c r="L473">
        <v>47430</v>
      </c>
      <c r="M473">
        <v>48047</v>
      </c>
      <c r="N473">
        <v>3189000</v>
      </c>
      <c r="O473">
        <v>48047</v>
      </c>
      <c r="P473">
        <v>7.0635086983861202E-3</v>
      </c>
      <c r="Q473">
        <v>7.0386789755628298E-3</v>
      </c>
      <c r="R473" s="8">
        <v>12.527681350708001</v>
      </c>
      <c r="S473" s="8">
        <v>6.6224502314729001E-3</v>
      </c>
      <c r="T473" s="9">
        <v>6.6006181428788901E-3</v>
      </c>
      <c r="U473" s="12">
        <v>5.2531000000000001E-2</v>
      </c>
      <c r="V473" s="16">
        <v>3.8988</v>
      </c>
      <c r="W473" s="17">
        <f t="shared" si="7"/>
        <v>-9.4512195121950748E-3</v>
      </c>
    </row>
    <row r="474" spans="1:23" x14ac:dyDescent="0.2">
      <c r="A474" s="14">
        <v>42222</v>
      </c>
      <c r="B474" s="3">
        <v>-792903448018068</v>
      </c>
      <c r="C474" s="3">
        <f>[1]!nefin_factors__1[[#This Row],[Rm_minus_Rf]]/B473-1</f>
        <v>-27.009349657160797</v>
      </c>
      <c r="D474" s="3">
        <v>636565068494902</v>
      </c>
      <c r="E474" s="3">
        <f>[1]!nefin_factors__1[[#This Row],[SMB]]/D473-1</f>
        <v>-1.662012886168621</v>
      </c>
      <c r="F474" s="3">
        <v>110313822683491</v>
      </c>
      <c r="G474" s="3">
        <f>[1]!nefin_factors__1[[#This Row],[HML]]/F473-1</f>
        <v>-0.38551825645349402</v>
      </c>
      <c r="H474" s="3">
        <v>526352619983239</v>
      </c>
      <c r="I474" s="4">
        <f>[1]!nefin_factors__1[[#This Row],[Risk_Free]]/H473-1</f>
        <v>1.9860992548330625E-3</v>
      </c>
      <c r="J474">
        <v>48046</v>
      </c>
      <c r="K474">
        <v>48046</v>
      </c>
      <c r="L474">
        <v>46397</v>
      </c>
      <c r="M474">
        <v>46919</v>
      </c>
      <c r="N474">
        <v>3091100</v>
      </c>
      <c r="O474">
        <v>46919</v>
      </c>
      <c r="P474">
        <v>-2.3477012092326201E-2</v>
      </c>
      <c r="Q474">
        <v>-2.37569878184015E-2</v>
      </c>
      <c r="R474" s="8">
        <v>12.115587234497101</v>
      </c>
      <c r="S474" s="8">
        <v>-3.2894741205771801E-2</v>
      </c>
      <c r="T474" s="9">
        <v>-3.3447938579630701E-2</v>
      </c>
      <c r="U474" s="12">
        <v>5.2531000000000001E-2</v>
      </c>
      <c r="V474" s="16">
        <v>3.8582000000000001</v>
      </c>
      <c r="W474" s="17">
        <f t="shared" si="7"/>
        <v>-1.0413460551964682E-2</v>
      </c>
    </row>
    <row r="475" spans="1:23" x14ac:dyDescent="0.2">
      <c r="A475" s="15">
        <v>42223</v>
      </c>
      <c r="B475" s="5">
        <v>-248925094798329</v>
      </c>
      <c r="C475" s="5">
        <f>[1]!nefin_factors__1[[#This Row],[Rm_minus_Rf]]/B474-1</f>
        <v>-0.68605875605593702</v>
      </c>
      <c r="D475" s="5">
        <v>955826261131635</v>
      </c>
      <c r="E475" s="5">
        <f>[1]!nefin_factors__1[[#This Row],[SMB]]/D474-1</f>
        <v>0.50153740511020484</v>
      </c>
      <c r="F475" s="5">
        <v>-366345391175042</v>
      </c>
      <c r="G475" s="5">
        <f>[1]!nefin_factors__1[[#This Row],[HML]]/F474-1</f>
        <v>-4.3209382311602855</v>
      </c>
      <c r="H475" s="5">
        <v>526700331447971</v>
      </c>
      <c r="I475" s="6">
        <f>[1]!nefin_factors__1[[#This Row],[Risk_Free]]/H474-1</f>
        <v>6.6060555515634611E-4</v>
      </c>
      <c r="J475">
        <v>46915</v>
      </c>
      <c r="K475">
        <v>47001</v>
      </c>
      <c r="L475">
        <v>46057</v>
      </c>
      <c r="M475">
        <v>46195</v>
      </c>
      <c r="N475">
        <v>2278500</v>
      </c>
      <c r="O475">
        <v>46195</v>
      </c>
      <c r="P475">
        <v>-1.5430848909823301E-2</v>
      </c>
      <c r="Q475">
        <v>-1.55511435624684E-2</v>
      </c>
      <c r="R475" s="8">
        <v>12.115587234497101</v>
      </c>
      <c r="S475" s="8">
        <v>0</v>
      </c>
      <c r="T475" s="9">
        <v>0</v>
      </c>
      <c r="U475" s="12">
        <v>5.2531000000000001E-2</v>
      </c>
      <c r="V475" s="16">
        <v>3.9114</v>
      </c>
      <c r="W475" s="17">
        <f t="shared" si="7"/>
        <v>1.3788813436317326E-2</v>
      </c>
    </row>
    <row r="476" spans="1:23" x14ac:dyDescent="0.2">
      <c r="A476" s="14">
        <v>42226</v>
      </c>
      <c r="B476" s="3">
        <v>128900104817105</v>
      </c>
      <c r="C476" s="3">
        <f>[1]!nefin_factors__1[[#This Row],[Rm_minus_Rf]]/B475-1</f>
        <v>-1.5178268784894335</v>
      </c>
      <c r="D476" s="3">
        <v>-136292563035749</v>
      </c>
      <c r="E476" s="3">
        <f>[1]!nefin_factors__1[[#This Row],[SMB]]/D475-1</f>
        <v>-1.1425913563772434</v>
      </c>
      <c r="F476" s="3">
        <v>-238597608059712</v>
      </c>
      <c r="G476" s="3">
        <f>[1]!nefin_factors__1[[#This Row],[HML]]/F475-1</f>
        <v>-0.3487085853750822</v>
      </c>
      <c r="H476" s="3">
        <v>526004878184771</v>
      </c>
      <c r="I476" s="4">
        <f>[1]!nefin_factors__1[[#This Row],[Risk_Free]]/H475-1</f>
        <v>-1.3203964791290712E-3</v>
      </c>
      <c r="J476">
        <v>46195</v>
      </c>
      <c r="K476">
        <v>46195</v>
      </c>
      <c r="L476">
        <v>45397</v>
      </c>
      <c r="M476">
        <v>46179</v>
      </c>
      <c r="N476">
        <v>2401800</v>
      </c>
      <c r="O476">
        <v>46179</v>
      </c>
      <c r="P476">
        <v>-3.4635783093406298E-4</v>
      </c>
      <c r="Q476">
        <v>-3.4641782666131401E-4</v>
      </c>
      <c r="R476" s="8">
        <v>12.156796455383301</v>
      </c>
      <c r="S476" s="8">
        <v>3.4014124486072602E-3</v>
      </c>
      <c r="T476" s="9">
        <v>3.3956407295793602E-3</v>
      </c>
      <c r="U476" s="12">
        <v>5.2531000000000001E-2</v>
      </c>
      <c r="V476" s="16">
        <v>3.8797000000000001</v>
      </c>
      <c r="W476" s="17">
        <f t="shared" si="7"/>
        <v>-8.1045150074141592E-3</v>
      </c>
    </row>
    <row r="477" spans="1:23" x14ac:dyDescent="0.2">
      <c r="A477" s="15">
        <v>42227</v>
      </c>
      <c r="B477" s="5">
        <v>-591617928384344</v>
      </c>
      <c r="C477" s="5">
        <f>[1]!nefin_factors__1[[#This Row],[Rm_minus_Rf]]/B476-1</f>
        <v>-5.5897396997759188</v>
      </c>
      <c r="D477" s="5">
        <v>-548687312874914</v>
      </c>
      <c r="E477" s="5">
        <f>[1]!nefin_factors__1[[#This Row],[SMB]]/D476-1</f>
        <v>3.0258052284994852</v>
      </c>
      <c r="F477" s="5">
        <v>-641163992527422</v>
      </c>
      <c r="G477" s="5">
        <f>[1]!nefin_factors__1[[#This Row],[HML]]/F476-1</f>
        <v>1.6872188608318437</v>
      </c>
      <c r="H477" s="5">
        <v>525657106047905</v>
      </c>
      <c r="I477" s="6">
        <f>[1]!nefin_factors__1[[#This Row],[Risk_Free]]/H476-1</f>
        <v>-6.611576266482011E-4</v>
      </c>
      <c r="J477">
        <v>46207</v>
      </c>
      <c r="K477">
        <v>47231</v>
      </c>
      <c r="L477">
        <v>46207</v>
      </c>
      <c r="M477">
        <v>47065</v>
      </c>
      <c r="N477">
        <v>3071700</v>
      </c>
      <c r="O477">
        <v>47065</v>
      </c>
      <c r="P477">
        <v>1.91862101821174E-2</v>
      </c>
      <c r="Q477">
        <v>1.90044757031364E-2</v>
      </c>
      <c r="R477" s="8">
        <v>12.338117599487299</v>
      </c>
      <c r="S477" s="8">
        <v>1.4915190577911901E-2</v>
      </c>
      <c r="T477" s="9">
        <v>1.4805052921871901E-2</v>
      </c>
      <c r="U477" s="12">
        <v>5.2531000000000001E-2</v>
      </c>
      <c r="V477" s="16">
        <v>3.9327999999999999</v>
      </c>
      <c r="W477" s="17">
        <f t="shared" si="7"/>
        <v>1.3686625254530016E-2</v>
      </c>
    </row>
    <row r="478" spans="1:23" x14ac:dyDescent="0.2">
      <c r="A478" s="14">
        <v>42228</v>
      </c>
      <c r="B478" s="3">
        <v>-184031066668036</v>
      </c>
      <c r="C478" s="3">
        <f>[1]!nefin_factors__1[[#This Row],[Rm_minus_Rf]]/B477-1</f>
        <v>-0.68893595369800831</v>
      </c>
      <c r="D478" s="3">
        <v>826165258486413</v>
      </c>
      <c r="E478" s="3">
        <f>[1]!nefin_factors__1[[#This Row],[SMB]]/D477-1</f>
        <v>-2.5057123412561149</v>
      </c>
      <c r="F478" s="3">
        <v>-871856087128464</v>
      </c>
      <c r="G478" s="3">
        <f>[1]!nefin_factors__1[[#This Row],[HML]]/F477-1</f>
        <v>0.35980201210562446</v>
      </c>
      <c r="H478" s="3">
        <v>525309303566868</v>
      </c>
      <c r="I478" s="4">
        <f>[1]!nefin_factors__1[[#This Row],[Risk_Free]]/H477-1</f>
        <v>-6.6165277142715695E-4</v>
      </c>
      <c r="J478">
        <v>47065</v>
      </c>
      <c r="K478">
        <v>47460</v>
      </c>
      <c r="L478">
        <v>46696</v>
      </c>
      <c r="M478">
        <v>46884</v>
      </c>
      <c r="N478">
        <v>3154200</v>
      </c>
      <c r="O478">
        <v>46884</v>
      </c>
      <c r="P478">
        <v>-3.8457452459365001E-3</v>
      </c>
      <c r="Q478">
        <v>-3.8531591382497499E-3</v>
      </c>
      <c r="R478" s="8">
        <v>12.198005676269499</v>
      </c>
      <c r="S478" s="8">
        <v>-1.1356016800668599E-2</v>
      </c>
      <c r="T478" s="9">
        <v>-1.14209887091713E-2</v>
      </c>
      <c r="U478" s="12">
        <v>5.2531000000000001E-2</v>
      </c>
      <c r="V478" s="16">
        <v>3.8589000000000002</v>
      </c>
      <c r="W478" s="17">
        <f t="shared" si="7"/>
        <v>-1.879068348250601E-2</v>
      </c>
    </row>
    <row r="479" spans="1:23" x14ac:dyDescent="0.2">
      <c r="A479" s="15">
        <v>42229</v>
      </c>
      <c r="B479" s="5">
        <v>-889784092190223</v>
      </c>
      <c r="C479" s="5">
        <f>[1]!nefin_factors__1[[#This Row],[Rm_minus_Rf]]/B478-1</f>
        <v>3.8349667711009792</v>
      </c>
      <c r="D479" s="5">
        <v>-355493944363413</v>
      </c>
      <c r="E479" s="5">
        <f>[1]!nefin_factors__1[[#This Row],[SMB]]/D478-1</f>
        <v>-1.4302939886563379</v>
      </c>
      <c r="F479" s="5">
        <v>-802413589560549</v>
      </c>
      <c r="G479" s="5">
        <f>[1]!nefin_factors__1[[#This Row],[HML]]/F478-1</f>
        <v>-7.964903679990365E-2</v>
      </c>
      <c r="H479" s="5">
        <v>525657106047905</v>
      </c>
      <c r="I479" s="6">
        <f>[1]!nefin_factors__1[[#This Row],[Risk_Free]]/H478-1</f>
        <v>6.6209084567026011E-4</v>
      </c>
      <c r="J479">
        <v>46884</v>
      </c>
      <c r="K479">
        <v>46884</v>
      </c>
      <c r="L479">
        <v>46311</v>
      </c>
      <c r="M479">
        <v>46517</v>
      </c>
      <c r="N479">
        <v>3517200</v>
      </c>
      <c r="O479">
        <v>46517</v>
      </c>
      <c r="P479">
        <v>-7.8278303898984304E-3</v>
      </c>
      <c r="Q479">
        <v>-7.8586286820253003E-3</v>
      </c>
      <c r="R479" s="8">
        <v>11.9507493972778</v>
      </c>
      <c r="S479" s="8">
        <v>-2.0270238626516199E-2</v>
      </c>
      <c r="T479" s="9">
        <v>-2.0478499045088801E-2</v>
      </c>
      <c r="U479" s="12">
        <v>5.2531000000000001E-2</v>
      </c>
      <c r="V479" s="16">
        <v>3.8126000000000002</v>
      </c>
      <c r="W479" s="17">
        <f t="shared" si="7"/>
        <v>-1.199823783979892E-2</v>
      </c>
    </row>
    <row r="480" spans="1:23" x14ac:dyDescent="0.2">
      <c r="A480" s="14">
        <v>42230</v>
      </c>
      <c r="B480" s="3">
        <v>-101658656918061</v>
      </c>
      <c r="C480" s="3">
        <f>[1]!nefin_factors__1[[#This Row],[Rm_minus_Rf]]/B479-1</f>
        <v>-0.88574907349958798</v>
      </c>
      <c r="D480" s="3">
        <v>483978371635478</v>
      </c>
      <c r="E480" s="3">
        <f>[1]!nefin_factors__1[[#This Row],[SMB]]/D479-1</f>
        <v>-2.3614250799746914</v>
      </c>
      <c r="F480" s="3">
        <v>142024693257238</v>
      </c>
      <c r="G480" s="3">
        <f>[1]!nefin_factors__1[[#This Row],[HML]]/F479-1</f>
        <v>-1.1769968693264772</v>
      </c>
      <c r="H480" s="3">
        <v>525657106047905</v>
      </c>
      <c r="I480" s="4">
        <f>[1]!nefin_factors__1[[#This Row],[Risk_Free]]/H479-1</f>
        <v>0</v>
      </c>
      <c r="J480">
        <v>46519</v>
      </c>
      <c r="K480">
        <v>46905</v>
      </c>
      <c r="L480">
        <v>46399</v>
      </c>
      <c r="M480">
        <v>46847</v>
      </c>
      <c r="N480">
        <v>3144900</v>
      </c>
      <c r="O480">
        <v>46847</v>
      </c>
      <c r="P480">
        <v>7.0941806221380696E-3</v>
      </c>
      <c r="Q480">
        <v>7.0691353037013304E-3</v>
      </c>
      <c r="R480" s="8">
        <v>11.9507493972778</v>
      </c>
      <c r="S480" s="8">
        <v>0</v>
      </c>
      <c r="T480" s="9">
        <v>0</v>
      </c>
      <c r="U480" s="12">
        <v>5.2531000000000001E-2</v>
      </c>
      <c r="V480" s="16">
        <v>3.7686999999999999</v>
      </c>
      <c r="W480" s="17">
        <f t="shared" si="7"/>
        <v>-1.1514452079945503E-2</v>
      </c>
    </row>
    <row r="481" spans="1:23" x14ac:dyDescent="0.2">
      <c r="A481" s="15">
        <v>42233</v>
      </c>
      <c r="B481" s="5">
        <v>-572989342005389</v>
      </c>
      <c r="C481" s="5">
        <f>[1]!nefin_factors__1[[#This Row],[Rm_minus_Rf]]/B480-1</f>
        <v>4.6364048018776245</v>
      </c>
      <c r="D481" s="5">
        <v>-87903543752273</v>
      </c>
      <c r="E481" s="5">
        <f>[1]!nefin_factors__1[[#This Row],[SMB]]/D480-1</f>
        <v>-1.1816270083624316</v>
      </c>
      <c r="F481" s="5">
        <v>-244850211943765</v>
      </c>
      <c r="G481" s="5">
        <f>[1]!nefin_factors__1[[#This Row],[HML]]/F480-1</f>
        <v>-2.7239974706390484</v>
      </c>
      <c r="H481" s="5">
        <v>525657106047905</v>
      </c>
      <c r="I481" s="6">
        <f>[1]!nefin_factors__1[[#This Row],[Risk_Free]]/H480-1</f>
        <v>0</v>
      </c>
      <c r="J481">
        <v>46848</v>
      </c>
      <c r="K481">
        <v>47698</v>
      </c>
      <c r="L481">
        <v>46848</v>
      </c>
      <c r="M481">
        <v>47248</v>
      </c>
      <c r="N481">
        <v>3341700</v>
      </c>
      <c r="O481">
        <v>47248</v>
      </c>
      <c r="P481">
        <v>8.5597797084124797E-3</v>
      </c>
      <c r="Q481">
        <v>8.52335251895695E-3</v>
      </c>
      <c r="R481" s="8">
        <v>11.9507493972778</v>
      </c>
      <c r="S481" s="8">
        <v>0</v>
      </c>
      <c r="T481" s="9">
        <v>0</v>
      </c>
      <c r="U481" s="12">
        <v>5.2531000000000001E-2</v>
      </c>
      <c r="V481" s="16">
        <v>3.7892999999999999</v>
      </c>
      <c r="W481" s="17">
        <f t="shared" si="7"/>
        <v>5.4660758351685601E-3</v>
      </c>
    </row>
    <row r="482" spans="1:23" x14ac:dyDescent="0.2">
      <c r="A482" s="14">
        <v>42234</v>
      </c>
      <c r="B482" s="3">
        <v>635482418647813</v>
      </c>
      <c r="C482" s="3">
        <f>[1]!nefin_factors__1[[#This Row],[Rm_minus_Rf]]/B481-1</f>
        <v>-2.1090649896273921</v>
      </c>
      <c r="D482" s="3">
        <v>-164124738043399</v>
      </c>
      <c r="E482" s="3">
        <f>[1]!nefin_factors__1[[#This Row],[SMB]]/D481-1</f>
        <v>0.86710035838748634</v>
      </c>
      <c r="F482" s="3">
        <v>-839076580033782</v>
      </c>
      <c r="G482" s="3">
        <f>[1]!nefin_factors__1[[#This Row],[HML]]/F481-1</f>
        <v>2.4268975034683393</v>
      </c>
      <c r="H482" s="3">
        <v>525657106047905</v>
      </c>
      <c r="I482" s="4">
        <f>[1]!nefin_factors__1[[#This Row],[Risk_Free]]/H481-1</f>
        <v>0</v>
      </c>
      <c r="J482">
        <v>47241</v>
      </c>
      <c r="K482">
        <v>47951</v>
      </c>
      <c r="L482">
        <v>47241</v>
      </c>
      <c r="M482">
        <v>47436</v>
      </c>
      <c r="N482">
        <v>3965500</v>
      </c>
      <c r="O482">
        <v>47436</v>
      </c>
      <c r="P482">
        <v>3.9790044023027002E-3</v>
      </c>
      <c r="Q482">
        <v>3.97110910098187E-3</v>
      </c>
      <c r="R482" s="8">
        <v>11.9507493972778</v>
      </c>
      <c r="S482" s="8">
        <v>0</v>
      </c>
      <c r="T482" s="9">
        <v>0</v>
      </c>
      <c r="U482" s="12">
        <v>5.2531000000000001E-2</v>
      </c>
      <c r="V482" s="16">
        <v>3.8058999999999998</v>
      </c>
      <c r="W482" s="17">
        <f t="shared" si="7"/>
        <v>4.3807563402211702E-3</v>
      </c>
    </row>
    <row r="483" spans="1:23" x14ac:dyDescent="0.2">
      <c r="A483" s="15">
        <v>42235</v>
      </c>
      <c r="B483" s="5">
        <v>-19601866309222</v>
      </c>
      <c r="C483" s="5">
        <f>[1]!nefin_factors__1[[#This Row],[Rm_minus_Rf]]/B482-1</f>
        <v>-1.030845646919597</v>
      </c>
      <c r="D483" s="5">
        <v>16814645292163</v>
      </c>
      <c r="E483" s="5">
        <f>[1]!nefin_factors__1[[#This Row],[SMB]]/D482-1</f>
        <v>-1.1024504013996765</v>
      </c>
      <c r="F483" s="5">
        <v>164747249299341</v>
      </c>
      <c r="G483" s="5">
        <f>[1]!nefin_factors__1[[#This Row],[HML]]/F482-1</f>
        <v>-1.1963435200309227</v>
      </c>
      <c r="H483" s="5">
        <v>525657106047905</v>
      </c>
      <c r="I483" s="6">
        <f>[1]!nefin_factors__1[[#This Row],[Risk_Free]]/H482-1</f>
        <v>0</v>
      </c>
      <c r="J483">
        <v>47437</v>
      </c>
      <c r="K483">
        <v>48227</v>
      </c>
      <c r="L483">
        <v>47437</v>
      </c>
      <c r="M483">
        <v>48139</v>
      </c>
      <c r="N483">
        <v>4069100</v>
      </c>
      <c r="O483">
        <v>48139</v>
      </c>
      <c r="P483">
        <v>1.48199679568259E-2</v>
      </c>
      <c r="Q483">
        <v>1.47112252904635E-2</v>
      </c>
      <c r="R483" s="8">
        <v>11.7859106063843</v>
      </c>
      <c r="S483" s="8">
        <v>-1.3793139411943401E-2</v>
      </c>
      <c r="T483" s="9">
        <v>-1.38891486273237E-2</v>
      </c>
      <c r="U483" s="12">
        <v>5.2531000000000001E-2</v>
      </c>
      <c r="V483" s="16">
        <v>3.7928000000000002</v>
      </c>
      <c r="W483" s="17">
        <f t="shared" si="7"/>
        <v>-3.4420242255445155E-3</v>
      </c>
    </row>
    <row r="484" spans="1:23" x14ac:dyDescent="0.2">
      <c r="A484" s="14">
        <v>42236</v>
      </c>
      <c r="B484" s="3">
        <v>570157976549663</v>
      </c>
      <c r="C484" s="3">
        <f>[1]!nefin_factors__1[[#This Row],[Rm_minus_Rf]]/B483-1</f>
        <v>-30.086923028417115</v>
      </c>
      <c r="D484" s="3">
        <v>-249746663755755</v>
      </c>
      <c r="E484" s="3">
        <f>[1]!nefin_factors__1[[#This Row],[SMB]]/D483-1</f>
        <v>-15.852924900661293</v>
      </c>
      <c r="F484" s="3">
        <v>844625183015445</v>
      </c>
      <c r="G484" s="3">
        <f>[1]!nefin_factors__1[[#This Row],[HML]]/F483-1</f>
        <v>4.1267938409143659</v>
      </c>
      <c r="H484" s="3">
        <v>525309303566868</v>
      </c>
      <c r="I484" s="4">
        <f>[1]!nefin_factors__1[[#This Row],[Risk_Free]]/H483-1</f>
        <v>-6.6165277142715695E-4</v>
      </c>
      <c r="J484">
        <v>48138</v>
      </c>
      <c r="K484">
        <v>48745</v>
      </c>
      <c r="L484">
        <v>47988</v>
      </c>
      <c r="M484">
        <v>48150</v>
      </c>
      <c r="N484">
        <v>3277600</v>
      </c>
      <c r="O484">
        <v>48150</v>
      </c>
      <c r="P484">
        <v>2.2850495440285301E-4</v>
      </c>
      <c r="Q484">
        <v>2.2847885112217001E-4</v>
      </c>
      <c r="R484" s="8">
        <v>11.9507493972778</v>
      </c>
      <c r="S484" s="8">
        <v>1.3986050962694299E-2</v>
      </c>
      <c r="T484" s="9">
        <v>1.38891486273236E-2</v>
      </c>
      <c r="U484" s="12">
        <v>5.2531000000000001E-2</v>
      </c>
      <c r="V484" s="16">
        <v>3.7980999999999998</v>
      </c>
      <c r="W484" s="17">
        <f t="shared" si="7"/>
        <v>1.3973845180341726E-3</v>
      </c>
    </row>
    <row r="485" spans="1:23" x14ac:dyDescent="0.2">
      <c r="A485" s="15">
        <v>42237</v>
      </c>
      <c r="B485" s="5">
        <v>-176485119659728</v>
      </c>
      <c r="C485" s="5">
        <f>[1]!nefin_factors__1[[#This Row],[Rm_minus_Rf]]/B484-1</f>
        <v>-1.3095372281340967</v>
      </c>
      <c r="D485" s="5">
        <v>-7690815738.2590103</v>
      </c>
      <c r="E485" s="5">
        <f>[1]!nefin_factors__1[[#This Row],[SMB]]/D484-1</f>
        <v>-0.99996920553162716</v>
      </c>
      <c r="F485" s="5">
        <v>-12618118978016</v>
      </c>
      <c r="G485" s="5">
        <f>[1]!nefin_factors__1[[#This Row],[HML]]/F484-1</f>
        <v>-1.0149393118175418</v>
      </c>
      <c r="H485" s="5">
        <v>525309303566868</v>
      </c>
      <c r="I485" s="6">
        <f>[1]!nefin_factors__1[[#This Row],[Risk_Free]]/H484-1</f>
        <v>0</v>
      </c>
      <c r="J485">
        <v>48143</v>
      </c>
      <c r="K485">
        <v>48320</v>
      </c>
      <c r="L485">
        <v>47442</v>
      </c>
      <c r="M485">
        <v>48284</v>
      </c>
      <c r="N485">
        <v>3445700</v>
      </c>
      <c r="O485">
        <v>48284</v>
      </c>
      <c r="P485">
        <v>2.7829698857735302E-3</v>
      </c>
      <c r="Q485">
        <v>2.77910459474599E-3</v>
      </c>
      <c r="R485" s="8">
        <v>11.7034921646118</v>
      </c>
      <c r="S485" s="8">
        <v>-2.0689709117915098E-2</v>
      </c>
      <c r="T485" s="9">
        <v>-2.09067399045102E-2</v>
      </c>
      <c r="U485" s="12">
        <v>5.2531000000000001E-2</v>
      </c>
      <c r="V485" s="16">
        <v>3.7326999999999999</v>
      </c>
      <c r="W485" s="17">
        <f t="shared" si="7"/>
        <v>-1.7219135883731362E-2</v>
      </c>
    </row>
    <row r="486" spans="1:23" x14ac:dyDescent="0.2">
      <c r="A486" s="14">
        <v>42240</v>
      </c>
      <c r="B486" s="3">
        <v>-291332713966603</v>
      </c>
      <c r="C486" s="3">
        <f>[1]!nefin_factors__1[[#This Row],[Rm_minus_Rf]]/B485-1</f>
        <v>0.65074944861247697</v>
      </c>
      <c r="D486" s="3">
        <v>-825883450291665</v>
      </c>
      <c r="E486" s="3">
        <f>[1]!nefin_factors__1[[#This Row],[SMB]]/D485-1</f>
        <v>107384.67642222857</v>
      </c>
      <c r="F486" s="3">
        <v>-231617550937746</v>
      </c>
      <c r="G486" s="3">
        <f>[1]!nefin_factors__1[[#This Row],[HML]]/F485-1</f>
        <v>17.355949198234949</v>
      </c>
      <c r="H486" s="3">
        <v>525657106047905</v>
      </c>
      <c r="I486" s="4">
        <f>[1]!nefin_factors__1[[#This Row],[Risk_Free]]/H485-1</f>
        <v>6.6209084567026011E-4</v>
      </c>
      <c r="J486">
        <v>48270</v>
      </c>
      <c r="K486">
        <v>48270</v>
      </c>
      <c r="L486">
        <v>46742</v>
      </c>
      <c r="M486">
        <v>46867</v>
      </c>
      <c r="N486">
        <v>3976000</v>
      </c>
      <c r="O486">
        <v>46867</v>
      </c>
      <c r="P486">
        <v>-2.9347195758429302E-2</v>
      </c>
      <c r="Q486">
        <v>-2.9786439780185199E-2</v>
      </c>
      <c r="R486" s="8">
        <v>11.744701385498001</v>
      </c>
      <c r="S486" s="8">
        <v>3.5211805095789498E-3</v>
      </c>
      <c r="T486" s="9">
        <v>3.51499566786558E-3</v>
      </c>
      <c r="U486" s="12">
        <v>5.2531000000000001E-2</v>
      </c>
      <c r="V486" s="16">
        <v>3.7995999999999999</v>
      </c>
      <c r="W486" s="17">
        <f t="shared" si="7"/>
        <v>1.7922683312347587E-2</v>
      </c>
    </row>
    <row r="487" spans="1:23" x14ac:dyDescent="0.2">
      <c r="A487" s="15">
        <v>42241</v>
      </c>
      <c r="B487" s="5">
        <v>645012397417053</v>
      </c>
      <c r="C487" s="5">
        <f>[1]!nefin_factors__1[[#This Row],[Rm_minus_Rf]]/B486-1</f>
        <v>-3.2140060710483551</v>
      </c>
      <c r="D487" s="5">
        <v>-485850474245019</v>
      </c>
      <c r="E487" s="5">
        <f>[1]!nefin_factors__1[[#This Row],[SMB]]/D486-1</f>
        <v>-0.41172029288946477</v>
      </c>
      <c r="F487" s="5">
        <v>-496793544004041</v>
      </c>
      <c r="G487" s="5">
        <f>[1]!nefin_factors__1[[#This Row],[HML]]/F486-1</f>
        <v>1.1448873023338755</v>
      </c>
      <c r="H487" s="5">
        <v>525657106047905</v>
      </c>
      <c r="I487" s="6">
        <f>[1]!nefin_factors__1[[#This Row],[Risk_Free]]/H486-1</f>
        <v>0</v>
      </c>
      <c r="J487">
        <v>46867</v>
      </c>
      <c r="K487">
        <v>47199</v>
      </c>
      <c r="L487">
        <v>46867</v>
      </c>
      <c r="M487">
        <v>47146</v>
      </c>
      <c r="N487">
        <v>2288300</v>
      </c>
      <c r="O487">
        <v>47146</v>
      </c>
      <c r="P487">
        <v>5.9530159813940796E-3</v>
      </c>
      <c r="Q487">
        <v>5.9353667910602998E-3</v>
      </c>
      <c r="R487" s="8">
        <v>12.296908378601101</v>
      </c>
      <c r="S487" s="8">
        <v>4.7017516180428501E-2</v>
      </c>
      <c r="T487" s="9">
        <v>4.5945661624701997E-2</v>
      </c>
      <c r="U487" s="12">
        <v>5.2531000000000001E-2</v>
      </c>
      <c r="V487" s="16">
        <v>3.8022999999999998</v>
      </c>
      <c r="W487" s="17">
        <f t="shared" si="7"/>
        <v>7.1060111590681707E-4</v>
      </c>
    </row>
    <row r="488" spans="1:23" x14ac:dyDescent="0.2">
      <c r="A488" s="14">
        <v>42242</v>
      </c>
      <c r="B488" s="3">
        <v>295433218998544</v>
      </c>
      <c r="C488" s="3">
        <f>[1]!nefin_factors__1[[#This Row],[Rm_minus_Rf]]/B487-1</f>
        <v>-0.54197280520249846</v>
      </c>
      <c r="D488" s="3">
        <v>-156120262960351</v>
      </c>
      <c r="E488" s="3">
        <f>[1]!nefin_factors__1[[#This Row],[SMB]]/D487-1</f>
        <v>-0.67866602743786131</v>
      </c>
      <c r="F488" s="3">
        <v>32777828895839</v>
      </c>
      <c r="G488" s="3">
        <f>[1]!nefin_factors__1[[#This Row],[HML]]/F487-1</f>
        <v>-1.0659787738617883</v>
      </c>
      <c r="H488" s="3">
        <v>525657106047905</v>
      </c>
      <c r="I488" s="4">
        <f>[1]!nefin_factors__1[[#This Row],[Risk_Free]]/H487-1</f>
        <v>0</v>
      </c>
      <c r="J488">
        <v>47144</v>
      </c>
      <c r="K488">
        <v>47144</v>
      </c>
      <c r="L488">
        <v>45812</v>
      </c>
      <c r="M488">
        <v>45873</v>
      </c>
      <c r="N488">
        <v>3031900</v>
      </c>
      <c r="O488">
        <v>45873</v>
      </c>
      <c r="P488">
        <v>-2.7001230221015499E-2</v>
      </c>
      <c r="Q488">
        <v>-2.7372461155631699E-2</v>
      </c>
      <c r="R488" s="8">
        <v>11.7859106063843</v>
      </c>
      <c r="S488" s="8">
        <v>-4.15549679376995E-2</v>
      </c>
      <c r="T488" s="9">
        <v>-4.2443066015380997E-2</v>
      </c>
      <c r="U488" s="12">
        <v>5.2531000000000001E-2</v>
      </c>
      <c r="V488" s="16">
        <v>3.8336000000000001</v>
      </c>
      <c r="W488" s="17">
        <f t="shared" si="7"/>
        <v>8.2318596638877306E-3</v>
      </c>
    </row>
    <row r="489" spans="1:23" x14ac:dyDescent="0.2">
      <c r="A489" s="15">
        <v>42243</v>
      </c>
      <c r="B489" s="5">
        <v>303644612082237</v>
      </c>
      <c r="C489" s="5">
        <f>[1]!nefin_factors__1[[#This Row],[Rm_minus_Rf]]/B488-1</f>
        <v>2.7794413612415969E-2</v>
      </c>
      <c r="D489" s="5">
        <v>-186739468894789</v>
      </c>
      <c r="E489" s="5">
        <f>[1]!nefin_factors__1[[#This Row],[SMB]]/D488-1</f>
        <v>0.19612576454738728</v>
      </c>
      <c r="F489" s="5">
        <v>1002930171872</v>
      </c>
      <c r="G489" s="5">
        <f>[1]!nefin_factors__1[[#This Row],[HML]]/F488-1</f>
        <v>-0.96940217806801365</v>
      </c>
      <c r="H489" s="5">
        <v>525309303566868</v>
      </c>
      <c r="I489" s="6">
        <f>[1]!nefin_factors__1[[#This Row],[Risk_Free]]/H488-1</f>
        <v>-6.6165277142715695E-4</v>
      </c>
      <c r="J489">
        <v>45871</v>
      </c>
      <c r="K489">
        <v>45931</v>
      </c>
      <c r="L489">
        <v>45106</v>
      </c>
      <c r="M489">
        <v>45120</v>
      </c>
      <c r="N489">
        <v>7164800</v>
      </c>
      <c r="O489">
        <v>45120</v>
      </c>
      <c r="P489">
        <v>-1.64148845726244E-2</v>
      </c>
      <c r="Q489">
        <v>-1.6551101504320601E-2</v>
      </c>
      <c r="R489" s="8">
        <v>11.373815536499</v>
      </c>
      <c r="S489" s="8">
        <v>-3.4965039278981001E-2</v>
      </c>
      <c r="T489" s="9">
        <v>-3.5590949572951003E-2</v>
      </c>
      <c r="U489" s="12">
        <v>5.2531000000000001E-2</v>
      </c>
      <c r="V489" s="16">
        <v>3.8052000000000001</v>
      </c>
      <c r="W489" s="17">
        <f t="shared" si="7"/>
        <v>-7.4081803005008329E-3</v>
      </c>
    </row>
    <row r="490" spans="1:23" x14ac:dyDescent="0.2">
      <c r="A490" s="14">
        <v>42244</v>
      </c>
      <c r="B490" s="3">
        <v>-955860192874539</v>
      </c>
      <c r="C490" s="3">
        <f>[1]!nefin_factors__1[[#This Row],[Rm_minus_Rf]]/B489-1</f>
        <v>-4.1479570354294992</v>
      </c>
      <c r="D490" s="3">
        <v>158425513703039</v>
      </c>
      <c r="E490" s="3">
        <f>[1]!nefin_factors__1[[#This Row],[SMB]]/D489-1</f>
        <v>-1.8483772318764471</v>
      </c>
      <c r="F490" s="3">
        <v>386840622322668</v>
      </c>
      <c r="G490" s="3">
        <f>[1]!nefin_factors__1[[#This Row],[HML]]/F489-1</f>
        <v>384.71042448610166</v>
      </c>
      <c r="H490" s="3">
        <v>525309303566868</v>
      </c>
      <c r="I490" s="4">
        <f>[1]!nefin_factors__1[[#This Row],[Risk_Free]]/H489-1</f>
        <v>0</v>
      </c>
      <c r="J490">
        <v>45121</v>
      </c>
      <c r="K490">
        <v>45482</v>
      </c>
      <c r="L490">
        <v>44775</v>
      </c>
      <c r="M490">
        <v>45047</v>
      </c>
      <c r="N490">
        <v>4176300</v>
      </c>
      <c r="O490">
        <v>45047</v>
      </c>
      <c r="P490">
        <v>-1.61790780141846E-3</v>
      </c>
      <c r="Q490">
        <v>-1.61921802765294E-3</v>
      </c>
      <c r="R490" s="8">
        <v>11.456234931945801</v>
      </c>
      <c r="S490" s="8">
        <v>7.2463046814050802E-3</v>
      </c>
      <c r="T490" s="9">
        <v>7.2201763622175997E-3</v>
      </c>
      <c r="U490" s="12">
        <v>5.2531000000000001E-2</v>
      </c>
      <c r="V490" s="16">
        <v>3.7921</v>
      </c>
      <c r="W490" s="17">
        <f t="shared" si="7"/>
        <v>-3.4426574161673384E-3</v>
      </c>
    </row>
    <row r="491" spans="1:23" x14ac:dyDescent="0.2">
      <c r="A491" s="15">
        <v>42247</v>
      </c>
      <c r="B491" s="5">
        <v>-116841192734285</v>
      </c>
      <c r="C491" s="5">
        <f>[1]!nefin_factors__1[[#This Row],[Rm_minus_Rf]]/B490-1</f>
        <v>-0.87776330303816619</v>
      </c>
      <c r="D491" s="5">
        <v>926516479401076</v>
      </c>
      <c r="E491" s="5">
        <f>[1]!nefin_factors__1[[#This Row],[SMB]]/D490-1</f>
        <v>4.848278208128689</v>
      </c>
      <c r="F491" s="5">
        <v>179950562347414</v>
      </c>
      <c r="G491" s="5">
        <f>[1]!nefin_factors__1[[#This Row],[HML]]/F490-1</f>
        <v>-0.53481989231907689</v>
      </c>
      <c r="H491" s="5">
        <v>526352619983239</v>
      </c>
      <c r="I491" s="6">
        <f>[1]!nefin_factors__1[[#This Row],[Risk_Free]]/H490-1</f>
        <v>1.9860992548330625E-3</v>
      </c>
      <c r="J491">
        <v>45046</v>
      </c>
      <c r="K491">
        <v>45338</v>
      </c>
      <c r="L491">
        <v>44579</v>
      </c>
      <c r="M491">
        <v>44915</v>
      </c>
      <c r="N491">
        <v>4179400</v>
      </c>
      <c r="O491">
        <v>44915</v>
      </c>
      <c r="P491">
        <v>-2.93027282615932E-3</v>
      </c>
      <c r="Q491">
        <v>-2.9345744809805602E-3</v>
      </c>
      <c r="R491" s="8">
        <v>11.299638748168899</v>
      </c>
      <c r="S491" s="8">
        <v>-1.3669020329455901E-2</v>
      </c>
      <c r="T491" s="9">
        <v>-1.37633015281015E-2</v>
      </c>
      <c r="U491" s="12">
        <v>5.2531000000000001E-2</v>
      </c>
      <c r="V491" s="16">
        <v>3.7442000000000002</v>
      </c>
      <c r="W491" s="17">
        <f t="shared" si="7"/>
        <v>-1.2631523430289282E-2</v>
      </c>
    </row>
    <row r="492" spans="1:23" x14ac:dyDescent="0.2">
      <c r="A492" s="14">
        <v>42248</v>
      </c>
      <c r="B492" s="3">
        <v>-238782701772159</v>
      </c>
      <c r="C492" s="3">
        <f>[1]!nefin_factors__1[[#This Row],[Rm_minus_Rf]]/B491-1</f>
        <v>1.0436516966682112</v>
      </c>
      <c r="D492" s="3">
        <v>-110291183775526</v>
      </c>
      <c r="E492" s="3">
        <f>[1]!nefin_factors__1[[#This Row],[SMB]]/D491-1</f>
        <v>-1.119038555954041</v>
      </c>
      <c r="F492" s="3">
        <v>244481754497502</v>
      </c>
      <c r="G492" s="3">
        <f>[1]!nefin_factors__1[[#This Row],[HML]]/F491-1</f>
        <v>0.35860511525106298</v>
      </c>
      <c r="H492" s="3">
        <v>526700331447971</v>
      </c>
      <c r="I492" s="4">
        <f>[1]!nefin_factors__1[[#This Row],[Risk_Free]]/H491-1</f>
        <v>6.6060555515634611E-4</v>
      </c>
      <c r="J492">
        <v>44923</v>
      </c>
      <c r="K492">
        <v>47142</v>
      </c>
      <c r="L492">
        <v>44923</v>
      </c>
      <c r="M492">
        <v>46393</v>
      </c>
      <c r="N492">
        <v>4421500</v>
      </c>
      <c r="O492">
        <v>46393</v>
      </c>
      <c r="P492">
        <v>3.2906601358120999E-2</v>
      </c>
      <c r="Q492">
        <v>3.2376771101247599E-2</v>
      </c>
      <c r="R492" s="8">
        <v>11.1677694320679</v>
      </c>
      <c r="S492" s="8">
        <v>-1.1670197783931E-2</v>
      </c>
      <c r="T492" s="9">
        <v>-1.1738829024733499E-2</v>
      </c>
      <c r="U492" s="12">
        <v>5.2531000000000001E-2</v>
      </c>
      <c r="V492" s="16">
        <v>3.7010000000000001</v>
      </c>
      <c r="W492" s="17">
        <f t="shared" si="7"/>
        <v>-1.1537845200576879E-2</v>
      </c>
    </row>
    <row r="493" spans="1:23" x14ac:dyDescent="0.2">
      <c r="A493" s="15">
        <v>42249</v>
      </c>
      <c r="B493" s="5">
        <v>18213813321366</v>
      </c>
      <c r="C493" s="5">
        <f>[1]!nefin_factors__1[[#This Row],[Rm_minus_Rf]]/B492-1</f>
        <v>-1.0762777755096564</v>
      </c>
      <c r="D493" s="5">
        <v>-158334810954055</v>
      </c>
      <c r="E493" s="5">
        <f>[1]!nefin_factors__1[[#This Row],[SMB]]/D492-1</f>
        <v>0.43560714042485471</v>
      </c>
      <c r="F493" s="5">
        <v>196472310548822</v>
      </c>
      <c r="G493" s="5">
        <f>[1]!nefin_factors__1[[#This Row],[HML]]/F492-1</f>
        <v>-0.19637229799563849</v>
      </c>
      <c r="H493" s="5">
        <v>527048012584741</v>
      </c>
      <c r="I493" s="6">
        <f>[1]!nefin_factors__1[[#This Row],[Risk_Free]]/H492-1</f>
        <v>6.6011186249714804E-4</v>
      </c>
      <c r="J493">
        <v>46385</v>
      </c>
      <c r="K493">
        <v>46385</v>
      </c>
      <c r="L493">
        <v>45023</v>
      </c>
      <c r="M493">
        <v>45361</v>
      </c>
      <c r="N493">
        <v>3520900</v>
      </c>
      <c r="O493">
        <v>45361</v>
      </c>
      <c r="P493">
        <v>-2.22447351971202E-2</v>
      </c>
      <c r="Q493">
        <v>-2.2495880750547901E-2</v>
      </c>
      <c r="R493" s="8">
        <v>11.044139862060501</v>
      </c>
      <c r="S493" s="8">
        <v>-1.10702785231407E-2</v>
      </c>
      <c r="T493" s="9">
        <v>-1.1132010069497199E-2</v>
      </c>
      <c r="U493" s="12">
        <v>5.2531000000000001E-2</v>
      </c>
      <c r="V493" s="16">
        <v>3.7231000000000001</v>
      </c>
      <c r="W493" s="17">
        <f t="shared" si="7"/>
        <v>5.9713590921373072E-3</v>
      </c>
    </row>
    <row r="494" spans="1:23" x14ac:dyDescent="0.2">
      <c r="A494" s="14">
        <v>42250</v>
      </c>
      <c r="B494" s="3">
        <v>187284429407477</v>
      </c>
      <c r="C494" s="3">
        <f>[1]!nefin_factors__1[[#This Row],[Rm_minus_Rf]]/B493-1</f>
        <v>9.2825490798118615</v>
      </c>
      <c r="D494" s="3">
        <v>-155916776257493</v>
      </c>
      <c r="E494" s="3">
        <f>[1]!nefin_factors__1[[#This Row],[SMB]]/D493-1</f>
        <v>-1.5271655563246056E-2</v>
      </c>
      <c r="F494" s="3">
        <v>-623351373224906</v>
      </c>
      <c r="G494" s="3">
        <f>[1]!nefin_factors__1[[#This Row],[HML]]/F493-1</f>
        <v>-4.1727186975286656</v>
      </c>
      <c r="H494" s="3">
        <v>525309303566868</v>
      </c>
      <c r="I494" s="4">
        <f>[1]!nefin_factors__1[[#This Row],[Risk_Free]]/H493-1</f>
        <v>-3.2989575453402642E-3</v>
      </c>
      <c r="J494">
        <v>45361</v>
      </c>
      <c r="K494">
        <v>46157</v>
      </c>
      <c r="L494">
        <v>45217</v>
      </c>
      <c r="M494">
        <v>45223</v>
      </c>
      <c r="N494">
        <v>2853300</v>
      </c>
      <c r="O494">
        <v>45223</v>
      </c>
      <c r="P494">
        <v>-3.04226097308258E-3</v>
      </c>
      <c r="Q494">
        <v>-3.04689805619627E-3</v>
      </c>
      <c r="R494" s="8">
        <v>11.0029306411743</v>
      </c>
      <c r="S494" s="8">
        <v>-3.7311183433093001E-3</v>
      </c>
      <c r="T494" s="9">
        <v>-3.7380963278869201E-3</v>
      </c>
      <c r="U494" s="12">
        <v>5.2531000000000001E-2</v>
      </c>
      <c r="V494" s="16">
        <v>3.7081</v>
      </c>
      <c r="W494" s="17">
        <f t="shared" si="7"/>
        <v>-4.0289006473100963E-3</v>
      </c>
    </row>
    <row r="495" spans="1:23" x14ac:dyDescent="0.2">
      <c r="A495" s="15">
        <v>42251</v>
      </c>
      <c r="B495" s="5">
        <v>-153921411204901</v>
      </c>
      <c r="C495" s="5">
        <f>[1]!nefin_factors__1[[#This Row],[Rm_minus_Rf]]/B494-1</f>
        <v>-1.8218590925677667</v>
      </c>
      <c r="D495" s="5">
        <v>228116259529746</v>
      </c>
      <c r="E495" s="5">
        <f>[1]!nefin_factors__1[[#This Row],[SMB]]/D494-1</f>
        <v>-2.4630642385333648</v>
      </c>
      <c r="F495" s="5">
        <v>514493360018384</v>
      </c>
      <c r="G495" s="5">
        <f>[1]!nefin_factors__1[[#This Row],[HML]]/F494-1</f>
        <v>-1.8253665302069595</v>
      </c>
      <c r="H495" s="5">
        <v>526352619983239</v>
      </c>
      <c r="I495" s="6">
        <f>[1]!nefin_factors__1[[#This Row],[Risk_Free]]/H494-1</f>
        <v>1.9860992548330625E-3</v>
      </c>
      <c r="J495">
        <v>45223</v>
      </c>
      <c r="K495">
        <v>45233</v>
      </c>
      <c r="L495">
        <v>44232</v>
      </c>
      <c r="M495">
        <v>44443</v>
      </c>
      <c r="N495">
        <v>3203200</v>
      </c>
      <c r="O495">
        <v>44443</v>
      </c>
      <c r="P495">
        <v>-1.7247860601906102E-2</v>
      </c>
      <c r="Q495">
        <v>-1.7398337732046999E-2</v>
      </c>
      <c r="R495" s="8">
        <v>10.780399322509799</v>
      </c>
      <c r="S495" s="8">
        <v>-2.0224892413454001E-2</v>
      </c>
      <c r="T495" s="9">
        <v>-2.0432215707100101E-2</v>
      </c>
      <c r="U495" s="12">
        <v>5.2531000000000001E-2</v>
      </c>
      <c r="V495" s="16">
        <v>3.7688000000000001</v>
      </c>
      <c r="W495" s="17">
        <f t="shared" si="7"/>
        <v>1.6369569321215804E-2</v>
      </c>
    </row>
    <row r="496" spans="1:23" x14ac:dyDescent="0.2">
      <c r="A496" s="14">
        <v>42255</v>
      </c>
      <c r="B496" s="3">
        <v>233153760359983</v>
      </c>
      <c r="C496" s="3">
        <f>[1]!nefin_factors__1[[#This Row],[Rm_minus_Rf]]/B495-1</f>
        <v>-2.5147584636526457</v>
      </c>
      <c r="D496" s="3">
        <v>-113008959611601</v>
      </c>
      <c r="E496" s="3">
        <f>[1]!nefin_factors__1[[#This Row],[SMB]]/D495-1</f>
        <v>-1.4954007217397181</v>
      </c>
      <c r="F496" s="3">
        <v>124631617216689</v>
      </c>
      <c r="G496" s="3">
        <f>[1]!nefin_factors__1[[#This Row],[HML]]/F495-1</f>
        <v>-0.75775855064050657</v>
      </c>
      <c r="H496" s="3">
        <v>526004878184771</v>
      </c>
      <c r="I496" s="4">
        <f>[1]!nefin_factors__1[[#This Row],[Risk_Free]]/H495-1</f>
        <v>-6.6066318522184364E-4</v>
      </c>
      <c r="J496">
        <v>44444</v>
      </c>
      <c r="K496">
        <v>46438</v>
      </c>
      <c r="L496">
        <v>44444</v>
      </c>
      <c r="M496">
        <v>46108</v>
      </c>
      <c r="N496">
        <v>4446400</v>
      </c>
      <c r="O496">
        <v>46108</v>
      </c>
      <c r="P496">
        <v>3.7463717570821002E-2</v>
      </c>
      <c r="Q496">
        <v>3.67790014951399E-2</v>
      </c>
      <c r="R496" s="8">
        <v>10.714464187622101</v>
      </c>
      <c r="S496" s="8">
        <v>-6.11624360263807E-3</v>
      </c>
      <c r="T496" s="9">
        <v>-6.1350244384785497E-3</v>
      </c>
      <c r="U496" s="12">
        <v>5.2531000000000001E-2</v>
      </c>
      <c r="V496" s="16">
        <v>3.7606000000000002</v>
      </c>
      <c r="W496" s="17">
        <f t="shared" si="7"/>
        <v>-2.1757588622373092E-3</v>
      </c>
    </row>
    <row r="497" spans="1:23" x14ac:dyDescent="0.2">
      <c r="A497" s="15">
        <v>42256</v>
      </c>
      <c r="B497" s="5">
        <v>-457387933296164</v>
      </c>
      <c r="C497" s="5">
        <f>[1]!nefin_factors__1[[#This Row],[Rm_minus_Rf]]/B496-1</f>
        <v>-2.9617437548078556</v>
      </c>
      <c r="D497" s="5">
        <v>56214998270043</v>
      </c>
      <c r="E497" s="5">
        <f>[1]!nefin_factors__1[[#This Row],[SMB]]/D496-1</f>
        <v>-1.4974384196018402</v>
      </c>
      <c r="F497" s="5">
        <v>23955479845121</v>
      </c>
      <c r="G497" s="5">
        <f>[1]!nefin_factors__1[[#This Row],[HML]]/F496-1</f>
        <v>-0.80778970553297769</v>
      </c>
      <c r="H497" s="5">
        <v>526004878184771</v>
      </c>
      <c r="I497" s="6">
        <f>[1]!nefin_factors__1[[#This Row],[Risk_Free]]/H496-1</f>
        <v>0</v>
      </c>
      <c r="J497">
        <v>46084</v>
      </c>
      <c r="K497">
        <v>46323</v>
      </c>
      <c r="L497">
        <v>45351</v>
      </c>
      <c r="M497">
        <v>45631</v>
      </c>
      <c r="N497">
        <v>3638300</v>
      </c>
      <c r="O497">
        <v>45631</v>
      </c>
      <c r="P497">
        <v>-1.0345276307799099E-2</v>
      </c>
      <c r="Q497">
        <v>-1.03991606330632E-2</v>
      </c>
      <c r="R497" s="8">
        <v>10.8793020248413</v>
      </c>
      <c r="S497" s="8">
        <v>1.5384657143616001E-2</v>
      </c>
      <c r="T497" s="9">
        <v>1.52675132570761E-2</v>
      </c>
      <c r="U497" s="12">
        <v>5.2531000000000001E-2</v>
      </c>
      <c r="V497" s="16">
        <v>3.7399</v>
      </c>
      <c r="W497" s="17">
        <f t="shared" si="7"/>
        <v>-5.5044407807265383E-3</v>
      </c>
    </row>
    <row r="498" spans="1:23" x14ac:dyDescent="0.2">
      <c r="A498" s="14">
        <v>42257</v>
      </c>
      <c r="B498" s="3">
        <v>-545260671123628</v>
      </c>
      <c r="C498" s="3">
        <f>[1]!nefin_factors__1[[#This Row],[Rm_minus_Rf]]/B497-1</f>
        <v>0.19211861842136835</v>
      </c>
      <c r="D498" s="3">
        <v>-115754048563752</v>
      </c>
      <c r="E498" s="3">
        <f>[1]!nefin_factors__1[[#This Row],[SMB]]/D497-1</f>
        <v>-3.0591310526720656</v>
      </c>
      <c r="F498" s="3">
        <v>152125580247236</v>
      </c>
      <c r="G498" s="3">
        <f>[1]!nefin_factors__1[[#This Row],[HML]]/F497-1</f>
        <v>5.3503457760300028</v>
      </c>
      <c r="H498" s="3">
        <v>526352619983239</v>
      </c>
      <c r="I498" s="4">
        <f>[1]!nefin_factors__1[[#This Row],[Risk_Free]]/H497-1</f>
        <v>6.6109994962038066E-4</v>
      </c>
      <c r="J498">
        <v>45630</v>
      </c>
      <c r="K498">
        <v>45981</v>
      </c>
      <c r="L498">
        <v>45068</v>
      </c>
      <c r="M498">
        <v>45263</v>
      </c>
      <c r="N498">
        <v>3281900</v>
      </c>
      <c r="O498">
        <v>45263</v>
      </c>
      <c r="P498">
        <v>-8.0646928623084903E-3</v>
      </c>
      <c r="Q498">
        <v>-8.0973884027673807E-3</v>
      </c>
      <c r="R498" s="8">
        <v>10.9617214202881</v>
      </c>
      <c r="S498" s="8">
        <v>7.5757778273382002E-3</v>
      </c>
      <c r="T498" s="9">
        <v>7.5472257346958097E-3</v>
      </c>
      <c r="U498" s="12">
        <v>5.2531000000000001E-2</v>
      </c>
      <c r="V498" s="16">
        <v>3.8506</v>
      </c>
      <c r="W498" s="17">
        <f t="shared" si="7"/>
        <v>2.9599721917698441E-2</v>
      </c>
    </row>
    <row r="499" spans="1:23" x14ac:dyDescent="0.2">
      <c r="A499" s="15">
        <v>42258</v>
      </c>
      <c r="B499" s="5">
        <v>-252332476432731</v>
      </c>
      <c r="C499" s="5">
        <f>[1]!nefin_factors__1[[#This Row],[Rm_minus_Rf]]/B498-1</f>
        <v>-0.53722597319783738</v>
      </c>
      <c r="D499" s="5">
        <v>307715128774546</v>
      </c>
      <c r="E499" s="5">
        <f>[1]!nefin_factors__1[[#This Row],[SMB]]/D498-1</f>
        <v>-3.6583530562654203</v>
      </c>
      <c r="F499" s="5">
        <v>155677704895329</v>
      </c>
      <c r="G499" s="5">
        <f>[1]!nefin_factors__1[[#This Row],[HML]]/F498-1</f>
        <v>2.3349949708129536E-2</v>
      </c>
      <c r="H499" s="5">
        <v>526352619983239</v>
      </c>
      <c r="I499" s="6">
        <f>[1]!nefin_factors__1[[#This Row],[Risk_Free]]/H498-1</f>
        <v>0</v>
      </c>
      <c r="J499">
        <v>45258</v>
      </c>
      <c r="K499">
        <v>45258</v>
      </c>
      <c r="L499">
        <v>44531</v>
      </c>
      <c r="M499">
        <v>44747</v>
      </c>
      <c r="N499">
        <v>2481600</v>
      </c>
      <c r="O499">
        <v>44747</v>
      </c>
      <c r="P499">
        <v>-1.14000397675806E-2</v>
      </c>
      <c r="Q499">
        <v>-1.14655183354378E-2</v>
      </c>
      <c r="R499" s="8">
        <v>10.714464187622101</v>
      </c>
      <c r="S499" s="8">
        <v>-2.2556450822013699E-2</v>
      </c>
      <c r="T499" s="9">
        <v>-2.2814738991771898E-2</v>
      </c>
      <c r="U499" s="12">
        <v>5.2531000000000001E-2</v>
      </c>
      <c r="V499" s="16">
        <v>3.8744999999999998</v>
      </c>
      <c r="W499" s="17">
        <f t="shared" si="7"/>
        <v>6.2068249104034745E-3</v>
      </c>
    </row>
    <row r="500" spans="1:23" x14ac:dyDescent="0.2">
      <c r="A500" s="14">
        <v>42261</v>
      </c>
      <c r="B500" s="3">
        <v>157578035607916</v>
      </c>
      <c r="C500" s="3">
        <f>[1]!nefin_factors__1[[#This Row],[Rm_minus_Rf]]/B499-1</f>
        <v>-1.6244857492607556</v>
      </c>
      <c r="D500" s="3">
        <v>-13648454430737</v>
      </c>
      <c r="E500" s="3">
        <f>[1]!nefin_factors__1[[#This Row],[SMB]]/D499-1</f>
        <v>-1.0443541872155946</v>
      </c>
      <c r="F500" s="3">
        <v>-516181790159545</v>
      </c>
      <c r="G500" s="3">
        <f>[1]!nefin_factors__1[[#This Row],[HML]]/F499-1</f>
        <v>-4.3157078626422676</v>
      </c>
      <c r="H500" s="3">
        <v>526004878184771</v>
      </c>
      <c r="I500" s="4">
        <f>[1]!nefin_factors__1[[#This Row],[Risk_Free]]/H499-1</f>
        <v>-6.6066318522184364E-4</v>
      </c>
      <c r="J500">
        <v>44748</v>
      </c>
      <c r="K500">
        <v>45423</v>
      </c>
      <c r="L500">
        <v>44748</v>
      </c>
      <c r="M500">
        <v>44872</v>
      </c>
      <c r="N500">
        <v>2558500</v>
      </c>
      <c r="O500">
        <v>44872</v>
      </c>
      <c r="P500">
        <v>2.7934833620131298E-3</v>
      </c>
      <c r="Q500">
        <v>2.7895888385380098E-3</v>
      </c>
      <c r="R500" s="8">
        <v>10.673254966735801</v>
      </c>
      <c r="S500" s="8">
        <v>-3.8460188750981698E-3</v>
      </c>
      <c r="T500" s="9">
        <v>-3.8534338238197098E-3</v>
      </c>
      <c r="U500" s="12">
        <v>5.2531000000000001E-2</v>
      </c>
      <c r="V500" s="16">
        <v>3.8544999999999998</v>
      </c>
      <c r="W500" s="17">
        <f t="shared" si="7"/>
        <v>-5.1619563814685465E-3</v>
      </c>
    </row>
    <row r="501" spans="1:23" x14ac:dyDescent="0.2">
      <c r="A501" s="15">
        <v>42262</v>
      </c>
      <c r="B501" s="5">
        <v>274579428672239</v>
      </c>
      <c r="C501" s="5">
        <f>[1]!nefin_factors__1[[#This Row],[Rm_minus_Rf]]/B500-1</f>
        <v>0.74249810649654635</v>
      </c>
      <c r="D501" s="5">
        <v>-9662044029.4514694</v>
      </c>
      <c r="E501" s="5">
        <f>[1]!nefin_factors__1[[#This Row],[SMB]]/D500-1</f>
        <v>-0.99929207778957796</v>
      </c>
      <c r="F501" s="5">
        <v>460379351912273</v>
      </c>
      <c r="G501" s="5">
        <f>[1]!nefin_factors__1[[#This Row],[HML]]/F500-1</f>
        <v>-1.8918938263397007</v>
      </c>
      <c r="H501" s="5">
        <v>526004878184771</v>
      </c>
      <c r="I501" s="6">
        <f>[1]!nefin_factors__1[[#This Row],[Risk_Free]]/H500-1</f>
        <v>0</v>
      </c>
      <c r="J501">
        <v>44868</v>
      </c>
      <c r="K501">
        <v>45099</v>
      </c>
      <c r="L501">
        <v>44095</v>
      </c>
      <c r="M501">
        <v>45016</v>
      </c>
      <c r="N501">
        <v>3324300</v>
      </c>
      <c r="O501">
        <v>45016</v>
      </c>
      <c r="P501">
        <v>3.2091281868424902E-3</v>
      </c>
      <c r="Q501">
        <v>3.2039899249419802E-3</v>
      </c>
      <c r="R501" s="8">
        <v>10.714464187622101</v>
      </c>
      <c r="S501" s="8">
        <v>3.86086784570705E-3</v>
      </c>
      <c r="T501" s="9">
        <v>3.8534338238197501E-3</v>
      </c>
      <c r="U501" s="12">
        <v>5.2531000000000001E-2</v>
      </c>
      <c r="V501" s="16">
        <v>3.7970000000000002</v>
      </c>
      <c r="W501" s="17">
        <f t="shared" si="7"/>
        <v>-1.4917628745621858E-2</v>
      </c>
    </row>
    <row r="502" spans="1:23" x14ac:dyDescent="0.2">
      <c r="A502" s="14">
        <v>42263</v>
      </c>
      <c r="B502" s="3">
        <v>218447133195996</v>
      </c>
      <c r="C502" s="3">
        <f>[1]!nefin_factors__1[[#This Row],[Rm_minus_Rf]]/B501-1</f>
        <v>-0.20443008330113177</v>
      </c>
      <c r="D502" s="3">
        <v>-65325412052411</v>
      </c>
      <c r="E502" s="3">
        <f>[1]!nefin_factors__1[[#This Row],[SMB]]/D501-1</f>
        <v>6760.0343994799241</v>
      </c>
      <c r="F502" s="3">
        <v>436109236245571</v>
      </c>
      <c r="G502" s="3">
        <f>[1]!nefin_factors__1[[#This Row],[HML]]/F501-1</f>
        <v>-5.2717645928062273E-2</v>
      </c>
      <c r="H502" s="3">
        <v>525657106047905</v>
      </c>
      <c r="I502" s="4">
        <f>[1]!nefin_factors__1[[#This Row],[Risk_Free]]/H501-1</f>
        <v>-6.611576266482011E-4</v>
      </c>
      <c r="J502">
        <v>45016</v>
      </c>
      <c r="K502">
        <v>46251</v>
      </c>
      <c r="L502">
        <v>45016</v>
      </c>
      <c r="M502">
        <v>45261</v>
      </c>
      <c r="N502">
        <v>3028800</v>
      </c>
      <c r="O502">
        <v>45261</v>
      </c>
      <c r="P502">
        <v>5.4425093300158904E-3</v>
      </c>
      <c r="Q502">
        <v>5.4277523950691303E-3</v>
      </c>
      <c r="R502" s="8">
        <v>11.044139862060501</v>
      </c>
      <c r="S502" s="8">
        <v>3.07692173466949E-2</v>
      </c>
      <c r="T502" s="9">
        <v>3.0305336473465699E-2</v>
      </c>
      <c r="U502" s="12">
        <v>5.2531000000000001E-2</v>
      </c>
      <c r="V502" s="16">
        <v>3.7574999999999998</v>
      </c>
      <c r="W502" s="17">
        <f t="shared" si="7"/>
        <v>-1.0402949697129404E-2</v>
      </c>
    </row>
    <row r="503" spans="1:23" x14ac:dyDescent="0.2">
      <c r="A503" s="15">
        <v>42264</v>
      </c>
      <c r="B503" s="5">
        <v>-806420242121532</v>
      </c>
      <c r="C503" s="5">
        <f>[1]!nefin_factors__1[[#This Row],[Rm_minus_Rf]]/B502-1</f>
        <v>-4.6916036860872534</v>
      </c>
      <c r="D503" s="5">
        <v>13015103715281</v>
      </c>
      <c r="E503" s="5">
        <f>[1]!nefin_factors__1[[#This Row],[SMB]]/D502-1</f>
        <v>-1.1992349272108518</v>
      </c>
      <c r="F503" s="5">
        <v>785554617655542</v>
      </c>
      <c r="G503" s="5">
        <f>[1]!nefin_factors__1[[#This Row],[HML]]/F502-1</f>
        <v>0.80127947855064452</v>
      </c>
      <c r="H503" s="5">
        <v>525657106047905</v>
      </c>
      <c r="I503" s="6">
        <f>[1]!nefin_factors__1[[#This Row],[Risk_Free]]/H502-1</f>
        <v>0</v>
      </c>
      <c r="J503">
        <v>45249</v>
      </c>
      <c r="K503">
        <v>45249</v>
      </c>
      <c r="L503">
        <v>43690</v>
      </c>
      <c r="M503">
        <v>43911</v>
      </c>
      <c r="N503">
        <v>4564700</v>
      </c>
      <c r="O503">
        <v>43911</v>
      </c>
      <c r="P503">
        <v>-2.98270033803937E-2</v>
      </c>
      <c r="Q503">
        <v>-3.0280876356127501E-2</v>
      </c>
      <c r="R503" s="8">
        <v>10.6485290527344</v>
      </c>
      <c r="S503" s="8">
        <v>-3.5820917981323301E-2</v>
      </c>
      <c r="T503" s="9">
        <v>-3.6478231895733002E-2</v>
      </c>
      <c r="U503" s="12">
        <v>5.2531000000000001E-2</v>
      </c>
      <c r="V503" s="16">
        <v>3.7475999999999998</v>
      </c>
      <c r="W503" s="17">
        <f t="shared" si="7"/>
        <v>-2.6347305389221587E-3</v>
      </c>
    </row>
    <row r="504" spans="1:23" x14ac:dyDescent="0.2">
      <c r="A504" s="14">
        <v>42265</v>
      </c>
      <c r="B504" s="3">
        <v>-237466836243521</v>
      </c>
      <c r="C504" s="3">
        <f>[1]!nefin_factors__1[[#This Row],[Rm_minus_Rf]]/B503-1</f>
        <v>-0.70552966823006225</v>
      </c>
      <c r="D504" s="3">
        <v>144040982154835</v>
      </c>
      <c r="E504" s="3">
        <f>[1]!nefin_factors__1[[#This Row],[SMB]]/D503-1</f>
        <v>10.067217388803199</v>
      </c>
      <c r="F504" s="3">
        <v>175355740917116</v>
      </c>
      <c r="G504" s="3">
        <f>[1]!nefin_factors__1[[#This Row],[HML]]/F503-1</f>
        <v>-0.77677460360368245</v>
      </c>
      <c r="H504" s="3">
        <v>526352619983239</v>
      </c>
      <c r="I504" s="4">
        <f>[1]!nefin_factors__1[[#This Row],[Risk_Free]]/H503-1</f>
        <v>1.3231323753295499E-3</v>
      </c>
      <c r="J504">
        <v>43912</v>
      </c>
      <c r="K504">
        <v>44223</v>
      </c>
      <c r="L504">
        <v>43196</v>
      </c>
      <c r="M504">
        <v>43200</v>
      </c>
      <c r="N504">
        <v>3452900</v>
      </c>
      <c r="O504">
        <v>43200</v>
      </c>
      <c r="P504">
        <v>-1.61918425906948E-2</v>
      </c>
      <c r="Q504">
        <v>-1.6324362919854899E-2</v>
      </c>
      <c r="R504" s="8">
        <v>10.3023691177368</v>
      </c>
      <c r="S504" s="8">
        <v>-2.38498940853312E-2</v>
      </c>
      <c r="T504" s="9">
        <v>-2.41389073508794E-2</v>
      </c>
      <c r="U504" s="12">
        <v>5.2531000000000001E-2</v>
      </c>
      <c r="V504" s="16">
        <v>3.7921</v>
      </c>
      <c r="W504" s="17">
        <f t="shared" si="7"/>
        <v>1.1874266197032801E-2</v>
      </c>
    </row>
    <row r="505" spans="1:23" x14ac:dyDescent="0.2">
      <c r="A505" s="15">
        <v>42268</v>
      </c>
      <c r="B505" s="5">
        <v>-143754509285524</v>
      </c>
      <c r="C505" s="5">
        <f>[1]!nefin_factors__1[[#This Row],[Rm_minus_Rf]]/B504-1</f>
        <v>-0.39463332413245067</v>
      </c>
      <c r="D505" s="5">
        <v>-678584338493052</v>
      </c>
      <c r="E505" s="5">
        <f>[1]!nefin_factors__1[[#This Row],[SMB]]/D504-1</f>
        <v>-5.7110504825884654</v>
      </c>
      <c r="F505" s="5">
        <v>37964793244189</v>
      </c>
      <c r="G505" s="5">
        <f>[1]!nefin_factors__1[[#This Row],[HML]]/F504-1</f>
        <v>-0.78349842984534213</v>
      </c>
      <c r="H505" s="5">
        <v>526700331447971</v>
      </c>
      <c r="I505" s="6">
        <f>[1]!nefin_factors__1[[#This Row],[Risk_Free]]/H504-1</f>
        <v>6.6060555515634611E-4</v>
      </c>
      <c r="J505">
        <v>43208</v>
      </c>
      <c r="K505">
        <v>43632</v>
      </c>
      <c r="L505">
        <v>43137</v>
      </c>
      <c r="M505">
        <v>43470</v>
      </c>
      <c r="N505">
        <v>2577000</v>
      </c>
      <c r="O505">
        <v>43470</v>
      </c>
      <c r="P505">
        <v>6.2500000000000897E-3</v>
      </c>
      <c r="Q505">
        <v>6.2305497506361602E-3</v>
      </c>
      <c r="R505" s="8">
        <v>10.1787414550781</v>
      </c>
      <c r="S505" s="8">
        <v>-1.19998692994501E-2</v>
      </c>
      <c r="T505" s="9">
        <v>-1.2072448946272E-2</v>
      </c>
      <c r="U505" s="12">
        <v>5.2531000000000001E-2</v>
      </c>
      <c r="V505" s="16">
        <v>3.758</v>
      </c>
      <c r="W505" s="17">
        <f t="shared" si="7"/>
        <v>-8.9923788929616721E-3</v>
      </c>
    </row>
    <row r="506" spans="1:23" x14ac:dyDescent="0.2">
      <c r="A506" s="14">
        <v>42269</v>
      </c>
      <c r="B506" s="3">
        <v>-641438338966285</v>
      </c>
      <c r="C506" s="3">
        <f>[1]!nefin_factors__1[[#This Row],[Rm_minus_Rf]]/B505-1</f>
        <v>3.4620397798601612</v>
      </c>
      <c r="D506" s="3">
        <v>-629899491122274</v>
      </c>
      <c r="E506" s="3">
        <f>[1]!nefin_factors__1[[#This Row],[SMB]]/D505-1</f>
        <v>-7.174472590819525E-2</v>
      </c>
      <c r="F506" s="3">
        <v>189671548937041</v>
      </c>
      <c r="G506" s="3">
        <f>[1]!nefin_factors__1[[#This Row],[HML]]/F505-1</f>
        <v>3.9959852992501856</v>
      </c>
      <c r="H506" s="3">
        <v>527395663398655</v>
      </c>
      <c r="I506" s="4">
        <f>[1]!nefin_factors__1[[#This Row],[Risk_Free]]/H505-1</f>
        <v>1.3201661536312859E-3</v>
      </c>
      <c r="J506">
        <v>43479</v>
      </c>
      <c r="K506">
        <v>44233</v>
      </c>
      <c r="L506">
        <v>43479</v>
      </c>
      <c r="M506">
        <v>44015</v>
      </c>
      <c r="N506">
        <v>2501300</v>
      </c>
      <c r="O506">
        <v>44015</v>
      </c>
      <c r="P506">
        <v>1.25373821025996E-2</v>
      </c>
      <c r="Q506">
        <v>1.24594399121688E-2</v>
      </c>
      <c r="R506" s="8">
        <v>10.285885810851999</v>
      </c>
      <c r="S506" s="8">
        <v>1.0526199747378499E-2</v>
      </c>
      <c r="T506" s="9">
        <v>1.0471185033965401E-2</v>
      </c>
      <c r="U506" s="12">
        <v>5.2531000000000001E-2</v>
      </c>
      <c r="V506" s="16">
        <v>3.7685</v>
      </c>
      <c r="W506" s="17">
        <f t="shared" si="7"/>
        <v>2.7940393826504373E-3</v>
      </c>
    </row>
    <row r="507" spans="1:23" x14ac:dyDescent="0.2">
      <c r="A507" s="15">
        <v>42270</v>
      </c>
      <c r="B507" s="5">
        <v>-190567075480372</v>
      </c>
      <c r="C507" s="5">
        <f>[1]!nefin_factors__1[[#This Row],[Rm_minus_Rf]]/B506-1</f>
        <v>-0.70290663357060656</v>
      </c>
      <c r="D507" s="5">
        <v>-336684156516035</v>
      </c>
      <c r="E507" s="5">
        <f>[1]!nefin_factors__1[[#This Row],[SMB]]/D506-1</f>
        <v>-0.46549543020558026</v>
      </c>
      <c r="F507" s="5">
        <v>-176263533075926</v>
      </c>
      <c r="G507" s="5">
        <f>[1]!nefin_factors__1[[#This Row],[HML]]/F506-1</f>
        <v>-1.929309293163596</v>
      </c>
      <c r="H507" s="5">
        <v>530175778925335</v>
      </c>
      <c r="I507" s="6">
        <f>[1]!nefin_factors__1[[#This Row],[Risk_Free]]/H506-1</f>
        <v>5.2714038427321697E-3</v>
      </c>
      <c r="J507">
        <v>44016</v>
      </c>
      <c r="K507">
        <v>44087</v>
      </c>
      <c r="L507">
        <v>43709</v>
      </c>
      <c r="M507">
        <v>43764</v>
      </c>
      <c r="N507">
        <v>1793200</v>
      </c>
      <c r="O507">
        <v>43764</v>
      </c>
      <c r="P507">
        <v>-5.70260138589118E-3</v>
      </c>
      <c r="Q507">
        <v>-5.7189232983259801E-3</v>
      </c>
      <c r="R507" s="8">
        <v>10.2611598968506</v>
      </c>
      <c r="S507" s="8">
        <v>-2.40381992988703E-3</v>
      </c>
      <c r="T507" s="9">
        <v>-2.4067137434159399E-3</v>
      </c>
      <c r="U507" s="12">
        <v>5.2531000000000001E-2</v>
      </c>
      <c r="V507" s="16">
        <v>3.8548</v>
      </c>
      <c r="W507" s="17">
        <f t="shared" si="7"/>
        <v>2.2900358232718521E-2</v>
      </c>
    </row>
    <row r="508" spans="1:23" x14ac:dyDescent="0.2">
      <c r="A508" s="14">
        <v>42271</v>
      </c>
      <c r="B508" s="3">
        <v>-228493124568339</v>
      </c>
      <c r="C508" s="3">
        <f>[1]!nefin_factors__1[[#This Row],[Rm_minus_Rf]]/B507-1</f>
        <v>0.19901679758880131</v>
      </c>
      <c r="D508" s="3">
        <v>169017000710873</v>
      </c>
      <c r="E508" s="3">
        <f>[1]!nefin_factors__1[[#This Row],[SMB]]/D507-1</f>
        <v>-1.502004616017099</v>
      </c>
      <c r="F508" s="3">
        <v>159285007997126</v>
      </c>
      <c r="G508" s="3">
        <f>[1]!nefin_factors__1[[#This Row],[HML]]/F507-1</f>
        <v>-1.9036753389512144</v>
      </c>
      <c r="H508" s="3">
        <v>529133462812137</v>
      </c>
      <c r="I508" s="4">
        <f>[1]!nefin_factors__1[[#This Row],[Risk_Free]]/H507-1</f>
        <v>-1.9659821414527157E-3</v>
      </c>
      <c r="J508">
        <v>43781</v>
      </c>
      <c r="K508">
        <v>44042</v>
      </c>
      <c r="L508">
        <v>43523</v>
      </c>
      <c r="M508">
        <v>43654</v>
      </c>
      <c r="N508">
        <v>1675900</v>
      </c>
      <c r="O508">
        <v>43654</v>
      </c>
      <c r="P508">
        <v>-2.51348140023766E-3</v>
      </c>
      <c r="Q508">
        <v>-2.5166454976576899E-3</v>
      </c>
      <c r="R508" s="8">
        <v>10.796882629394499</v>
      </c>
      <c r="S508" s="8">
        <v>5.2208766040379599E-2</v>
      </c>
      <c r="T508" s="9">
        <v>5.08915414339998E-2</v>
      </c>
      <c r="U508" s="12">
        <v>5.2531000000000001E-2</v>
      </c>
      <c r="V508" s="16">
        <v>3.9022999999999999</v>
      </c>
      <c r="W508" s="17">
        <f t="shared" si="7"/>
        <v>1.2322299470789666E-2</v>
      </c>
    </row>
    <row r="509" spans="1:23" x14ac:dyDescent="0.2">
      <c r="A509" s="15">
        <v>42272</v>
      </c>
      <c r="B509" s="5">
        <v>-726374199557254</v>
      </c>
      <c r="C509" s="5">
        <f>[1]!nefin_factors__1[[#This Row],[Rm_minus_Rf]]/B508-1</f>
        <v>2.1789761767645919</v>
      </c>
      <c r="D509" s="5">
        <v>429205702765187</v>
      </c>
      <c r="E509" s="5">
        <f>[1]!nefin_factors__1[[#This Row],[SMB]]/D508-1</f>
        <v>1.5394232589619952</v>
      </c>
      <c r="F509" s="5">
        <v>-115439268879833</v>
      </c>
      <c r="G509" s="5">
        <f>[1]!nefin_factors__1[[#This Row],[HML]]/F508-1</f>
        <v>-1.7247340495592396</v>
      </c>
      <c r="H509" s="5">
        <v>529133462812137</v>
      </c>
      <c r="I509" s="6">
        <f>[1]!nefin_factors__1[[#This Row],[Risk_Free]]/H508-1</f>
        <v>0</v>
      </c>
      <c r="J509">
        <v>43653</v>
      </c>
      <c r="K509">
        <v>43662</v>
      </c>
      <c r="L509">
        <v>43217</v>
      </c>
      <c r="M509">
        <v>43350</v>
      </c>
      <c r="N509">
        <v>2679200</v>
      </c>
      <c r="O509">
        <v>43350</v>
      </c>
      <c r="P509">
        <v>-6.9638521097723496E-3</v>
      </c>
      <c r="Q509">
        <v>-6.9882128903349999E-3</v>
      </c>
      <c r="R509" s="8">
        <v>11.126559257507299</v>
      </c>
      <c r="S509" s="8">
        <v>3.05344959855927E-2</v>
      </c>
      <c r="T509" s="9">
        <v>3.0077595786250501E-2</v>
      </c>
      <c r="U509" s="12">
        <v>5.2531000000000001E-2</v>
      </c>
      <c r="V509" s="16">
        <v>3.8702999999999999</v>
      </c>
      <c r="W509" s="17">
        <f t="shared" si="7"/>
        <v>-8.2002921354072944E-3</v>
      </c>
    </row>
    <row r="510" spans="1:23" x14ac:dyDescent="0.2">
      <c r="A510" s="14">
        <v>42275</v>
      </c>
      <c r="B510" s="3">
        <v>-170882778328446</v>
      </c>
      <c r="C510" s="3">
        <f>[1]!nefin_factors__1[[#This Row],[Rm_minus_Rf]]/B509-1</f>
        <v>-0.7647455286371625</v>
      </c>
      <c r="D510" s="3">
        <v>667349439703449</v>
      </c>
      <c r="E510" s="3">
        <f>[1]!nefin_factors__1[[#This Row],[SMB]]/D509-1</f>
        <v>0.55484756004872438</v>
      </c>
      <c r="F510" s="3">
        <v>-402211313649919</v>
      </c>
      <c r="G510" s="3">
        <f>[1]!nefin_factors__1[[#This Row],[HML]]/F509-1</f>
        <v>2.4841810551364683</v>
      </c>
      <c r="H510" s="3">
        <v>530523157072471</v>
      </c>
      <c r="I510" s="4">
        <f>[1]!nefin_factors__1[[#This Row],[Risk_Free]]/H509-1</f>
        <v>2.626358675084095E-3</v>
      </c>
      <c r="J510">
        <v>43349</v>
      </c>
      <c r="K510">
        <v>43349</v>
      </c>
      <c r="L510">
        <v>42125</v>
      </c>
      <c r="M510">
        <v>42141</v>
      </c>
      <c r="N510">
        <v>2976300</v>
      </c>
      <c r="O510">
        <v>42141</v>
      </c>
      <c r="P510">
        <v>-2.78892733564013E-2</v>
      </c>
      <c r="Q510">
        <v>-2.8285564709668299E-2</v>
      </c>
      <c r="R510" s="8">
        <v>10.327095031738301</v>
      </c>
      <c r="S510" s="8">
        <v>-7.1851985974747498E-2</v>
      </c>
      <c r="T510" s="9">
        <v>-7.4564061042330404E-2</v>
      </c>
      <c r="U510" s="12">
        <v>5.2531000000000001E-2</v>
      </c>
      <c r="V510" s="16">
        <v>3.9357000000000002</v>
      </c>
      <c r="W510" s="17">
        <f t="shared" si="7"/>
        <v>1.6897914890318777E-2</v>
      </c>
    </row>
    <row r="511" spans="1:23" x14ac:dyDescent="0.2">
      <c r="A511" s="15">
        <v>42276</v>
      </c>
      <c r="B511" s="5">
        <v>378847904480407</v>
      </c>
      <c r="C511" s="5">
        <f>[1]!nefin_factors__1[[#This Row],[Rm_minus_Rf]]/B510-1</f>
        <v>-3.217004593360723</v>
      </c>
      <c r="D511" s="5">
        <v>-354066631760388</v>
      </c>
      <c r="E511" s="5">
        <f>[1]!nefin_factors__1[[#This Row],[SMB]]/D510-1</f>
        <v>-1.5305565730567259</v>
      </c>
      <c r="F511" s="5">
        <v>-157852758292885</v>
      </c>
      <c r="G511" s="5">
        <f>[1]!nefin_factors__1[[#This Row],[HML]]/F510-1</f>
        <v>-0.6075377471100214</v>
      </c>
      <c r="H511" s="5">
        <v>530523157072471</v>
      </c>
      <c r="I511" s="6">
        <f>[1]!nefin_factors__1[[#This Row],[Risk_Free]]/H510-1</f>
        <v>0</v>
      </c>
      <c r="J511">
        <v>42139</v>
      </c>
      <c r="K511">
        <v>42534</v>
      </c>
      <c r="L511">
        <v>42137</v>
      </c>
      <c r="M511">
        <v>42419</v>
      </c>
      <c r="N511">
        <v>2557200</v>
      </c>
      <c r="O511">
        <v>42419</v>
      </c>
      <c r="P511">
        <v>6.5969008803776798E-3</v>
      </c>
      <c r="Q511">
        <v>6.5752365558377299E-3</v>
      </c>
      <c r="R511" s="8">
        <v>10.3188533782959</v>
      </c>
      <c r="S511" s="8">
        <v>-7.9797624054400696E-4</v>
      </c>
      <c r="T511" s="9">
        <v>-7.9829479306041005E-4</v>
      </c>
      <c r="U511" s="12">
        <v>5.2531000000000001E-2</v>
      </c>
      <c r="V511" s="16">
        <v>3.8929</v>
      </c>
      <c r="W511" s="17">
        <f t="shared" si="7"/>
        <v>-1.0874812612750029E-2</v>
      </c>
    </row>
    <row r="512" spans="1:23" x14ac:dyDescent="0.2">
      <c r="A512" s="14">
        <v>42277</v>
      </c>
      <c r="B512" s="3">
        <v>182239052526291</v>
      </c>
      <c r="C512" s="3">
        <f>[1]!nefin_factors__1[[#This Row],[Rm_minus_Rf]]/B511-1</f>
        <v>-0.51896512988178367</v>
      </c>
      <c r="D512" s="3">
        <v>-584988188917346</v>
      </c>
      <c r="E512" s="3">
        <f>[1]!nefin_factors__1[[#This Row],[SMB]]/D511-1</f>
        <v>0.65219802275305194</v>
      </c>
      <c r="F512" s="3">
        <v>-107200984449339</v>
      </c>
      <c r="G512" s="3">
        <f>[1]!nefin_factors__1[[#This Row],[HML]]/F511-1</f>
        <v>-0.32087987813025798</v>
      </c>
      <c r="H512" s="3">
        <v>529828370503083</v>
      </c>
      <c r="I512" s="4">
        <f>[1]!nefin_factors__1[[#This Row],[Risk_Free]]/H511-1</f>
        <v>-1.3096253389238699E-3</v>
      </c>
      <c r="J512">
        <v>42410</v>
      </c>
      <c r="K512">
        <v>42410</v>
      </c>
      <c r="L512">
        <v>41590</v>
      </c>
      <c r="M512">
        <v>41773</v>
      </c>
      <c r="N512">
        <v>3935900</v>
      </c>
      <c r="O512">
        <v>41773</v>
      </c>
      <c r="P512">
        <v>-1.5229024729484401E-2</v>
      </c>
      <c r="Q512">
        <v>-1.53461772609709E-2</v>
      </c>
      <c r="R512" s="8">
        <v>10.0221452713013</v>
      </c>
      <c r="S512" s="8">
        <v>-2.8754176883366098E-2</v>
      </c>
      <c r="T512" s="9">
        <v>-2.91756778329414E-2</v>
      </c>
      <c r="U512" s="12">
        <v>5.2531000000000001E-2</v>
      </c>
      <c r="V512" s="16">
        <v>3.9062000000000001</v>
      </c>
      <c r="W512" s="17">
        <f t="shared" si="7"/>
        <v>3.4164761488864048E-3</v>
      </c>
    </row>
    <row r="513" spans="1:23" x14ac:dyDescent="0.2">
      <c r="A513" s="15">
        <v>42278</v>
      </c>
      <c r="B513" s="5">
        <v>532747648236467</v>
      </c>
      <c r="C513" s="5">
        <f>[1]!nefin_factors__1[[#This Row],[Rm_minus_Rf]]/B512-1</f>
        <v>1.9233451384390254</v>
      </c>
      <c r="D513" s="5">
        <v>-141854381252608</v>
      </c>
      <c r="E513" s="5">
        <f>[1]!nefin_factors__1[[#This Row],[SMB]]/D512-1</f>
        <v>-0.75750898233493935</v>
      </c>
      <c r="F513" s="5">
        <v>-446122326393827</v>
      </c>
      <c r="G513" s="5">
        <f>[1]!nefin_factors__1[[#This Row],[HML]]/F512-1</f>
        <v>3.1615506488623275</v>
      </c>
      <c r="H513" s="5">
        <v>530175778925335</v>
      </c>
      <c r="I513" s="6">
        <f>[1]!nefin_factors__1[[#This Row],[Risk_Free]]/H512-1</f>
        <v>6.5569992396241616E-4</v>
      </c>
      <c r="J513">
        <v>41772</v>
      </c>
      <c r="K513">
        <v>41772</v>
      </c>
      <c r="L513">
        <v>40695</v>
      </c>
      <c r="M513">
        <v>40695</v>
      </c>
      <c r="N513">
        <v>4032300</v>
      </c>
      <c r="O513">
        <v>40695</v>
      </c>
      <c r="P513">
        <v>-2.58061427237689E-2</v>
      </c>
      <c r="Q513">
        <v>-2.6144963032744599E-2</v>
      </c>
      <c r="R513" s="8">
        <v>9.9809360504150408</v>
      </c>
      <c r="S513" s="8">
        <v>-4.1117977574832701E-3</v>
      </c>
      <c r="T513" s="9">
        <v>-4.1202744421372098E-3</v>
      </c>
      <c r="U513" s="12">
        <v>5.2531000000000001E-2</v>
      </c>
      <c r="V513" s="16">
        <v>3.9830999999999999</v>
      </c>
      <c r="W513" s="17">
        <f t="shared" si="7"/>
        <v>1.9686651989145432E-2</v>
      </c>
    </row>
    <row r="514" spans="1:23" x14ac:dyDescent="0.2">
      <c r="A514" s="14">
        <v>42279</v>
      </c>
      <c r="B514" s="3">
        <v>328185617055793</v>
      </c>
      <c r="C514" s="3">
        <f>[1]!nefin_factors__1[[#This Row],[Rm_minus_Rf]]/B513-1</f>
        <v>-0.38397547480092575</v>
      </c>
      <c r="D514" s="3">
        <v>-200342914017004</v>
      </c>
      <c r="E514" s="3">
        <f>[1]!nefin_factors__1[[#This Row],[SMB]]/D513-1</f>
        <v>0.41231389716643441</v>
      </c>
      <c r="F514" s="3">
        <v>-119280408627593</v>
      </c>
      <c r="G514" s="3">
        <f>[1]!nefin_factors__1[[#This Row],[HML]]/F513-1</f>
        <v>-0.73262847077889826</v>
      </c>
      <c r="H514" s="3">
        <v>527743283895266</v>
      </c>
      <c r="I514" s="4">
        <f>[1]!nefin_factors__1[[#This Row],[Risk_Free]]/H513-1</f>
        <v>-4.5880915853977466E-3</v>
      </c>
      <c r="J514">
        <v>40695</v>
      </c>
      <c r="K514">
        <v>41218</v>
      </c>
      <c r="L514">
        <v>40463</v>
      </c>
      <c r="M514">
        <v>40612</v>
      </c>
      <c r="N514">
        <v>3221600</v>
      </c>
      <c r="O514">
        <v>40612</v>
      </c>
      <c r="P514">
        <v>-2.0395625998279598E-3</v>
      </c>
      <c r="Q514">
        <v>-2.0416453400284602E-3</v>
      </c>
      <c r="R514" s="8">
        <v>10.013902664184601</v>
      </c>
      <c r="S514" s="8">
        <v>3.3030195543832801E-3</v>
      </c>
      <c r="T514" s="9">
        <v>3.2975765675297298E-3</v>
      </c>
      <c r="U514" s="12">
        <v>5.2531000000000001E-2</v>
      </c>
      <c r="V514" s="16">
        <v>3.9769999999999999</v>
      </c>
      <c r="W514" s="17">
        <f t="shared" si="7"/>
        <v>-1.5314704627049647E-3</v>
      </c>
    </row>
    <row r="515" spans="1:23" x14ac:dyDescent="0.2">
      <c r="A515" s="15">
        <v>42282</v>
      </c>
      <c r="B515" s="5">
        <v>118268101201481</v>
      </c>
      <c r="C515" s="5">
        <f>[1]!nefin_factors__1[[#This Row],[Rm_minus_Rf]]/B514-1</f>
        <v>-0.63963045589114009</v>
      </c>
      <c r="D515" s="5">
        <v>524903611478623</v>
      </c>
      <c r="E515" s="5">
        <f>[1]!nefin_factors__1[[#This Row],[SMB]]/D514-1</f>
        <v>-3.6200258394667859</v>
      </c>
      <c r="F515" s="5">
        <v>586837229298043</v>
      </c>
      <c r="G515" s="5">
        <f>[1]!nefin_factors__1[[#This Row],[HML]]/F514-1</f>
        <v>-5.9198123652494816</v>
      </c>
      <c r="H515" s="5">
        <v>527743283895266</v>
      </c>
      <c r="I515" s="6">
        <f>[1]!nefin_factors__1[[#This Row],[Risk_Free]]/H514-1</f>
        <v>0</v>
      </c>
      <c r="J515">
        <v>40612</v>
      </c>
      <c r="K515">
        <v>40974</v>
      </c>
      <c r="L515">
        <v>39924</v>
      </c>
      <c r="M515">
        <v>39950</v>
      </c>
      <c r="N515">
        <v>3086400</v>
      </c>
      <c r="O515">
        <v>39950</v>
      </c>
      <c r="P515">
        <v>-1.63006008076431E-2</v>
      </c>
      <c r="Q515">
        <v>-1.6434917226692599E-2</v>
      </c>
      <c r="R515" s="8">
        <v>10.186983108520501</v>
      </c>
      <c r="S515" s="8">
        <v>1.7283969654773999E-2</v>
      </c>
      <c r="T515" s="9">
        <v>1.7136300957024599E-2</v>
      </c>
      <c r="U515" s="12">
        <v>5.2531000000000001E-2</v>
      </c>
      <c r="V515" s="16">
        <v>3.9632000000000001</v>
      </c>
      <c r="W515" s="17">
        <f t="shared" si="7"/>
        <v>-3.4699522252954473E-3</v>
      </c>
    </row>
    <row r="516" spans="1:23" x14ac:dyDescent="0.2">
      <c r="A516" s="14">
        <v>42283</v>
      </c>
      <c r="B516" s="3">
        <v>939458291390206</v>
      </c>
      <c r="C516" s="3">
        <f>[1]!nefin_factors__1[[#This Row],[Rm_minus_Rf]]/B515-1</f>
        <v>6.9434630457941413</v>
      </c>
      <c r="D516" s="3">
        <v>720857739713925</v>
      </c>
      <c r="E516" s="3">
        <f>[1]!nefin_factors__1[[#This Row],[SMB]]/D515-1</f>
        <v>0.37331449803385919</v>
      </c>
      <c r="F516" s="3">
        <v>-249175075592366</v>
      </c>
      <c r="G516" s="3">
        <f>[1]!nefin_factors__1[[#This Row],[HML]]/F515-1</f>
        <v>-1.4246067958067721</v>
      </c>
      <c r="H516" s="3">
        <v>526352619983239</v>
      </c>
      <c r="I516" s="4">
        <f>[1]!nefin_factors__1[[#This Row],[Risk_Free]]/H515-1</f>
        <v>-2.6351143718258419E-3</v>
      </c>
      <c r="J516">
        <v>39955</v>
      </c>
      <c r="K516">
        <v>40261</v>
      </c>
      <c r="L516">
        <v>39426</v>
      </c>
      <c r="M516">
        <v>39514</v>
      </c>
      <c r="N516">
        <v>3383700</v>
      </c>
      <c r="O516">
        <v>39514</v>
      </c>
      <c r="P516">
        <v>-1.0913642052565699E-2</v>
      </c>
      <c r="Q516">
        <v>-1.09736327210704E-2</v>
      </c>
      <c r="R516" s="8">
        <v>10.3023691177368</v>
      </c>
      <c r="S516" s="8">
        <v>1.13269404760112E-2</v>
      </c>
      <c r="T516" s="9">
        <v>1.1263271021387499E-2</v>
      </c>
      <c r="U516" s="12">
        <v>5.2531000000000001E-2</v>
      </c>
      <c r="V516" s="16">
        <v>3.9523999999999999</v>
      </c>
      <c r="W516" s="17">
        <f t="shared" ref="W516:W579" si="8">V516/V515-1</f>
        <v>-2.7250706499798438E-3</v>
      </c>
    </row>
    <row r="517" spans="1:23" x14ac:dyDescent="0.2">
      <c r="A517" s="15">
        <v>42284</v>
      </c>
      <c r="B517" s="5">
        <v>188587297743072</v>
      </c>
      <c r="C517" s="5">
        <f>[1]!nefin_factors__1[[#This Row],[Rm_minus_Rf]]/B516-1</f>
        <v>-0.79925953129435756</v>
      </c>
      <c r="D517" s="5">
        <v>17617100060813</v>
      </c>
      <c r="E517" s="5">
        <f>[1]!nefin_factors__1[[#This Row],[SMB]]/D516-1</f>
        <v>-0.97556091987331039</v>
      </c>
      <c r="F517" s="5">
        <v>-235370825121661</v>
      </c>
      <c r="G517" s="5">
        <f>[1]!nefin_factors__1[[#This Row],[HML]]/F516-1</f>
        <v>-5.5399804486416016E-2</v>
      </c>
      <c r="H517" s="5">
        <v>527048012584741</v>
      </c>
      <c r="I517" s="6">
        <f>[1]!nefin_factors__1[[#This Row],[Risk_Free]]/H516-1</f>
        <v>1.3211534912169753E-3</v>
      </c>
      <c r="J517">
        <v>39518</v>
      </c>
      <c r="K517">
        <v>40050</v>
      </c>
      <c r="L517">
        <v>38822</v>
      </c>
      <c r="M517">
        <v>38944</v>
      </c>
      <c r="N517">
        <v>3569600</v>
      </c>
      <c r="O517">
        <v>38944</v>
      </c>
      <c r="P517">
        <v>-1.4425266993976799E-2</v>
      </c>
      <c r="Q517">
        <v>-1.45303226860967E-2</v>
      </c>
      <c r="R517" s="8">
        <v>10.129289627075201</v>
      </c>
      <c r="S517" s="8">
        <v>-1.6800016867165798E-2</v>
      </c>
      <c r="T517" s="9">
        <v>-1.69427378856883E-2</v>
      </c>
      <c r="U517" s="12">
        <v>5.2531000000000001E-2</v>
      </c>
      <c r="V517" s="16">
        <v>3.9186000000000001</v>
      </c>
      <c r="W517" s="17">
        <f t="shared" si="8"/>
        <v>-8.5517660155853825E-3</v>
      </c>
    </row>
    <row r="518" spans="1:23" x14ac:dyDescent="0.2">
      <c r="A518" s="14">
        <v>42285</v>
      </c>
      <c r="B518" s="3">
        <v>111019802694874</v>
      </c>
      <c r="C518" s="3">
        <f>[1]!nefin_factors__1[[#This Row],[Rm_minus_Rf]]/B517-1</f>
        <v>-0.41130816325643837</v>
      </c>
      <c r="D518" s="3">
        <v>262152878951107</v>
      </c>
      <c r="E518" s="3">
        <f>[1]!nefin_factors__1[[#This Row],[SMB]]/D517-1</f>
        <v>13.88059204103817</v>
      </c>
      <c r="F518" s="3">
        <v>-534211399263673</v>
      </c>
      <c r="G518" s="3">
        <f>[1]!nefin_factors__1[[#This Row],[HML]]/F517-1</f>
        <v>1.2696585228332529</v>
      </c>
      <c r="H518" s="3">
        <v>526004878184771</v>
      </c>
      <c r="I518" s="4">
        <f>[1]!nefin_factors__1[[#This Row],[Risk_Free]]/H517-1</f>
        <v>-1.9792018470087269E-3</v>
      </c>
      <c r="J518">
        <v>38944</v>
      </c>
      <c r="K518">
        <v>39502</v>
      </c>
      <c r="L518">
        <v>38459</v>
      </c>
      <c r="M518">
        <v>39500</v>
      </c>
      <c r="N518">
        <v>3868600</v>
      </c>
      <c r="O518">
        <v>39500</v>
      </c>
      <c r="P518">
        <v>1.4276910435497199E-2</v>
      </c>
      <c r="Q518">
        <v>1.4175955101959599E-2</v>
      </c>
      <c r="R518" s="8">
        <v>10.310610771179199</v>
      </c>
      <c r="S518" s="8">
        <v>1.7900639271522599E-2</v>
      </c>
      <c r="T518" s="9">
        <v>1.7742309505749301E-2</v>
      </c>
      <c r="U518" s="12">
        <v>5.2531000000000001E-2</v>
      </c>
      <c r="V518" s="16">
        <v>3.8492000000000002</v>
      </c>
      <c r="W518" s="17">
        <f t="shared" si="8"/>
        <v>-1.7710406777930898E-2</v>
      </c>
    </row>
    <row r="519" spans="1:23" x14ac:dyDescent="0.2">
      <c r="A519" s="15">
        <v>42286</v>
      </c>
      <c r="B519" s="5">
        <v>421103838563483</v>
      </c>
      <c r="C519" s="5">
        <f>[1]!nefin_factors__1[[#This Row],[Rm_minus_Rf]]/B518-1</f>
        <v>2.7930515848676265</v>
      </c>
      <c r="D519" s="5">
        <v>180383739673532</v>
      </c>
      <c r="E519" s="5">
        <f>[1]!nefin_factors__1[[#This Row],[SMB]]/D518-1</f>
        <v>-0.31191394733004407</v>
      </c>
      <c r="F519" s="5">
        <v>-357109930251107</v>
      </c>
      <c r="G519" s="5">
        <f>[1]!nefin_factors__1[[#This Row],[HML]]/F518-1</f>
        <v>-0.33151944952255363</v>
      </c>
      <c r="H519" s="5">
        <v>526352619983239</v>
      </c>
      <c r="I519" s="6">
        <f>[1]!nefin_factors__1[[#This Row],[Risk_Free]]/H518-1</f>
        <v>6.6109994962038066E-4</v>
      </c>
      <c r="J519">
        <v>39494</v>
      </c>
      <c r="K519">
        <v>39494</v>
      </c>
      <c r="L519">
        <v>37986</v>
      </c>
      <c r="M519">
        <v>38569</v>
      </c>
      <c r="N519">
        <v>4076400</v>
      </c>
      <c r="O519">
        <v>38569</v>
      </c>
      <c r="P519">
        <v>-2.35696202531646E-2</v>
      </c>
      <c r="Q519">
        <v>-2.38518269092283E-2</v>
      </c>
      <c r="R519" s="8">
        <v>10.071596145629901</v>
      </c>
      <c r="S519" s="8">
        <v>-2.31813047108245E-2</v>
      </c>
      <c r="T519" s="9">
        <v>-2.34542170473638E-2</v>
      </c>
      <c r="U519" s="12">
        <v>5.2531000000000001E-2</v>
      </c>
      <c r="V519" s="16">
        <v>3.9047999999999998</v>
      </c>
      <c r="W519" s="17">
        <f t="shared" si="8"/>
        <v>1.4444559908552312E-2</v>
      </c>
    </row>
    <row r="520" spans="1:23" x14ac:dyDescent="0.2">
      <c r="A520" s="14">
        <v>42290</v>
      </c>
      <c r="B520" s="3">
        <v>-361311683359817</v>
      </c>
      <c r="C520" s="3">
        <f>[1]!nefin_factors__1[[#This Row],[Rm_minus_Rf]]/B519-1</f>
        <v>-1.8580108996212532</v>
      </c>
      <c r="D520" s="3">
        <v>-511007302642846</v>
      </c>
      <c r="E520" s="3">
        <f>[1]!nefin_factors__1[[#This Row],[SMB]]/D519-1</f>
        <v>-3.8328900574280915</v>
      </c>
      <c r="F520" s="3">
        <v>-13234864969084</v>
      </c>
      <c r="G520" s="3">
        <f>[1]!nefin_factors__1[[#This Row],[HML]]/F519-1</f>
        <v>-0.96293896123309231</v>
      </c>
      <c r="H520" s="3">
        <v>526352619983239</v>
      </c>
      <c r="I520" s="4">
        <f>[1]!nefin_factors__1[[#This Row],[Risk_Free]]/H519-1</f>
        <v>0</v>
      </c>
      <c r="J520">
        <v>38572</v>
      </c>
      <c r="K520">
        <v>38633</v>
      </c>
      <c r="L520">
        <v>37937</v>
      </c>
      <c r="M520">
        <v>37937</v>
      </c>
      <c r="N520">
        <v>2161200</v>
      </c>
      <c r="O520">
        <v>37937</v>
      </c>
      <c r="P520">
        <v>-1.6386216909953601E-2</v>
      </c>
      <c r="Q520">
        <v>-1.6521955836646101E-2</v>
      </c>
      <c r="R520" s="8">
        <v>10.211709022521999</v>
      </c>
      <c r="S520" s="8">
        <v>1.39116725723951E-2</v>
      </c>
      <c r="T520" s="9">
        <v>1.38157934581064E-2</v>
      </c>
      <c r="U520" s="12">
        <v>5.2531000000000001E-2</v>
      </c>
      <c r="V520" s="16">
        <v>3.9047999999999998</v>
      </c>
      <c r="W520" s="17">
        <f t="shared" si="8"/>
        <v>0</v>
      </c>
    </row>
    <row r="521" spans="1:23" x14ac:dyDescent="0.2">
      <c r="A521" s="15">
        <v>42291</v>
      </c>
      <c r="B521" s="5">
        <v>-139900031451018</v>
      </c>
      <c r="C521" s="5">
        <f>[1]!nefin_factors__1[[#This Row],[Rm_minus_Rf]]/B520-1</f>
        <v>-0.61279959133871487</v>
      </c>
      <c r="D521" s="5">
        <v>614647886316041</v>
      </c>
      <c r="E521" s="5">
        <f>[1]!nefin_factors__1[[#This Row],[SMB]]/D520-1</f>
        <v>-2.2028162477075823</v>
      </c>
      <c r="F521" s="5">
        <v>-199596216029778</v>
      </c>
      <c r="G521" s="5">
        <f>[1]!nefin_factors__1[[#This Row],[HML]]/F520-1</f>
        <v>14.081091986659859</v>
      </c>
      <c r="H521" s="5">
        <v>526352619983239</v>
      </c>
      <c r="I521" s="6">
        <f>[1]!nefin_factors__1[[#This Row],[Risk_Free]]/H520-1</f>
        <v>0</v>
      </c>
      <c r="J521">
        <v>37941</v>
      </c>
      <c r="K521">
        <v>38857</v>
      </c>
      <c r="L521">
        <v>37941</v>
      </c>
      <c r="M521">
        <v>38057</v>
      </c>
      <c r="N521">
        <v>3044900</v>
      </c>
      <c r="O521">
        <v>38057</v>
      </c>
      <c r="P521">
        <v>3.1631388881567801E-3</v>
      </c>
      <c r="Q521">
        <v>3.1581466889199698E-3</v>
      </c>
      <c r="R521" s="8">
        <v>10.2364339828491</v>
      </c>
      <c r="S521" s="8">
        <v>2.4211800886391201E-3</v>
      </c>
      <c r="T521" s="9">
        <v>2.4182537546309302E-3</v>
      </c>
      <c r="U521" s="12">
        <v>5.2531000000000001E-2</v>
      </c>
      <c r="V521" s="16">
        <v>4.0387000000000004</v>
      </c>
      <c r="W521" s="17">
        <f t="shared" si="8"/>
        <v>3.4291128867035559E-2</v>
      </c>
    </row>
    <row r="522" spans="1:23" x14ac:dyDescent="0.2">
      <c r="A522" s="14">
        <v>42292</v>
      </c>
      <c r="B522" s="3">
        <v>100565980597005</v>
      </c>
      <c r="C522" s="3">
        <f>[1]!nefin_factors__1[[#This Row],[Rm_minus_Rf]]/B521-1</f>
        <v>-1.7188417297262388</v>
      </c>
      <c r="D522" s="3">
        <v>-29067683607245</v>
      </c>
      <c r="E522" s="3">
        <f>[1]!nefin_factors__1[[#This Row],[SMB]]/D521-1</f>
        <v>-1.0472916026466232</v>
      </c>
      <c r="F522" s="3">
        <v>15858383862172</v>
      </c>
      <c r="G522" s="3">
        <f>[1]!nefin_factors__1[[#This Row],[HML]]/F521-1</f>
        <v>-1.0794523271914438</v>
      </c>
      <c r="H522" s="3">
        <v>525657106047905</v>
      </c>
      <c r="I522" s="4">
        <f>[1]!nefin_factors__1[[#This Row],[Risk_Free]]/H521-1</f>
        <v>-1.3213840093664331E-3</v>
      </c>
      <c r="J522">
        <v>38056</v>
      </c>
      <c r="K522">
        <v>38056</v>
      </c>
      <c r="L522">
        <v>37046</v>
      </c>
      <c r="M522">
        <v>37645</v>
      </c>
      <c r="N522">
        <v>3958400</v>
      </c>
      <c r="O522">
        <v>37645</v>
      </c>
      <c r="P522">
        <v>-1.08258664634627E-2</v>
      </c>
      <c r="Q522">
        <v>-1.0884892548036099E-2</v>
      </c>
      <c r="R522" s="8">
        <v>10.2199506759644</v>
      </c>
      <c r="S522" s="8">
        <v>-1.6101879005104801E-3</v>
      </c>
      <c r="T522" s="9">
        <v>-1.6114856463114401E-3</v>
      </c>
      <c r="U522" s="12">
        <v>5.2531000000000001E-2</v>
      </c>
      <c r="V522" s="16">
        <v>4.0114000000000001</v>
      </c>
      <c r="W522" s="17">
        <f t="shared" si="8"/>
        <v>-6.7596008616634951E-3</v>
      </c>
    </row>
    <row r="523" spans="1:23" x14ac:dyDescent="0.2">
      <c r="A523" s="15">
        <v>42293</v>
      </c>
      <c r="B523" s="5">
        <v>178620608620983</v>
      </c>
      <c r="C523" s="5">
        <f>[1]!nefin_factors__1[[#This Row],[Rm_minus_Rf]]/B522-1</f>
        <v>0.77615340257819332</v>
      </c>
      <c r="D523" s="5">
        <v>-200254486625355</v>
      </c>
      <c r="E523" s="5">
        <f>[1]!nefin_factors__1[[#This Row],[SMB]]/D522-1</f>
        <v>5.8892481881646184</v>
      </c>
      <c r="F523" s="5">
        <v>823866657954422</v>
      </c>
      <c r="G523" s="5">
        <f>[1]!nefin_factors__1[[#This Row],[HML]]/F522-1</f>
        <v>50.951489200588902</v>
      </c>
      <c r="H523" s="5">
        <v>526004878184771</v>
      </c>
      <c r="I523" s="6">
        <f>[1]!nefin_factors__1[[#This Row],[Risk_Free]]/H522-1</f>
        <v>6.6159504525797885E-4</v>
      </c>
      <c r="J523">
        <v>37647</v>
      </c>
      <c r="K523">
        <v>38079</v>
      </c>
      <c r="L523">
        <v>37495</v>
      </c>
      <c r="M523">
        <v>37717</v>
      </c>
      <c r="N523">
        <v>3773600</v>
      </c>
      <c r="O523">
        <v>37717</v>
      </c>
      <c r="P523">
        <v>1.91260459556375E-3</v>
      </c>
      <c r="Q523">
        <v>1.91077789619249E-3</v>
      </c>
      <c r="R523" s="8">
        <v>10.343579292297401</v>
      </c>
      <c r="S523" s="8">
        <v>1.2096742106233901E-2</v>
      </c>
      <c r="T523" s="9">
        <v>1.2024161263000399E-2</v>
      </c>
      <c r="U523" s="12">
        <v>5.2531000000000001E-2</v>
      </c>
      <c r="V523" s="16">
        <v>4.0303000000000004</v>
      </c>
      <c r="W523" s="17">
        <f t="shared" si="8"/>
        <v>4.7115720197439259E-3</v>
      </c>
    </row>
    <row r="524" spans="1:23" x14ac:dyDescent="0.2">
      <c r="A524" s="14">
        <v>42296</v>
      </c>
      <c r="B524" s="3">
        <v>440529599725805</v>
      </c>
      <c r="C524" s="3">
        <f>[1]!nefin_factors__1[[#This Row],[Rm_minus_Rf]]/B523-1</f>
        <v>1.4662865227414463</v>
      </c>
      <c r="D524" s="3">
        <v>-104550484520756</v>
      </c>
      <c r="E524" s="3">
        <f>[1]!nefin_factors__1[[#This Row],[SMB]]/D523-1</f>
        <v>-0.47791189959027636</v>
      </c>
      <c r="F524" s="3">
        <v>-277623833011521</v>
      </c>
      <c r="G524" s="3">
        <f>[1]!nefin_factors__1[[#This Row],[HML]]/F523-1</f>
        <v>-1.3369766579713676</v>
      </c>
      <c r="H524" s="3">
        <v>526004878184771</v>
      </c>
      <c r="I524" s="4">
        <f>[1]!nefin_factors__1[[#This Row],[Risk_Free]]/H523-1</f>
        <v>0</v>
      </c>
      <c r="J524">
        <v>37737</v>
      </c>
      <c r="K524">
        <v>38444</v>
      </c>
      <c r="L524">
        <v>37737</v>
      </c>
      <c r="M524">
        <v>38031</v>
      </c>
      <c r="N524">
        <v>4197500</v>
      </c>
      <c r="O524">
        <v>38031</v>
      </c>
      <c r="P524">
        <v>8.3251584166290603E-3</v>
      </c>
      <c r="Q524">
        <v>8.2906954264211196E-3</v>
      </c>
      <c r="R524" s="8">
        <v>10.6320447921753</v>
      </c>
      <c r="S524" s="8">
        <v>2.78884394743442E-2</v>
      </c>
      <c r="T524" s="9">
        <v>2.7506639231928001E-2</v>
      </c>
      <c r="U524" s="12">
        <v>5.2531000000000001E-2</v>
      </c>
      <c r="V524" s="16">
        <v>4.0475000000000003</v>
      </c>
      <c r="W524" s="17">
        <f t="shared" si="8"/>
        <v>4.2676723817085538E-3</v>
      </c>
    </row>
    <row r="525" spans="1:23" x14ac:dyDescent="0.2">
      <c r="A525" s="15">
        <v>42297</v>
      </c>
      <c r="B525" s="5">
        <v>-690018583376768</v>
      </c>
      <c r="C525" s="5">
        <f>[1]!nefin_factors__1[[#This Row],[Rm_minus_Rf]]/B524-1</f>
        <v>-2.566338751825644</v>
      </c>
      <c r="D525" s="5">
        <v>190000452242356</v>
      </c>
      <c r="E525" s="5">
        <f>[1]!nefin_factors__1[[#This Row],[SMB]]/D524-1</f>
        <v>-2.8173081943454403</v>
      </c>
      <c r="F525" s="5">
        <v>-251553071472884</v>
      </c>
      <c r="G525" s="5">
        <f>[1]!nefin_factors__1[[#This Row],[HML]]/F524-1</f>
        <v>-9.3906784788016062E-2</v>
      </c>
      <c r="H525" s="5">
        <v>526004878184771</v>
      </c>
      <c r="I525" s="6">
        <f>[1]!nefin_factors__1[[#This Row],[Risk_Free]]/H524-1</f>
        <v>0</v>
      </c>
      <c r="J525">
        <v>38031</v>
      </c>
      <c r="K525">
        <v>38031</v>
      </c>
      <c r="L525">
        <v>37112</v>
      </c>
      <c r="M525">
        <v>37497</v>
      </c>
      <c r="N525">
        <v>3607000</v>
      </c>
      <c r="O525">
        <v>37497</v>
      </c>
      <c r="P525">
        <v>-1.40411769346059E-2</v>
      </c>
      <c r="Q525">
        <v>-1.4140686848504801E-2</v>
      </c>
      <c r="R525" s="8">
        <v>10.14577293396</v>
      </c>
      <c r="S525" s="8">
        <v>-4.5736514646364503E-2</v>
      </c>
      <c r="T525" s="9">
        <v>-4.6815455569164097E-2</v>
      </c>
      <c r="U525" s="12">
        <v>5.2531000000000001E-2</v>
      </c>
      <c r="V525" s="16">
        <v>4.0250000000000004</v>
      </c>
      <c r="W525" s="17">
        <f t="shared" si="8"/>
        <v>-5.5589870290302379E-3</v>
      </c>
    </row>
    <row r="526" spans="1:23" x14ac:dyDescent="0.2">
      <c r="A526" s="14">
        <v>42298</v>
      </c>
      <c r="B526" s="3">
        <v>-147631701115994</v>
      </c>
      <c r="C526" s="3">
        <f>[1]!nefin_factors__1[[#This Row],[Rm_minus_Rf]]/B525-1</f>
        <v>-0.78604677515564347</v>
      </c>
      <c r="D526" s="3">
        <v>802700366452778</v>
      </c>
      <c r="E526" s="3">
        <f>[1]!nefin_factors__1[[#This Row],[SMB]]/D525-1</f>
        <v>3.2247287150079496</v>
      </c>
      <c r="F526" s="3">
        <v>75407557525093</v>
      </c>
      <c r="G526" s="3">
        <f>[1]!nefin_factors__1[[#This Row],[HML]]/F525-1</f>
        <v>-1.2997679856722462</v>
      </c>
      <c r="H526" s="3">
        <v>526004878184771</v>
      </c>
      <c r="I526" s="4">
        <f>[1]!nefin_factors__1[[#This Row],[Risk_Free]]/H525-1</f>
        <v>0</v>
      </c>
      <c r="J526">
        <v>37501</v>
      </c>
      <c r="K526">
        <v>38766</v>
      </c>
      <c r="L526">
        <v>37402</v>
      </c>
      <c r="M526">
        <v>38376</v>
      </c>
      <c r="N526">
        <v>4648600</v>
      </c>
      <c r="O526">
        <v>38376</v>
      </c>
      <c r="P526">
        <v>2.3441875350028101E-2</v>
      </c>
      <c r="Q526">
        <v>2.3171334423568401E-2</v>
      </c>
      <c r="R526" s="8">
        <v>10.763916015625</v>
      </c>
      <c r="S526" s="8">
        <v>6.0926125156803401E-2</v>
      </c>
      <c r="T526" s="9">
        <v>5.9142229645815399E-2</v>
      </c>
      <c r="U526" s="12">
        <v>5.2531000000000001E-2</v>
      </c>
      <c r="V526" s="16">
        <v>4.0152999999999999</v>
      </c>
      <c r="W526" s="17">
        <f t="shared" si="8"/>
        <v>-2.4099378881988764E-3</v>
      </c>
    </row>
    <row r="527" spans="1:23" x14ac:dyDescent="0.2">
      <c r="A527" s="15">
        <v>42299</v>
      </c>
      <c r="B527" s="5">
        <v>122126645310175</v>
      </c>
      <c r="C527" s="5">
        <f>[1]!nefin_factors__1[[#This Row],[Rm_minus_Rf]]/B526-1</f>
        <v>-1.8272386241368328</v>
      </c>
      <c r="D527" s="5">
        <v>-734389128774938</v>
      </c>
      <c r="E527" s="5">
        <f>[1]!nefin_factors__1[[#This Row],[SMB]]/D526-1</f>
        <v>-1.9148982104247505</v>
      </c>
      <c r="F527" s="5">
        <v>-281769435053848</v>
      </c>
      <c r="G527" s="5">
        <f>[1]!nefin_factors__1[[#This Row],[HML]]/F526-1</f>
        <v>-4.7366206293060875</v>
      </c>
      <c r="H527" s="5">
        <v>525657106047905</v>
      </c>
      <c r="I527" s="6">
        <f>[1]!nefin_factors__1[[#This Row],[Risk_Free]]/H526-1</f>
        <v>-6.611576266482011E-4</v>
      </c>
      <c r="J527">
        <v>38376</v>
      </c>
      <c r="K527">
        <v>39100</v>
      </c>
      <c r="L527">
        <v>37996</v>
      </c>
      <c r="M527">
        <v>38630</v>
      </c>
      <c r="N527">
        <v>4464600</v>
      </c>
      <c r="O527">
        <v>38630</v>
      </c>
      <c r="P527">
        <v>6.6187200333542896E-3</v>
      </c>
      <c r="Q527">
        <v>6.5969124784272396E-3</v>
      </c>
      <c r="R527" s="8">
        <v>10.557868003845201</v>
      </c>
      <c r="S527" s="8">
        <v>-1.9142306533600498E-2</v>
      </c>
      <c r="T527" s="9">
        <v>-1.9327892664771501E-2</v>
      </c>
      <c r="U527" s="12">
        <v>5.2531000000000001E-2</v>
      </c>
      <c r="V527" s="16">
        <v>4.0298999999999996</v>
      </c>
      <c r="W527" s="17">
        <f t="shared" si="8"/>
        <v>3.6360919482976151E-3</v>
      </c>
    </row>
    <row r="528" spans="1:23" x14ac:dyDescent="0.2">
      <c r="A528" s="14">
        <v>42300</v>
      </c>
      <c r="B528" s="3">
        <v>-368400998190181</v>
      </c>
      <c r="C528" s="3">
        <f>[1]!nefin_factors__1[[#This Row],[Rm_minus_Rf]]/B527-1</f>
        <v>-4.0165489050691843</v>
      </c>
      <c r="D528" s="3">
        <v>104936715096824</v>
      </c>
      <c r="E528" s="3">
        <f>[1]!nefin_factors__1[[#This Row],[SMB]]/D527-1</f>
        <v>-1.1428897991339726</v>
      </c>
      <c r="F528" s="3">
        <v>-22324647822525</v>
      </c>
      <c r="G528" s="3">
        <f>[1]!nefin_factors__1[[#This Row],[HML]]/F527-1</f>
        <v>-0.92076980309003842</v>
      </c>
      <c r="H528" s="3">
        <v>525657106047905</v>
      </c>
      <c r="I528" s="4">
        <f>[1]!nefin_factors__1[[#This Row],[Risk_Free]]/H527-1</f>
        <v>0</v>
      </c>
      <c r="J528">
        <v>38635</v>
      </c>
      <c r="K528">
        <v>40406</v>
      </c>
      <c r="L528">
        <v>38635</v>
      </c>
      <c r="M528">
        <v>40406</v>
      </c>
      <c r="N528">
        <v>5475700</v>
      </c>
      <c r="O528">
        <v>40406</v>
      </c>
      <c r="P528">
        <v>4.5974631115713198E-2</v>
      </c>
      <c r="Q528">
        <v>4.4949112113160897E-2</v>
      </c>
      <c r="R528" s="8">
        <v>10.3023691177368</v>
      </c>
      <c r="S528" s="8">
        <v>-2.41999672575486E-2</v>
      </c>
      <c r="T528" s="9">
        <v>-2.4497598045931199E-2</v>
      </c>
      <c r="U528" s="12">
        <v>5.2531000000000001E-2</v>
      </c>
      <c r="V528" s="16">
        <v>3.9863</v>
      </c>
      <c r="W528" s="17">
        <f t="shared" si="8"/>
        <v>-1.0819127025484376E-2</v>
      </c>
    </row>
    <row r="529" spans="1:23" x14ac:dyDescent="0.2">
      <c r="A529" s="15">
        <v>42303</v>
      </c>
      <c r="B529" s="5">
        <v>-711076513812623</v>
      </c>
      <c r="C529" s="5">
        <f>[1]!nefin_factors__1[[#This Row],[Rm_minus_Rf]]/B528-1</f>
        <v>0.93016988907706866</v>
      </c>
      <c r="D529" s="5">
        <v>708691428962814</v>
      </c>
      <c r="E529" s="5">
        <f>[1]!nefin_factors__1[[#This Row],[SMB]]/D528-1</f>
        <v>5.7535126129011367</v>
      </c>
      <c r="F529" s="5">
        <v>-7510367763.9530401</v>
      </c>
      <c r="G529" s="5">
        <f>[1]!nefin_factors__1[[#This Row],[HML]]/F528-1</f>
        <v>-0.99966358404290812</v>
      </c>
      <c r="H529" s="5">
        <v>526004878184771</v>
      </c>
      <c r="I529" s="6">
        <f>[1]!nefin_factors__1[[#This Row],[Risk_Free]]/H528-1</f>
        <v>6.6159504525797885E-4</v>
      </c>
      <c r="J529">
        <v>40397</v>
      </c>
      <c r="K529">
        <v>40570</v>
      </c>
      <c r="L529">
        <v>39738</v>
      </c>
      <c r="M529">
        <v>40570</v>
      </c>
      <c r="N529">
        <v>3661700</v>
      </c>
      <c r="O529">
        <v>40570</v>
      </c>
      <c r="P529">
        <v>4.0588031480472998E-3</v>
      </c>
      <c r="Q529">
        <v>4.0505884270050701E-3</v>
      </c>
      <c r="R529" s="8">
        <v>10.3023691177368</v>
      </c>
      <c r="S529" s="8">
        <v>0</v>
      </c>
      <c r="T529" s="9">
        <v>0</v>
      </c>
      <c r="U529" s="12">
        <v>5.2531000000000001E-2</v>
      </c>
      <c r="V529" s="16">
        <v>4.0223000000000004</v>
      </c>
      <c r="W529" s="17">
        <f t="shared" si="8"/>
        <v>9.0309309384644099E-3</v>
      </c>
    </row>
    <row r="530" spans="1:23" x14ac:dyDescent="0.2">
      <c r="A530" s="14">
        <v>42304</v>
      </c>
      <c r="B530" s="3">
        <v>-306042280388873</v>
      </c>
      <c r="C530" s="3">
        <f>[1]!nefin_factors__1[[#This Row],[Rm_minus_Rf]]/B529-1</f>
        <v>-0.5696071035338417</v>
      </c>
      <c r="D530" s="3">
        <v>-661802563333141</v>
      </c>
      <c r="E530" s="3">
        <f>[1]!nefin_factors__1[[#This Row],[SMB]]/D529-1</f>
        <v>-1.9338374026925993</v>
      </c>
      <c r="F530" s="3">
        <v>-134570579290855</v>
      </c>
      <c r="G530" s="3">
        <f>[1]!nefin_factors__1[[#This Row],[HML]]/F529-1</f>
        <v>17916.974661206808</v>
      </c>
      <c r="H530" s="3">
        <v>526004878184771</v>
      </c>
      <c r="I530" s="4">
        <f>[1]!nefin_factors__1[[#This Row],[Risk_Free]]/H529-1</f>
        <v>0</v>
      </c>
      <c r="J530">
        <v>40564</v>
      </c>
      <c r="K530">
        <v>40564</v>
      </c>
      <c r="L530">
        <v>38596</v>
      </c>
      <c r="M530">
        <v>38596</v>
      </c>
      <c r="N530">
        <v>4425300</v>
      </c>
      <c r="O530">
        <v>38596</v>
      </c>
      <c r="P530">
        <v>-4.86566428395366E-2</v>
      </c>
      <c r="Q530">
        <v>-4.98802330602185E-2</v>
      </c>
      <c r="R530" s="8">
        <v>10.3023691177368</v>
      </c>
      <c r="S530" s="8">
        <v>0</v>
      </c>
      <c r="T530" s="9">
        <v>0</v>
      </c>
      <c r="U530" s="12">
        <v>5.2531000000000001E-2</v>
      </c>
      <c r="V530" s="16">
        <v>4.0401999999999996</v>
      </c>
      <c r="W530" s="17">
        <f t="shared" si="8"/>
        <v>4.4501901896922824E-3</v>
      </c>
    </row>
    <row r="531" spans="1:23" x14ac:dyDescent="0.2">
      <c r="A531" s="15">
        <v>42305</v>
      </c>
      <c r="B531" s="5">
        <v>-799758456290949</v>
      </c>
      <c r="C531" s="5">
        <f>[1]!nefin_factors__1[[#This Row],[Rm_minus_Rf]]/B530-1</f>
        <v>1.6132286534877958</v>
      </c>
      <c r="D531" s="5">
        <v>-111146429038961</v>
      </c>
      <c r="E531" s="5">
        <f>[1]!nefin_factors__1[[#This Row],[SMB]]/D530-1</f>
        <v>-0.83205500371715602</v>
      </c>
      <c r="F531" s="5">
        <v>125161889540158</v>
      </c>
      <c r="G531" s="5">
        <f>[1]!nefin_factors__1[[#This Row],[HML]]/F530-1</f>
        <v>-1.9300836051960402</v>
      </c>
      <c r="H531" s="5">
        <v>526352619983239</v>
      </c>
      <c r="I531" s="6">
        <f>[1]!nefin_factors__1[[#This Row],[Risk_Free]]/H530-1</f>
        <v>6.6109994962038066E-4</v>
      </c>
      <c r="J531">
        <v>38597</v>
      </c>
      <c r="K531">
        <v>39726</v>
      </c>
      <c r="L531">
        <v>38597</v>
      </c>
      <c r="M531">
        <v>39589</v>
      </c>
      <c r="N531">
        <v>4238100</v>
      </c>
      <c r="O531">
        <v>39589</v>
      </c>
      <c r="P531">
        <v>2.5728054720696399E-2</v>
      </c>
      <c r="Q531">
        <v>2.5402657737126799E-2</v>
      </c>
      <c r="R531" s="8">
        <v>10.055112838745099</v>
      </c>
      <c r="S531" s="8">
        <v>-2.4000038370803702E-2</v>
      </c>
      <c r="T531" s="9">
        <v>-2.4292731883393402E-2</v>
      </c>
      <c r="U531" s="12">
        <v>5.2531000000000001E-2</v>
      </c>
      <c r="V531" s="16">
        <v>4.0364000000000004</v>
      </c>
      <c r="W531" s="17">
        <f t="shared" si="8"/>
        <v>-9.4054749764838075E-4</v>
      </c>
    </row>
    <row r="532" spans="1:23" x14ac:dyDescent="0.2">
      <c r="A532" s="14">
        <v>42306</v>
      </c>
      <c r="B532" s="3">
        <v>-232148297456834</v>
      </c>
      <c r="C532" s="3">
        <f>[1]!nefin_factors__1[[#This Row],[Rm_minus_Rf]]/B531-1</f>
        <v>-0.7097269861534552</v>
      </c>
      <c r="D532" s="3">
        <v>118919046014294</v>
      </c>
      <c r="E532" s="3">
        <f>[1]!nefin_factors__1[[#This Row],[SMB]]/D531-1</f>
        <v>-2.0699313243127984</v>
      </c>
      <c r="F532" s="3">
        <v>111336735205887</v>
      </c>
      <c r="G532" s="3">
        <f>[1]!nefin_factors__1[[#This Row],[HML]]/F531-1</f>
        <v>-0.11045817848439576</v>
      </c>
      <c r="H532" s="3">
        <v>526004878184771</v>
      </c>
      <c r="I532" s="4">
        <f>[1]!nefin_factors__1[[#This Row],[Risk_Free]]/H531-1</f>
        <v>-6.6066318522184364E-4</v>
      </c>
      <c r="J532">
        <v>39589</v>
      </c>
      <c r="K532">
        <v>41444</v>
      </c>
      <c r="L532">
        <v>39589</v>
      </c>
      <c r="M532">
        <v>40822</v>
      </c>
      <c r="N532">
        <v>5388500</v>
      </c>
      <c r="O532">
        <v>40822</v>
      </c>
      <c r="P532">
        <v>3.11450150294275E-2</v>
      </c>
      <c r="Q532">
        <v>3.0669849876586799E-2</v>
      </c>
      <c r="R532" s="8">
        <v>10.3023691177368</v>
      </c>
      <c r="S532" s="8">
        <v>2.4590204215522202E-2</v>
      </c>
      <c r="T532" s="9">
        <v>2.4292731883393402E-2</v>
      </c>
      <c r="U532" s="12">
        <v>5.2531000000000001E-2</v>
      </c>
      <c r="V532" s="16">
        <v>4.0303000000000004</v>
      </c>
      <c r="W532" s="17">
        <f t="shared" si="8"/>
        <v>-1.511247646417635E-3</v>
      </c>
    </row>
    <row r="533" spans="1:23" x14ac:dyDescent="0.2">
      <c r="A533" s="15">
        <v>42307</v>
      </c>
      <c r="B533" s="5">
        <v>531718547731257</v>
      </c>
      <c r="C533" s="5">
        <f>[1]!nefin_factors__1[[#This Row],[Rm_minus_Rf]]/B532-1</f>
        <v>-3.2904262213257263</v>
      </c>
      <c r="D533" s="5">
        <v>-562316239968222</v>
      </c>
      <c r="E533" s="5">
        <f>[1]!nefin_factors__1[[#This Row],[SMB]]/D532-1</f>
        <v>-5.7285633278678665</v>
      </c>
      <c r="F533" s="5">
        <v>465058240976464</v>
      </c>
      <c r="G533" s="5">
        <f>[1]!nefin_factors__1[[#This Row],[HML]]/F532-1</f>
        <v>3.1770421965083253</v>
      </c>
      <c r="H533" s="5">
        <v>526352619983239</v>
      </c>
      <c r="I533" s="6">
        <f>[1]!nefin_factors__1[[#This Row],[Risk_Free]]/H532-1</f>
        <v>6.6109994962038066E-4</v>
      </c>
      <c r="J533">
        <v>40812</v>
      </c>
      <c r="K533">
        <v>41249</v>
      </c>
      <c r="L533">
        <v>40566</v>
      </c>
      <c r="M533">
        <v>40592</v>
      </c>
      <c r="N533">
        <v>3669000</v>
      </c>
      <c r="O533">
        <v>40592</v>
      </c>
      <c r="P533">
        <v>-5.6342168438586696E-3</v>
      </c>
      <c r="Q533">
        <v>-5.6501489149247798E-3</v>
      </c>
      <c r="R533" s="8">
        <v>9.9067583084106392</v>
      </c>
      <c r="S533" s="8">
        <v>-3.8399881530143697E-2</v>
      </c>
      <c r="T533" s="9">
        <v>-3.9156592000435801E-2</v>
      </c>
      <c r="U533" s="12">
        <v>5.2531000000000001E-2</v>
      </c>
      <c r="V533" s="16">
        <v>4.0861000000000001</v>
      </c>
      <c r="W533" s="17">
        <f t="shared" si="8"/>
        <v>1.3845123191821962E-2</v>
      </c>
    </row>
    <row r="534" spans="1:23" x14ac:dyDescent="0.2">
      <c r="A534" s="14">
        <v>42311</v>
      </c>
      <c r="B534" s="3">
        <v>391648346134549</v>
      </c>
      <c r="C534" s="3">
        <f>[1]!nefin_factors__1[[#This Row],[Rm_minus_Rf]]/B533-1</f>
        <v>-0.26342921869918057</v>
      </c>
      <c r="D534" s="3">
        <v>-168265353391698</v>
      </c>
      <c r="E534" s="3">
        <f>[1]!nefin_factors__1[[#This Row],[SMB]]/D533-1</f>
        <v>-0.70076383815411925</v>
      </c>
      <c r="F534" s="3">
        <v>-370189335133976</v>
      </c>
      <c r="G534" s="3">
        <f>[1]!nefin_factors__1[[#This Row],[HML]]/F533-1</f>
        <v>-1.7960063977292489</v>
      </c>
      <c r="H534" s="3">
        <v>526352619983239</v>
      </c>
      <c r="I534" s="4">
        <f>[1]!nefin_factors__1[[#This Row],[Risk_Free]]/H533-1</f>
        <v>0</v>
      </c>
      <c r="J534">
        <v>40592</v>
      </c>
      <c r="K534">
        <v>40592</v>
      </c>
      <c r="L534">
        <v>39960</v>
      </c>
      <c r="M534">
        <v>40377</v>
      </c>
      <c r="N534">
        <v>3700000</v>
      </c>
      <c r="O534">
        <v>40377</v>
      </c>
      <c r="P534">
        <v>-5.2966101694915703E-3</v>
      </c>
      <c r="Q534">
        <v>-5.3106869372378197E-3</v>
      </c>
      <c r="R534" s="8">
        <v>9.3545513153076207</v>
      </c>
      <c r="S534" s="8">
        <v>-5.5740649950464002E-2</v>
      </c>
      <c r="T534" s="9">
        <v>-5.7354415347480502E-2</v>
      </c>
      <c r="U534" s="12">
        <v>5.2531000000000001E-2</v>
      </c>
      <c r="V534" s="16">
        <v>4.1558000000000002</v>
      </c>
      <c r="W534" s="17">
        <f t="shared" si="8"/>
        <v>1.7057830204840752E-2</v>
      </c>
    </row>
    <row r="535" spans="1:23" x14ac:dyDescent="0.2">
      <c r="A535" s="15">
        <v>42312</v>
      </c>
      <c r="B535" s="5">
        <v>-450731786983724</v>
      </c>
      <c r="C535" s="5">
        <f>[1]!nefin_factors__1[[#This Row],[Rm_minus_Rf]]/B534-1</f>
        <v>-2.1508583948644509</v>
      </c>
      <c r="D535" s="5">
        <v>152374034940454</v>
      </c>
      <c r="E535" s="5">
        <f>[1]!nefin_factors__1[[#This Row],[SMB]]/D534-1</f>
        <v>-1.9055579884335949</v>
      </c>
      <c r="F535" s="5">
        <v>-184543337917976</v>
      </c>
      <c r="G535" s="5">
        <f>[1]!nefin_factors__1[[#This Row],[HML]]/F534-1</f>
        <v>-0.50148931802374175</v>
      </c>
      <c r="H535" s="5">
        <v>526352619983239</v>
      </c>
      <c r="I535" s="6">
        <f>[1]!nefin_factors__1[[#This Row],[Risk_Free]]/H534-1</f>
        <v>0</v>
      </c>
      <c r="J535">
        <v>40370</v>
      </c>
      <c r="K535">
        <v>40370</v>
      </c>
      <c r="L535">
        <v>38928</v>
      </c>
      <c r="M535">
        <v>39318</v>
      </c>
      <c r="N535">
        <v>3794000</v>
      </c>
      <c r="O535">
        <v>39318</v>
      </c>
      <c r="P535">
        <v>-2.6227802957128999E-2</v>
      </c>
      <c r="Q535">
        <v>-2.65778866342734E-2</v>
      </c>
      <c r="R535" s="8">
        <v>8.9012470245361293</v>
      </c>
      <c r="S535" s="8">
        <v>-4.8457957316174E-2</v>
      </c>
      <c r="T535" s="9">
        <v>-4.96714075323113E-2</v>
      </c>
      <c r="U535" s="12">
        <v>5.2531000000000001E-2</v>
      </c>
      <c r="V535" s="16">
        <v>4.1231999999999998</v>
      </c>
      <c r="W535" s="17">
        <f t="shared" si="8"/>
        <v>-7.8444583473700202E-3</v>
      </c>
    </row>
    <row r="536" spans="1:23" x14ac:dyDescent="0.2">
      <c r="A536" s="14">
        <v>42313</v>
      </c>
      <c r="B536" s="3">
        <v>67312728829018</v>
      </c>
      <c r="C536" s="3">
        <f>[1]!nefin_factors__1[[#This Row],[Rm_minus_Rf]]/B535-1</f>
        <v>-1.1493409845342208</v>
      </c>
      <c r="D536" s="3">
        <v>-370350820876103</v>
      </c>
      <c r="E536" s="3">
        <f>[1]!nefin_factors__1[[#This Row],[SMB]]/D535-1</f>
        <v>-3.4305375979630113</v>
      </c>
      <c r="F536" s="3">
        <v>-450921384927847</v>
      </c>
      <c r="G536" s="3">
        <f>[1]!nefin_factors__1[[#This Row],[HML]]/F535-1</f>
        <v>1.4434443963957566</v>
      </c>
      <c r="H536" s="3">
        <v>527048012584741</v>
      </c>
      <c r="I536" s="4">
        <f>[1]!nefin_factors__1[[#This Row],[Risk_Free]]/H535-1</f>
        <v>1.3211534912169753E-3</v>
      </c>
      <c r="J536">
        <v>39324</v>
      </c>
      <c r="K536">
        <v>39901</v>
      </c>
      <c r="L536">
        <v>39324</v>
      </c>
      <c r="M536">
        <v>39808</v>
      </c>
      <c r="N536">
        <v>3327800</v>
      </c>
      <c r="O536">
        <v>39808</v>
      </c>
      <c r="P536">
        <v>1.2462485375655001E-2</v>
      </c>
      <c r="Q536">
        <v>1.23854678312995E-2</v>
      </c>
      <c r="R536" s="8">
        <v>9.2638912200927699</v>
      </c>
      <c r="S536" s="8">
        <v>4.07407557327613E-2</v>
      </c>
      <c r="T536" s="9">
        <v>3.9932724740515201E-2</v>
      </c>
      <c r="U536" s="12">
        <v>5.2531000000000001E-2</v>
      </c>
      <c r="V536" s="16">
        <v>4.1002000000000001</v>
      </c>
      <c r="W536" s="17">
        <f t="shared" si="8"/>
        <v>-5.5781916957702293E-3</v>
      </c>
    </row>
    <row r="537" spans="1:23" x14ac:dyDescent="0.2">
      <c r="A537" s="15">
        <v>42314</v>
      </c>
      <c r="B537" s="5">
        <v>-211812971627244</v>
      </c>
      <c r="C537" s="5">
        <f>[1]!nefin_factors__1[[#This Row],[Rm_minus_Rf]]/B536-1</f>
        <v>-4.1467001161886197</v>
      </c>
      <c r="D537" s="5">
        <v>158185558027108</v>
      </c>
      <c r="E537" s="5">
        <f>[1]!nefin_factors__1[[#This Row],[SMB]]/D536-1</f>
        <v>-1.4271235518066459</v>
      </c>
      <c r="F537" s="5">
        <v>-175018664635149</v>
      </c>
      <c r="G537" s="5">
        <f>[1]!nefin_factors__1[[#This Row],[HML]]/F536-1</f>
        <v>-0.61186435044957088</v>
      </c>
      <c r="H537" s="5">
        <v>527048012584741</v>
      </c>
      <c r="I537" s="6">
        <f>[1]!nefin_factors__1[[#This Row],[Risk_Free]]/H536-1</f>
        <v>0</v>
      </c>
      <c r="J537">
        <v>39808</v>
      </c>
      <c r="K537">
        <v>40671</v>
      </c>
      <c r="L537">
        <v>39808</v>
      </c>
      <c r="M537">
        <v>40093</v>
      </c>
      <c r="N537">
        <v>1694300</v>
      </c>
      <c r="O537">
        <v>40093</v>
      </c>
      <c r="P537">
        <v>7.1593649517684996E-3</v>
      </c>
      <c r="Q537">
        <v>7.1338583667898102E-3</v>
      </c>
      <c r="R537" s="8">
        <v>9.13201999664307</v>
      </c>
      <c r="S537" s="8">
        <v>-1.4234941091871499E-2</v>
      </c>
      <c r="T537" s="9">
        <v>-1.43372297414127E-2</v>
      </c>
      <c r="U537" s="12">
        <v>5.2531000000000001E-2</v>
      </c>
      <c r="V537" s="16">
        <v>4.0967000000000002</v>
      </c>
      <c r="W537" s="17">
        <f t="shared" si="8"/>
        <v>-8.5361689673668639E-4</v>
      </c>
    </row>
    <row r="538" spans="1:23" x14ac:dyDescent="0.2">
      <c r="A538" s="14">
        <v>42317</v>
      </c>
      <c r="B538" s="3">
        <v>-15066301943283</v>
      </c>
      <c r="C538" s="3">
        <f>[1]!nefin_factors__1[[#This Row],[Rm_minus_Rf]]/B537-1</f>
        <v>-0.92886978626692795</v>
      </c>
      <c r="D538" s="3">
        <v>64399202756743</v>
      </c>
      <c r="E538" s="3">
        <f>[1]!nefin_factors__1[[#This Row],[SMB]]/D537-1</f>
        <v>-0.59288822848349398</v>
      </c>
      <c r="F538" s="3">
        <v>-118588563287673</v>
      </c>
      <c r="G538" s="3">
        <f>[1]!nefin_factors__1[[#This Row],[HML]]/F537-1</f>
        <v>-0.3224233339062007</v>
      </c>
      <c r="H538" s="3">
        <v>527048012584741</v>
      </c>
      <c r="I538" s="4">
        <f>[1]!nefin_factors__1[[#This Row],[Risk_Free]]/H537-1</f>
        <v>0</v>
      </c>
      <c r="J538">
        <v>40093</v>
      </c>
      <c r="K538">
        <v>41206</v>
      </c>
      <c r="L538">
        <v>40074</v>
      </c>
      <c r="M538">
        <v>40948</v>
      </c>
      <c r="N538">
        <v>3921300</v>
      </c>
      <c r="O538">
        <v>40948</v>
      </c>
      <c r="P538">
        <v>2.1325418402214899E-2</v>
      </c>
      <c r="Q538">
        <v>2.1101213574020401E-2</v>
      </c>
      <c r="R538" s="8">
        <v>9.1897144317627006</v>
      </c>
      <c r="S538" s="8">
        <v>6.3178459080945899E-3</v>
      </c>
      <c r="T538" s="9">
        <v>6.2979719826450299E-3</v>
      </c>
      <c r="U538" s="12">
        <v>5.2531000000000001E-2</v>
      </c>
      <c r="V538" s="16">
        <v>4.0448000000000004</v>
      </c>
      <c r="W538" s="17">
        <f t="shared" si="8"/>
        <v>-1.2668733370761798E-2</v>
      </c>
    </row>
    <row r="539" spans="1:23" x14ac:dyDescent="0.2">
      <c r="A539" s="15">
        <v>42318</v>
      </c>
      <c r="B539" s="5">
        <v>-117814813195344</v>
      </c>
      <c r="C539" s="5">
        <f>[1]!nefin_factors__1[[#This Row],[Rm_minus_Rf]]/B538-1</f>
        <v>6.8197565427041837</v>
      </c>
      <c r="D539" s="5">
        <v>-130032051683477</v>
      </c>
      <c r="E539" s="5">
        <f>[1]!nefin_factors__1[[#This Row],[SMB]]/D538-1</f>
        <v>-3.0191562335740536</v>
      </c>
      <c r="F539" s="5">
        <v>963185601990494</v>
      </c>
      <c r="G539" s="5">
        <f>[1]!nefin_factors__1[[#This Row],[HML]]/F538-1</f>
        <v>-9.1220783462397748</v>
      </c>
      <c r="H539" s="5">
        <v>527048012584741</v>
      </c>
      <c r="I539" s="6">
        <f>[1]!nefin_factors__1[[#This Row],[Risk_Free]]/H538-1</f>
        <v>0</v>
      </c>
      <c r="J539">
        <v>40958</v>
      </c>
      <c r="K539">
        <v>42436</v>
      </c>
      <c r="L539">
        <v>40958</v>
      </c>
      <c r="M539">
        <v>41631</v>
      </c>
      <c r="N539">
        <v>5307100</v>
      </c>
      <c r="O539">
        <v>41631</v>
      </c>
      <c r="P539">
        <v>1.66796913158151E-2</v>
      </c>
      <c r="Q539">
        <v>1.6542112999458701E-2</v>
      </c>
      <c r="R539" s="8">
        <v>9.1402616500854492</v>
      </c>
      <c r="S539" s="8">
        <v>-5.3813302857276301E-3</v>
      </c>
      <c r="T539" s="9">
        <v>-5.3958617995792796E-3</v>
      </c>
      <c r="U539" s="12">
        <v>5.2531000000000001E-2</v>
      </c>
      <c r="V539" s="16">
        <v>4.0838000000000001</v>
      </c>
      <c r="W539" s="17">
        <f t="shared" si="8"/>
        <v>9.6420094936708889E-3</v>
      </c>
    </row>
    <row r="540" spans="1:23" x14ac:dyDescent="0.2">
      <c r="A540" s="14">
        <v>42319</v>
      </c>
      <c r="B540" s="3">
        <v>160794649147139</v>
      </c>
      <c r="C540" s="3">
        <f>[1]!nefin_factors__1[[#This Row],[Rm_minus_Rf]]/B539-1</f>
        <v>-2.3648084208267752</v>
      </c>
      <c r="D540" s="3">
        <v>477370768240023</v>
      </c>
      <c r="E540" s="3">
        <f>[1]!nefin_factors__1[[#This Row],[SMB]]/D539-1</f>
        <v>-4.6711776985726194</v>
      </c>
      <c r="F540" s="3">
        <v>96503342605295</v>
      </c>
      <c r="G540" s="3">
        <f>[1]!nefin_factors__1[[#This Row],[HML]]/F539-1</f>
        <v>-0.89980815493310562</v>
      </c>
      <c r="H540" s="3">
        <v>526700331447971</v>
      </c>
      <c r="I540" s="4">
        <f>[1]!nefin_factors__1[[#This Row],[Risk_Free]]/H539-1</f>
        <v>-6.5967640227859725E-4</v>
      </c>
      <c r="J540">
        <v>41624</v>
      </c>
      <c r="K540">
        <v>41698</v>
      </c>
      <c r="L540">
        <v>41183</v>
      </c>
      <c r="M540">
        <v>41478</v>
      </c>
      <c r="N540">
        <v>3534900</v>
      </c>
      <c r="O540">
        <v>41478</v>
      </c>
      <c r="P540">
        <v>-3.6751459249116901E-3</v>
      </c>
      <c r="Q540">
        <v>-3.68191586580013E-3</v>
      </c>
      <c r="R540" s="8">
        <v>9.8902750015258807</v>
      </c>
      <c r="S540" s="8">
        <v>8.2055910791957204E-2</v>
      </c>
      <c r="T540" s="9">
        <v>7.8862852649291701E-2</v>
      </c>
      <c r="U540" s="12">
        <v>5.2531000000000001E-2</v>
      </c>
      <c r="V540" s="16">
        <v>4.0427999999999997</v>
      </c>
      <c r="W540" s="17">
        <f t="shared" si="8"/>
        <v>-1.0039668935795221E-2</v>
      </c>
    </row>
    <row r="541" spans="1:23" x14ac:dyDescent="0.2">
      <c r="A541" s="15">
        <v>42320</v>
      </c>
      <c r="B541" s="5">
        <v>-393838653160521</v>
      </c>
      <c r="C541" s="5">
        <f>[1]!nefin_factors__1[[#This Row],[Rm_minus_Rf]]/B540-1</f>
        <v>-3.4493268603741254</v>
      </c>
      <c r="D541" s="5">
        <v>-452897577683531</v>
      </c>
      <c r="E541" s="5">
        <f>[1]!nefin_factors__1[[#This Row],[SMB]]/D540-1</f>
        <v>-1.9487333699825817</v>
      </c>
      <c r="F541" s="5">
        <v>-84887221059333</v>
      </c>
      <c r="G541" s="5">
        <f>[1]!nefin_factors__1[[#This Row],[HML]]/F540-1</f>
        <v>-1.8796298528904569</v>
      </c>
      <c r="H541" s="5">
        <v>527048012584741</v>
      </c>
      <c r="I541" s="6">
        <f>[1]!nefin_factors__1[[#This Row],[Risk_Free]]/H540-1</f>
        <v>6.6011186249714804E-4</v>
      </c>
      <c r="J541">
        <v>41477</v>
      </c>
      <c r="K541">
        <v>41828</v>
      </c>
      <c r="L541">
        <v>41071</v>
      </c>
      <c r="M541">
        <v>41543</v>
      </c>
      <c r="N541">
        <v>3298700</v>
      </c>
      <c r="O541">
        <v>41543</v>
      </c>
      <c r="P541">
        <v>1.56709580982684E-3</v>
      </c>
      <c r="Q541">
        <v>1.56586919650144E-3</v>
      </c>
      <c r="R541" s="8">
        <v>9.9726943969726598</v>
      </c>
      <c r="S541" s="8">
        <v>8.3333463442660793E-3</v>
      </c>
      <c r="T541" s="9">
        <v>8.29881571809939E-3</v>
      </c>
      <c r="U541" s="12">
        <v>5.2531000000000001E-2</v>
      </c>
      <c r="V541" s="16">
        <v>3.9986000000000002</v>
      </c>
      <c r="W541" s="17">
        <f t="shared" si="8"/>
        <v>-1.0933016721084265E-2</v>
      </c>
    </row>
    <row r="542" spans="1:23" x14ac:dyDescent="0.2">
      <c r="A542" s="14">
        <v>42321</v>
      </c>
      <c r="B542" s="3">
        <v>-76041399605672</v>
      </c>
      <c r="C542" s="3">
        <f>[1]!nefin_factors__1[[#This Row],[Rm_minus_Rf]]/B541-1</f>
        <v>-0.80692245670797835</v>
      </c>
      <c r="D542" s="3">
        <v>-558783375592564</v>
      </c>
      <c r="E542" s="3">
        <f>[1]!nefin_factors__1[[#This Row],[SMB]]/D541-1</f>
        <v>0.23379634408868988</v>
      </c>
      <c r="F542" s="3">
        <v>-52018721829022</v>
      </c>
      <c r="G542" s="3">
        <f>[1]!nefin_factors__1[[#This Row],[HML]]/F541-1</f>
        <v>-0.38720197009791546</v>
      </c>
      <c r="H542" s="3">
        <v>527048012584741</v>
      </c>
      <c r="I542" s="4">
        <f>[1]!nefin_factors__1[[#This Row],[Risk_Free]]/H541-1</f>
        <v>0</v>
      </c>
      <c r="J542">
        <v>41544</v>
      </c>
      <c r="K542">
        <v>43345</v>
      </c>
      <c r="L542">
        <v>41544</v>
      </c>
      <c r="M542">
        <v>43235</v>
      </c>
      <c r="N542">
        <v>4508500</v>
      </c>
      <c r="O542">
        <v>43235</v>
      </c>
      <c r="P542">
        <v>4.0728883325710702E-2</v>
      </c>
      <c r="Q542">
        <v>3.9921317024709101E-2</v>
      </c>
      <c r="R542" s="8">
        <v>9.9314842224121094</v>
      </c>
      <c r="S542" s="8">
        <v>-4.1323926441924098E-3</v>
      </c>
      <c r="T542" s="9">
        <v>-4.1409545743207E-3</v>
      </c>
      <c r="U542" s="12">
        <v>5.2531000000000001E-2</v>
      </c>
      <c r="V542" s="16">
        <v>3.9918999999999998</v>
      </c>
      <c r="W542" s="17">
        <f t="shared" si="8"/>
        <v>-1.6755864552594479E-3</v>
      </c>
    </row>
    <row r="543" spans="1:23" x14ac:dyDescent="0.2">
      <c r="A543" s="15">
        <v>42324</v>
      </c>
      <c r="B543" s="5">
        <v>496561827392659</v>
      </c>
      <c r="C543" s="5">
        <f>[1]!nefin_factors__1[[#This Row],[Rm_minus_Rf]]/B542-1</f>
        <v>-7.5301510751732659</v>
      </c>
      <c r="D543" s="5">
        <v>-90877522386404</v>
      </c>
      <c r="E543" s="5">
        <f>[1]!nefin_factors__1[[#This Row],[SMB]]/D542-1</f>
        <v>-0.83736537922225662</v>
      </c>
      <c r="F543" s="5">
        <v>-532086768515288</v>
      </c>
      <c r="G543" s="5">
        <f>[1]!nefin_factors__1[[#This Row],[HML]]/F542-1</f>
        <v>9.2287551444301172</v>
      </c>
      <c r="H543" s="5">
        <v>527048012584741</v>
      </c>
      <c r="I543" s="6">
        <f>[1]!nefin_factors__1[[#This Row],[Risk_Free]]/H542-1</f>
        <v>0</v>
      </c>
      <c r="J543">
        <v>43235</v>
      </c>
      <c r="K543">
        <v>43601</v>
      </c>
      <c r="L543">
        <v>42359</v>
      </c>
      <c r="M543">
        <v>42521</v>
      </c>
      <c r="N543">
        <v>3805300</v>
      </c>
      <c r="O543">
        <v>42521</v>
      </c>
      <c r="P543">
        <v>-1.6514398057129599E-2</v>
      </c>
      <c r="Q543">
        <v>-1.6652280870889699E-2</v>
      </c>
      <c r="R543" s="8">
        <v>9.8902750015258807</v>
      </c>
      <c r="S543" s="8">
        <v>-4.1492292067425397E-3</v>
      </c>
      <c r="T543" s="9">
        <v>-4.1578611437787603E-3</v>
      </c>
      <c r="U543" s="12">
        <v>5.2531000000000001E-2</v>
      </c>
      <c r="V543" s="16">
        <v>3.9558</v>
      </c>
      <c r="W543" s="17">
        <f t="shared" si="8"/>
        <v>-9.043312708234108E-3</v>
      </c>
    </row>
    <row r="544" spans="1:23" x14ac:dyDescent="0.2">
      <c r="A544" s="14">
        <v>42325</v>
      </c>
      <c r="B544" s="3">
        <v>71762841094835</v>
      </c>
      <c r="C544" s="3">
        <f>[1]!nefin_factors__1[[#This Row],[Rm_minus_Rf]]/B543-1</f>
        <v>-0.85548055219700136</v>
      </c>
      <c r="D544" s="3">
        <v>-786553372926137</v>
      </c>
      <c r="E544" s="3">
        <f>[1]!nefin_factors__1[[#This Row],[SMB]]/D543-1</f>
        <v>7.6550926155510108</v>
      </c>
      <c r="F544" s="3">
        <v>-165628405988802</v>
      </c>
      <c r="G544" s="3">
        <f>[1]!nefin_factors__1[[#This Row],[HML]]/F543-1</f>
        <v>-0.6887191792967069</v>
      </c>
      <c r="H544" s="3">
        <v>526352619983239</v>
      </c>
      <c r="I544" s="4">
        <f>[1]!nefin_factors__1[[#This Row],[Risk_Free]]/H543-1</f>
        <v>-1.3194103476297236E-3</v>
      </c>
      <c r="J544">
        <v>42521</v>
      </c>
      <c r="K544">
        <v>42521</v>
      </c>
      <c r="L544">
        <v>41211</v>
      </c>
      <c r="M544">
        <v>42085</v>
      </c>
      <c r="N544">
        <v>3522700</v>
      </c>
      <c r="O544">
        <v>42085</v>
      </c>
      <c r="P544">
        <v>-1.02537569671457E-2</v>
      </c>
      <c r="Q544">
        <v>-1.0306688877964499E-2</v>
      </c>
      <c r="R544" s="8">
        <v>9.8902750015258807</v>
      </c>
      <c r="S544" s="8">
        <v>0</v>
      </c>
      <c r="T544" s="9">
        <v>0</v>
      </c>
      <c r="U544" s="12">
        <v>5.2531000000000001E-2</v>
      </c>
      <c r="V544" s="16">
        <v>3.8653</v>
      </c>
      <c r="W544" s="17">
        <f t="shared" si="8"/>
        <v>-2.2877799686536249E-2</v>
      </c>
    </row>
    <row r="545" spans="1:23" x14ac:dyDescent="0.2">
      <c r="A545" s="15">
        <v>42326</v>
      </c>
      <c r="B545" s="5">
        <v>419055113813056</v>
      </c>
      <c r="C545" s="5">
        <f>[1]!nefin_factors__1[[#This Row],[Rm_minus_Rf]]/B544-1</f>
        <v>4.8394443059921821</v>
      </c>
      <c r="D545" s="5">
        <v>-156253141281169</v>
      </c>
      <c r="E545" s="5">
        <f>[1]!nefin_factors__1[[#This Row],[SMB]]/D544-1</f>
        <v>-0.80134451563041953</v>
      </c>
      <c r="F545" s="5">
        <v>24045677976211</v>
      </c>
      <c r="G545" s="5">
        <f>[1]!nefin_factors__1[[#This Row],[HML]]/F544-1</f>
        <v>-1.1451784664149742</v>
      </c>
      <c r="H545" s="5">
        <v>526352619983239</v>
      </c>
      <c r="I545" s="6">
        <f>[1]!nefin_factors__1[[#This Row],[Risk_Free]]/H544-1</f>
        <v>0</v>
      </c>
      <c r="J545">
        <v>42084</v>
      </c>
      <c r="K545">
        <v>42327</v>
      </c>
      <c r="L545">
        <v>41442</v>
      </c>
      <c r="M545">
        <v>41888</v>
      </c>
      <c r="N545">
        <v>4046700</v>
      </c>
      <c r="O545">
        <v>41888</v>
      </c>
      <c r="P545">
        <v>-4.6810027325650001E-3</v>
      </c>
      <c r="Q545">
        <v>-4.6919929360499501E-3</v>
      </c>
      <c r="R545" s="8">
        <v>9.9067583084106392</v>
      </c>
      <c r="S545" s="8">
        <v>1.66675253882342E-3</v>
      </c>
      <c r="T545" s="9">
        <v>1.6653650483321699E-3</v>
      </c>
      <c r="U545" s="12">
        <v>5.2531000000000001E-2</v>
      </c>
      <c r="V545" s="16">
        <v>3.8975</v>
      </c>
      <c r="W545" s="17">
        <f t="shared" si="8"/>
        <v>8.3305306185808004E-3</v>
      </c>
    </row>
    <row r="546" spans="1:23" x14ac:dyDescent="0.2">
      <c r="A546" s="14">
        <v>42327</v>
      </c>
      <c r="B546" s="3">
        <v>11906279163831</v>
      </c>
      <c r="C546" s="3">
        <f>[1]!nefin_factors__1[[#This Row],[Rm_minus_Rf]]/B545-1</f>
        <v>-0.97158779651799576</v>
      </c>
      <c r="D546" s="3">
        <v>-982338629303453</v>
      </c>
      <c r="E546" s="3">
        <f>[1]!nefin_factors__1[[#This Row],[SMB]]/D545-1</f>
        <v>5.2868408356398309</v>
      </c>
      <c r="F546" s="3">
        <v>-386594280043141</v>
      </c>
      <c r="G546" s="3">
        <f>[1]!nefin_factors__1[[#This Row],[HML]]/F545-1</f>
        <v>-17.077495524376918</v>
      </c>
      <c r="H546" s="3">
        <v>525657106047905</v>
      </c>
      <c r="I546" s="4">
        <f>[1]!nefin_factors__1[[#This Row],[Risk_Free]]/H545-1</f>
        <v>-1.3213840093664331E-3</v>
      </c>
      <c r="J546">
        <v>41889</v>
      </c>
      <c r="K546">
        <v>42495</v>
      </c>
      <c r="L546">
        <v>41417</v>
      </c>
      <c r="M546">
        <v>41593</v>
      </c>
      <c r="N546">
        <v>3274600</v>
      </c>
      <c r="O546">
        <v>41593</v>
      </c>
      <c r="P546">
        <v>-7.0425897631779498E-3</v>
      </c>
      <c r="Q546">
        <v>-7.0675058498963798E-3</v>
      </c>
      <c r="R546" s="8">
        <v>10.5908355712891</v>
      </c>
      <c r="S546" s="8">
        <v>6.9051339673073198E-2</v>
      </c>
      <c r="T546" s="9">
        <v>6.6771656776580798E-2</v>
      </c>
      <c r="U546" s="12">
        <v>5.2531000000000001E-2</v>
      </c>
      <c r="V546" s="16">
        <v>3.9411999999999998</v>
      </c>
      <c r="W546" s="17">
        <f t="shared" si="8"/>
        <v>1.1212315586914601E-2</v>
      </c>
    </row>
    <row r="547" spans="1:23" x14ac:dyDescent="0.2">
      <c r="A547" s="15">
        <v>42331</v>
      </c>
      <c r="B547" s="5">
        <v>-167964649586226</v>
      </c>
      <c r="C547" s="5">
        <f>[1]!nefin_factors__1[[#This Row],[Rm_minus_Rf]]/B546-1</f>
        <v>-15.107232601808169</v>
      </c>
      <c r="D547" s="5">
        <v>-158337555611222</v>
      </c>
      <c r="E547" s="5">
        <f>[1]!nefin_factors__1[[#This Row],[SMB]]/D546-1</f>
        <v>-0.83881570887271895</v>
      </c>
      <c r="F547" s="5">
        <v>-741526914564505</v>
      </c>
      <c r="G547" s="5">
        <f>[1]!nefin_factors__1[[#This Row],[HML]]/F546-1</f>
        <v>0.91810110196600991</v>
      </c>
      <c r="H547" s="5">
        <v>526004878184771</v>
      </c>
      <c r="I547" s="6">
        <f>[1]!nefin_factors__1[[#This Row],[Risk_Free]]/H546-1</f>
        <v>6.6159504525797885E-4</v>
      </c>
      <c r="J547">
        <v>41599</v>
      </c>
      <c r="K547">
        <v>43053</v>
      </c>
      <c r="L547">
        <v>41599</v>
      </c>
      <c r="M547">
        <v>42794</v>
      </c>
      <c r="N547">
        <v>4473500</v>
      </c>
      <c r="O547">
        <v>42794</v>
      </c>
      <c r="P547">
        <v>2.8875051090327699E-2</v>
      </c>
      <c r="Q547">
        <v>2.8466021967166199E-2</v>
      </c>
      <c r="R547" s="8">
        <v>10.871060371398899</v>
      </c>
      <c r="S547" s="8">
        <v>2.64593445006478E-2</v>
      </c>
      <c r="T547" s="9">
        <v>2.6115350750623101E-2</v>
      </c>
      <c r="U547" s="12">
        <v>5.2531000000000001E-2</v>
      </c>
      <c r="V547" s="16">
        <v>3.9641999999999999</v>
      </c>
      <c r="W547" s="17">
        <f t="shared" si="8"/>
        <v>5.8357860550086738E-3</v>
      </c>
    </row>
    <row r="548" spans="1:23" x14ac:dyDescent="0.2">
      <c r="A548" s="14">
        <v>42332</v>
      </c>
      <c r="B548" s="3">
        <v>579942005931475</v>
      </c>
      <c r="C548" s="3">
        <f>[1]!nefin_factors__1[[#This Row],[Rm_minus_Rf]]/B547-1</f>
        <v>-4.4527622768251431</v>
      </c>
      <c r="D548" s="3">
        <v>999777305174475</v>
      </c>
      <c r="E548" s="3">
        <f>[1]!nefin_factors__1[[#This Row],[SMB]]/D547-1</f>
        <v>-7.3142145987734128</v>
      </c>
      <c r="F548" s="3">
        <v>320707175641051</v>
      </c>
      <c r="G548" s="3">
        <f>[1]!nefin_factors__1[[#This Row],[HML]]/F547-1</f>
        <v>-1.4324956644755109</v>
      </c>
      <c r="H548" s="3">
        <v>525657106047905</v>
      </c>
      <c r="I548" s="4">
        <f>[1]!nefin_factors__1[[#This Row],[Risk_Free]]/H547-1</f>
        <v>-6.611576266482011E-4</v>
      </c>
      <c r="J548">
        <v>42795</v>
      </c>
      <c r="K548">
        <v>44181</v>
      </c>
      <c r="L548">
        <v>42795</v>
      </c>
      <c r="M548">
        <v>44122</v>
      </c>
      <c r="N548">
        <v>4610100</v>
      </c>
      <c r="O548">
        <v>44122</v>
      </c>
      <c r="P548">
        <v>3.1032387717904401E-2</v>
      </c>
      <c r="Q548">
        <v>3.0560618428812199E-2</v>
      </c>
      <c r="R548" s="8">
        <v>11.085350036621101</v>
      </c>
      <c r="S548" s="8">
        <v>1.9711875818534601E-2</v>
      </c>
      <c r="T548" s="9">
        <v>1.95201127049793E-2</v>
      </c>
      <c r="U548" s="12">
        <v>5.2531000000000001E-2</v>
      </c>
      <c r="V548" s="16">
        <v>3.9891000000000001</v>
      </c>
      <c r="W548" s="17">
        <f t="shared" si="8"/>
        <v>6.2812168911761113E-3</v>
      </c>
    </row>
    <row r="549" spans="1:23" x14ac:dyDescent="0.2">
      <c r="A549" s="15">
        <v>42333</v>
      </c>
      <c r="B549" s="5">
        <v>-255684054464787</v>
      </c>
      <c r="C549" s="5">
        <f>[1]!nefin_factors__1[[#This Row],[Rm_minus_Rf]]/B548-1</f>
        <v>-1.4408786600207026</v>
      </c>
      <c r="D549" s="5">
        <v>990617238904655</v>
      </c>
      <c r="E549" s="5">
        <f>[1]!nefin_factors__1[[#This Row],[SMB]]/D548-1</f>
        <v>-9.1621066235559878E-3</v>
      </c>
      <c r="F549" s="5">
        <v>-142156932040222</v>
      </c>
      <c r="G549" s="5">
        <f>[1]!nefin_factors__1[[#This Row],[HML]]/F548-1</f>
        <v>-1.4432608399112654</v>
      </c>
      <c r="H549" s="5">
        <v>525657106047905</v>
      </c>
      <c r="I549" s="6">
        <f>[1]!nefin_factors__1[[#This Row],[Risk_Free]]/H548-1</f>
        <v>0</v>
      </c>
      <c r="J549">
        <v>44122</v>
      </c>
      <c r="K549">
        <v>44983</v>
      </c>
      <c r="L549">
        <v>43841</v>
      </c>
      <c r="M549">
        <v>44893</v>
      </c>
      <c r="N549">
        <v>5009600</v>
      </c>
      <c r="O549">
        <v>44893</v>
      </c>
      <c r="P549">
        <v>1.7474275871447498E-2</v>
      </c>
      <c r="Q549">
        <v>1.7323356316202299E-2</v>
      </c>
      <c r="R549" s="8">
        <v>11.579862594604499</v>
      </c>
      <c r="S549" s="8">
        <v>4.4609548050238403E-2</v>
      </c>
      <c r="T549" s="9">
        <v>4.3643177367181998E-2</v>
      </c>
      <c r="U549" s="12">
        <v>5.2531000000000001E-2</v>
      </c>
      <c r="V549" s="16">
        <v>3.9885000000000002</v>
      </c>
      <c r="W549" s="17">
        <f t="shared" si="8"/>
        <v>-1.5040986688730218E-4</v>
      </c>
    </row>
    <row r="550" spans="1:23" x14ac:dyDescent="0.2">
      <c r="A550" s="14">
        <v>42334</v>
      </c>
      <c r="B550" s="3">
        <v>71978798167564</v>
      </c>
      <c r="C550" s="3">
        <f>[1]!nefin_factors__1[[#This Row],[Rm_minus_Rf]]/B549-1</f>
        <v>-1.2815146150519019</v>
      </c>
      <c r="D550" s="3">
        <v>-2226718052.6275201</v>
      </c>
      <c r="E550" s="3">
        <f>[1]!nefin_factors__1[[#This Row],[SMB]]/D549-1</f>
        <v>-1.0000022478087047</v>
      </c>
      <c r="F550" s="3">
        <v>253276254508798</v>
      </c>
      <c r="G550" s="3">
        <f>[1]!nefin_factors__1[[#This Row],[HML]]/F549-1</f>
        <v>-2.7816665770272522</v>
      </c>
      <c r="H550" s="3">
        <v>525309303566868</v>
      </c>
      <c r="I550" s="4">
        <f>[1]!nefin_factors__1[[#This Row],[Risk_Free]]/H549-1</f>
        <v>-6.6165277142715695E-4</v>
      </c>
      <c r="J550">
        <v>44900</v>
      </c>
      <c r="K550">
        <v>47375</v>
      </c>
      <c r="L550">
        <v>44900</v>
      </c>
      <c r="M550">
        <v>47193</v>
      </c>
      <c r="N550">
        <v>9031000</v>
      </c>
      <c r="O550">
        <v>47193</v>
      </c>
      <c r="P550">
        <v>5.1232931637449103E-2</v>
      </c>
      <c r="Q550">
        <v>4.9963695918703997E-2</v>
      </c>
      <c r="R550" s="8">
        <v>11.7611846923828</v>
      </c>
      <c r="S550" s="8">
        <v>1.5658370961880299E-2</v>
      </c>
      <c r="T550" s="9">
        <v>1.5537043558634099E-2</v>
      </c>
      <c r="U550" s="12">
        <v>5.2531000000000001E-2</v>
      </c>
      <c r="V550" s="16">
        <v>4.0213000000000001</v>
      </c>
      <c r="W550" s="17">
        <f t="shared" si="8"/>
        <v>8.2236429735489391E-3</v>
      </c>
    </row>
    <row r="551" spans="1:23" x14ac:dyDescent="0.2">
      <c r="A551" s="15">
        <v>42335</v>
      </c>
      <c r="B551" s="5">
        <v>-232872896683478</v>
      </c>
      <c r="C551" s="5">
        <f>[1]!nefin_factors__1[[#This Row],[Rm_minus_Rf]]/B550-1</f>
        <v>-4.2352984852756013</v>
      </c>
      <c r="D551" s="5">
        <v>548897304615232</v>
      </c>
      <c r="E551" s="5">
        <f>[1]!nefin_factors__1[[#This Row],[SMB]]/D550-1</f>
        <v>-246506.07681811578</v>
      </c>
      <c r="F551" s="5">
        <v>467690833622018</v>
      </c>
      <c r="G551" s="5">
        <f>[1]!nefin_factors__1[[#This Row],[HML]]/F550-1</f>
        <v>0.84656407893054952</v>
      </c>
      <c r="H551" s="5">
        <v>525657106047905</v>
      </c>
      <c r="I551" s="6">
        <f>[1]!nefin_factors__1[[#This Row],[Risk_Free]]/H550-1</f>
        <v>6.6209084567026011E-4</v>
      </c>
      <c r="J551">
        <v>47194</v>
      </c>
      <c r="K551">
        <v>50024</v>
      </c>
      <c r="L551">
        <v>47194</v>
      </c>
      <c r="M551">
        <v>49085</v>
      </c>
      <c r="N551">
        <v>10284300</v>
      </c>
      <c r="O551">
        <v>49085</v>
      </c>
      <c r="P551">
        <v>4.0090691416099902E-2</v>
      </c>
      <c r="Q551">
        <v>3.9307912636007303E-2</v>
      </c>
      <c r="R551" s="8">
        <v>12.527681350708001</v>
      </c>
      <c r="S551" s="8">
        <v>6.5171769272258401E-2</v>
      </c>
      <c r="T551" s="9">
        <v>6.3136071857899101E-2</v>
      </c>
      <c r="U551" s="12">
        <v>5.2531000000000001E-2</v>
      </c>
      <c r="V551" s="16">
        <v>4.0317999999999996</v>
      </c>
      <c r="W551" s="17">
        <f t="shared" si="8"/>
        <v>2.611095914256456E-3</v>
      </c>
    </row>
    <row r="552" spans="1:23" x14ac:dyDescent="0.2">
      <c r="A552" s="14">
        <v>42338</v>
      </c>
      <c r="B552" s="3">
        <v>-157363168276524</v>
      </c>
      <c r="C552" s="3">
        <f>[1]!nefin_factors__1[[#This Row],[Rm_minus_Rf]]/B551-1</f>
        <v>-0.32425297010663801</v>
      </c>
      <c r="D552" s="3">
        <v>-133825335202295</v>
      </c>
      <c r="E552" s="3">
        <f>[1]!nefin_factors__1[[#This Row],[SMB]]/D551-1</f>
        <v>-1.2438076013073236</v>
      </c>
      <c r="F552" s="3">
        <v>-343675946241422</v>
      </c>
      <c r="G552" s="3">
        <f>[1]!nefin_factors__1[[#This Row],[HML]]/F551-1</f>
        <v>-1.7348357537389254</v>
      </c>
      <c r="H552" s="3">
        <v>525309303566868</v>
      </c>
      <c r="I552" s="4">
        <f>[1]!nefin_factors__1[[#This Row],[Risk_Free]]/H551-1</f>
        <v>-6.6165277142715695E-4</v>
      </c>
      <c r="J552">
        <v>49089</v>
      </c>
      <c r="K552">
        <v>49639</v>
      </c>
      <c r="L552">
        <v>48746</v>
      </c>
      <c r="M552">
        <v>49246</v>
      </c>
      <c r="N552">
        <v>5720600</v>
      </c>
      <c r="O552">
        <v>49246</v>
      </c>
      <c r="P552">
        <v>3.2800244473871801E-3</v>
      </c>
      <c r="Q552">
        <v>3.27465690111886E-3</v>
      </c>
      <c r="R552" s="8">
        <v>12.395811080932599</v>
      </c>
      <c r="S552" s="8">
        <v>-1.0526365094061199E-2</v>
      </c>
      <c r="T552" s="9">
        <v>-1.05821591596426E-2</v>
      </c>
      <c r="U552" s="12">
        <v>5.2531000000000001E-2</v>
      </c>
      <c r="V552" s="16">
        <v>4.0091000000000001</v>
      </c>
      <c r="W552" s="17">
        <f t="shared" si="8"/>
        <v>-5.6302395952179118E-3</v>
      </c>
    </row>
    <row r="553" spans="1:23" x14ac:dyDescent="0.2">
      <c r="A553" s="15">
        <v>42339</v>
      </c>
      <c r="B553" s="5">
        <v>-953088736464879</v>
      </c>
      <c r="C553" s="5">
        <f>[1]!nefin_factors__1[[#This Row],[Rm_minus_Rf]]/B552-1</f>
        <v>5.0566188829528302</v>
      </c>
      <c r="D553" s="5">
        <v>-108332740611797</v>
      </c>
      <c r="E553" s="5">
        <f>[1]!nefin_factors__1[[#This Row],[SMB]]/D552-1</f>
        <v>-0.19049154296503357</v>
      </c>
      <c r="F553" s="5">
        <v>-10266997257275</v>
      </c>
      <c r="G553" s="5">
        <f>[1]!nefin_factors__1[[#This Row],[HML]]/F552-1</f>
        <v>-0.97012593587197771</v>
      </c>
      <c r="H553" s="5">
        <v>525309303566868</v>
      </c>
      <c r="I553" s="6">
        <f>[1]!nefin_factors__1[[#This Row],[Risk_Free]]/H552-1</f>
        <v>0</v>
      </c>
      <c r="J553">
        <v>49244</v>
      </c>
      <c r="K553">
        <v>49914</v>
      </c>
      <c r="L553">
        <v>48847</v>
      </c>
      <c r="M553">
        <v>49102</v>
      </c>
      <c r="N553">
        <v>7150500</v>
      </c>
      <c r="O553">
        <v>49102</v>
      </c>
      <c r="P553">
        <v>-2.9240953579986501E-3</v>
      </c>
      <c r="Q553">
        <v>-2.92837887714688E-3</v>
      </c>
      <c r="R553" s="8">
        <v>12.239214897155801</v>
      </c>
      <c r="S553" s="8">
        <v>-1.26328412847438E-2</v>
      </c>
      <c r="T553" s="9">
        <v>-1.271331407586E-2</v>
      </c>
      <c r="U553" s="12">
        <v>5.2531000000000001E-2</v>
      </c>
      <c r="V553" s="16">
        <v>4.0491999999999999</v>
      </c>
      <c r="W553" s="17">
        <f t="shared" si="8"/>
        <v>1.0002244892868717E-2</v>
      </c>
    </row>
    <row r="554" spans="1:23" x14ac:dyDescent="0.2">
      <c r="A554" s="14">
        <v>42340</v>
      </c>
      <c r="B554" s="3">
        <v>-527974914144885</v>
      </c>
      <c r="C554" s="3">
        <f>[1]!nefin_factors__1[[#This Row],[Rm_minus_Rf]]/B553-1</f>
        <v>-0.44603802988669494</v>
      </c>
      <c r="D554" s="3">
        <v>105059144029134</v>
      </c>
      <c r="E554" s="3">
        <f>[1]!nefin_factors__1[[#This Row],[SMB]]/D553-1</f>
        <v>-1.969782020059903</v>
      </c>
      <c r="F554" s="3">
        <v>955732557241027</v>
      </c>
      <c r="G554" s="3">
        <f>[1]!nefin_factors__1[[#This Row],[HML]]/F553-1</f>
        <v>-94.087836033443267</v>
      </c>
      <c r="H554" s="3">
        <v>525657106047905</v>
      </c>
      <c r="I554" s="4">
        <f>[1]!nefin_factors__1[[#This Row],[Risk_Free]]/H553-1</f>
        <v>6.6209084567026011E-4</v>
      </c>
      <c r="J554">
        <v>49102</v>
      </c>
      <c r="K554">
        <v>50001</v>
      </c>
      <c r="L554">
        <v>48623</v>
      </c>
      <c r="M554">
        <v>48665</v>
      </c>
      <c r="N554">
        <v>6230600</v>
      </c>
      <c r="O554">
        <v>48665</v>
      </c>
      <c r="P554">
        <v>-8.8998411470001502E-3</v>
      </c>
      <c r="Q554">
        <v>-8.9396812899998398E-3</v>
      </c>
      <c r="R554" s="8">
        <v>12.4452619552612</v>
      </c>
      <c r="S554" s="8">
        <v>1.6834915448605201E-2</v>
      </c>
      <c r="T554" s="9">
        <v>1.6694778864336301E-2</v>
      </c>
      <c r="U554" s="12">
        <v>5.2531000000000001E-2</v>
      </c>
      <c r="V554" s="16">
        <v>3.9618000000000002</v>
      </c>
      <c r="W554" s="17">
        <f t="shared" si="8"/>
        <v>-2.1584510520596623E-2</v>
      </c>
    </row>
    <row r="555" spans="1:23" x14ac:dyDescent="0.2">
      <c r="A555" s="15">
        <v>42341</v>
      </c>
      <c r="B555" s="5">
        <v>300034028802415</v>
      </c>
      <c r="C555" s="5">
        <f>[1]!nefin_factors__1[[#This Row],[Rm_minus_Rf]]/B554-1</f>
        <v>-1.568273265953088</v>
      </c>
      <c r="D555" s="5">
        <v>-604857607232744</v>
      </c>
      <c r="E555" s="5">
        <f>[1]!nefin_factors__1[[#This Row],[SMB]]/D554-1</f>
        <v>-6.7573056855004516</v>
      </c>
      <c r="F555" s="5">
        <v>-61616084812772</v>
      </c>
      <c r="G555" s="5">
        <f>[1]!nefin_factors__1[[#This Row],[HML]]/F554-1</f>
        <v>-1.0644700071646016</v>
      </c>
      <c r="H555" s="5">
        <v>525657106047905</v>
      </c>
      <c r="I555" s="6">
        <f>[1]!nefin_factors__1[[#This Row],[Risk_Free]]/H554-1</f>
        <v>0</v>
      </c>
      <c r="J555">
        <v>48667</v>
      </c>
      <c r="K555">
        <v>49974</v>
      </c>
      <c r="L555">
        <v>47922</v>
      </c>
      <c r="M555">
        <v>49571</v>
      </c>
      <c r="N555">
        <v>7467200</v>
      </c>
      <c r="O555">
        <v>49571</v>
      </c>
      <c r="P555">
        <v>1.8617075927257701E-2</v>
      </c>
      <c r="Q555">
        <v>1.8445899442574801E-2</v>
      </c>
      <c r="R555" s="8">
        <v>13.0469207763672</v>
      </c>
      <c r="S555" s="8">
        <v>4.8344339307374799E-2</v>
      </c>
      <c r="T555" s="9">
        <v>4.7212099973580501E-2</v>
      </c>
      <c r="U555" s="12">
        <v>5.2531000000000001E-2</v>
      </c>
      <c r="V555" s="16">
        <v>3.9683999999999999</v>
      </c>
      <c r="W555" s="17">
        <f t="shared" si="8"/>
        <v>1.6659094351052506E-3</v>
      </c>
    </row>
    <row r="556" spans="1:23" x14ac:dyDescent="0.2">
      <c r="A556" s="14">
        <v>42342</v>
      </c>
      <c r="B556" s="3">
        <v>-208667727025759</v>
      </c>
      <c r="C556" s="3">
        <f>[1]!nefin_factors__1[[#This Row],[Rm_minus_Rf]]/B555-1</f>
        <v>-1.6954802022245798</v>
      </c>
      <c r="D556" s="3">
        <v>-73525189746622</v>
      </c>
      <c r="E556" s="3">
        <f>[1]!nefin_factors__1[[#This Row],[SMB]]/D555-1</f>
        <v>-0.87844215090060007</v>
      </c>
      <c r="F556" s="3">
        <v>-14117874662189</v>
      </c>
      <c r="G556" s="3">
        <f>[1]!nefin_factors__1[[#This Row],[HML]]/F555-1</f>
        <v>-0.77087355184789996</v>
      </c>
      <c r="H556" s="3">
        <v>525657106047905</v>
      </c>
      <c r="I556" s="4">
        <f>[1]!nefin_factors__1[[#This Row],[Risk_Free]]/H555-1</f>
        <v>0</v>
      </c>
      <c r="J556">
        <v>49574</v>
      </c>
      <c r="K556">
        <v>50038</v>
      </c>
      <c r="L556">
        <v>49156</v>
      </c>
      <c r="M556">
        <v>49639</v>
      </c>
      <c r="N556">
        <v>6002200</v>
      </c>
      <c r="O556">
        <v>49639</v>
      </c>
      <c r="P556">
        <v>1.37176978475329E-3</v>
      </c>
      <c r="Q556">
        <v>1.3708297681414899E-3</v>
      </c>
      <c r="R556" s="8">
        <v>13.393079757690399</v>
      </c>
      <c r="S556" s="8">
        <v>2.6531849265672501E-2</v>
      </c>
      <c r="T556" s="9">
        <v>2.6185984044399601E-2</v>
      </c>
      <c r="U556" s="12">
        <v>5.2531000000000001E-2</v>
      </c>
      <c r="V556" s="16">
        <v>3.99</v>
      </c>
      <c r="W556" s="17">
        <f t="shared" si="8"/>
        <v>5.442999697611306E-3</v>
      </c>
    </row>
    <row r="557" spans="1:23" x14ac:dyDescent="0.2">
      <c r="A557" s="15">
        <v>42345</v>
      </c>
      <c r="B557" s="5">
        <v>-270375574318977</v>
      </c>
      <c r="C557" s="5">
        <f>[1]!nefin_factors__1[[#This Row],[Rm_minus_Rf]]/B556-1</f>
        <v>0.29572300505099425</v>
      </c>
      <c r="D557" s="5">
        <v>-946934267125847</v>
      </c>
      <c r="E557" s="5">
        <f>[1]!nefin_factors__1[[#This Row],[SMB]]/D556-1</f>
        <v>11.879045540570704</v>
      </c>
      <c r="F557" s="5">
        <v>-173232743049505</v>
      </c>
      <c r="G557" s="5">
        <f>[1]!nefin_factors__1[[#This Row],[HML]]/F556-1</f>
        <v>11.270454809565859</v>
      </c>
      <c r="H557" s="5">
        <v>526004878184771</v>
      </c>
      <c r="I557" s="6">
        <f>[1]!nefin_factors__1[[#This Row],[Risk_Free]]/H556-1</f>
        <v>6.6159504525797885E-4</v>
      </c>
      <c r="J557">
        <v>49639</v>
      </c>
      <c r="K557">
        <v>50166</v>
      </c>
      <c r="L557">
        <v>48757</v>
      </c>
      <c r="M557">
        <v>48867</v>
      </c>
      <c r="N557">
        <v>4801100</v>
      </c>
      <c r="O557">
        <v>48867</v>
      </c>
      <c r="P557">
        <v>-1.5552287515864601E-2</v>
      </c>
      <c r="Q557">
        <v>-1.5674493045595601E-2</v>
      </c>
      <c r="R557" s="8">
        <v>13.269452095031699</v>
      </c>
      <c r="S557" s="8">
        <v>-9.2305923239479597E-3</v>
      </c>
      <c r="T557" s="9">
        <v>-9.2734582303236508E-3</v>
      </c>
      <c r="U557" s="12">
        <v>5.2531000000000001E-2</v>
      </c>
      <c r="V557" s="16">
        <v>3.94</v>
      </c>
      <c r="W557" s="17">
        <f t="shared" si="8"/>
        <v>-1.253132832080206E-2</v>
      </c>
    </row>
    <row r="558" spans="1:23" x14ac:dyDescent="0.2">
      <c r="A558" s="14">
        <v>42346</v>
      </c>
      <c r="B558" s="3">
        <v>-181611720608138</v>
      </c>
      <c r="C558" s="3">
        <f>[1]!nefin_factors__1[[#This Row],[Rm_minus_Rf]]/B557-1</f>
        <v>-0.32829834549373671</v>
      </c>
      <c r="D558" s="3">
        <v>-274336116048853</v>
      </c>
      <c r="E558" s="3">
        <f>[1]!nefin_factors__1[[#This Row],[SMB]]/D557-1</f>
        <v>-0.71029022227538219</v>
      </c>
      <c r="F558" s="3">
        <v>-907547005996971</v>
      </c>
      <c r="G558" s="3">
        <f>[1]!nefin_factors__1[[#This Row],[HML]]/F557-1</f>
        <v>4.2388883880781121</v>
      </c>
      <c r="H558" s="3">
        <v>526352619983239</v>
      </c>
      <c r="I558" s="4">
        <f>[1]!nefin_factors__1[[#This Row],[Risk_Free]]/H557-1</f>
        <v>6.6109994962038066E-4</v>
      </c>
      <c r="J558">
        <v>48866</v>
      </c>
      <c r="K558">
        <v>48866</v>
      </c>
      <c r="L558">
        <v>46684</v>
      </c>
      <c r="M558">
        <v>47130</v>
      </c>
      <c r="N558">
        <v>5502200</v>
      </c>
      <c r="O558">
        <v>47130</v>
      </c>
      <c r="P558">
        <v>-3.5545460126465797E-2</v>
      </c>
      <c r="Q558">
        <v>-3.6192581107938201E-2</v>
      </c>
      <c r="R558" s="8">
        <v>12.329875946044901</v>
      </c>
      <c r="S558" s="8">
        <v>-7.0807681917844797E-2</v>
      </c>
      <c r="T558" s="9">
        <v>-7.3439545358374506E-2</v>
      </c>
      <c r="U558" s="12">
        <v>5.2531000000000001E-2</v>
      </c>
      <c r="V558" s="16">
        <v>3.9578000000000002</v>
      </c>
      <c r="W558" s="17">
        <f t="shared" si="8"/>
        <v>4.5177664974620502E-3</v>
      </c>
    </row>
    <row r="559" spans="1:23" x14ac:dyDescent="0.2">
      <c r="A559" s="15">
        <v>42347</v>
      </c>
      <c r="B559" s="5">
        <v>314001849736406</v>
      </c>
      <c r="C559" s="5">
        <f>[1]!nefin_factors__1[[#This Row],[Rm_minus_Rf]]/B558-1</f>
        <v>-2.7289734863198891</v>
      </c>
      <c r="D559" s="5">
        <v>-182644671832685</v>
      </c>
      <c r="E559" s="5">
        <f>[1]!nefin_factors__1[[#This Row],[SMB]]/D558-1</f>
        <v>-0.33423030673744702</v>
      </c>
      <c r="F559" s="5">
        <v>-668802061525579</v>
      </c>
      <c r="G559" s="5">
        <f>[1]!nefin_factors__1[[#This Row],[HML]]/F558-1</f>
        <v>-0.26306620251490187</v>
      </c>
      <c r="H559" s="5">
        <v>526700331447971</v>
      </c>
      <c r="I559" s="6">
        <f>[1]!nefin_factors__1[[#This Row],[Risk_Free]]/H558-1</f>
        <v>6.6060555515634611E-4</v>
      </c>
      <c r="J559">
        <v>47130</v>
      </c>
      <c r="K559">
        <v>47814</v>
      </c>
      <c r="L559">
        <v>46521</v>
      </c>
      <c r="M559">
        <v>47763</v>
      </c>
      <c r="N559">
        <v>5111000</v>
      </c>
      <c r="O559">
        <v>47763</v>
      </c>
      <c r="P559">
        <v>1.3430935709739101E-2</v>
      </c>
      <c r="Q559">
        <v>1.33415402463379E-2</v>
      </c>
      <c r="R559" s="8">
        <v>12.4205369949341</v>
      </c>
      <c r="S559" s="8">
        <v>7.3531124591459402E-3</v>
      </c>
      <c r="T559" s="9">
        <v>7.3262101244953E-3</v>
      </c>
      <c r="U559" s="12">
        <v>5.2531000000000001E-2</v>
      </c>
      <c r="V559" s="16">
        <v>3.9796</v>
      </c>
      <c r="W559" s="17">
        <f t="shared" si="8"/>
        <v>5.5081105664762653E-3</v>
      </c>
    </row>
    <row r="560" spans="1:23" x14ac:dyDescent="0.2">
      <c r="A560" s="14">
        <v>42348</v>
      </c>
      <c r="B560" s="3">
        <v>-10264849099287</v>
      </c>
      <c r="C560" s="3">
        <f>[1]!nefin_factors__1[[#This Row],[Rm_minus_Rf]]/B559-1</f>
        <v>-1.0326904096517393</v>
      </c>
      <c r="D560" s="3">
        <v>-176475830061086</v>
      </c>
      <c r="E560" s="3">
        <f>[1]!nefin_factors__1[[#This Row],[SMB]]/D559-1</f>
        <v>-3.3775098444974505E-2</v>
      </c>
      <c r="F560" s="3">
        <v>-171293427305429</v>
      </c>
      <c r="G560" s="3">
        <f>[1]!nefin_factors__1[[#This Row],[HML]]/F559-1</f>
        <v>-0.74388023428830641</v>
      </c>
      <c r="H560" s="3">
        <v>526700331447971</v>
      </c>
      <c r="I560" s="4">
        <f>[1]!nefin_factors__1[[#This Row],[Risk_Free]]/H559-1</f>
        <v>0</v>
      </c>
      <c r="J560">
        <v>47770</v>
      </c>
      <c r="K560">
        <v>51268</v>
      </c>
      <c r="L560">
        <v>47770</v>
      </c>
      <c r="M560">
        <v>50914</v>
      </c>
      <c r="N560">
        <v>7245100</v>
      </c>
      <c r="O560">
        <v>50914</v>
      </c>
      <c r="P560">
        <v>6.5971567950087004E-2</v>
      </c>
      <c r="Q560">
        <v>6.3886653671339902E-2</v>
      </c>
      <c r="R560" s="8">
        <v>13.2776937484741</v>
      </c>
      <c r="S560" s="8">
        <v>6.9011188732130996E-2</v>
      </c>
      <c r="T560" s="9">
        <v>6.6734098528949098E-2</v>
      </c>
      <c r="U560" s="12">
        <v>5.2531000000000001E-2</v>
      </c>
      <c r="V560" s="16">
        <v>3.9912999999999998</v>
      </c>
      <c r="W560" s="17">
        <f t="shared" si="8"/>
        <v>2.9399939692431598E-3</v>
      </c>
    </row>
    <row r="561" spans="1:23" x14ac:dyDescent="0.2">
      <c r="A561" s="15">
        <v>42349</v>
      </c>
      <c r="B561" s="5">
        <v>-641592970281536</v>
      </c>
      <c r="C561" s="5">
        <f>[1]!nefin_factors__1[[#This Row],[Rm_minus_Rf]]/B560-1</f>
        <v>61.50388720532689</v>
      </c>
      <c r="D561" s="5">
        <v>120582610660114</v>
      </c>
      <c r="E561" s="5">
        <f>[1]!nefin_factors__1[[#This Row],[SMB]]/D560-1</f>
        <v>-1.6832811644426044</v>
      </c>
      <c r="F561" s="5">
        <v>763274595612927</v>
      </c>
      <c r="G561" s="5">
        <f>[1]!nefin_factors__1[[#This Row],[HML]]/F560-1</f>
        <v>-5.4559479462802232</v>
      </c>
      <c r="H561" s="5">
        <v>527048012584741</v>
      </c>
      <c r="I561" s="6">
        <f>[1]!nefin_factors__1[[#This Row],[Risk_Free]]/H560-1</f>
        <v>6.6011186249714804E-4</v>
      </c>
      <c r="J561">
        <v>50915</v>
      </c>
      <c r="K561">
        <v>51308</v>
      </c>
      <c r="L561">
        <v>50202</v>
      </c>
      <c r="M561">
        <v>50815</v>
      </c>
      <c r="N561">
        <v>5448400</v>
      </c>
      <c r="O561">
        <v>50815</v>
      </c>
      <c r="P561">
        <v>-1.9444553560906701E-3</v>
      </c>
      <c r="Q561">
        <v>-1.94634826358735E-3</v>
      </c>
      <c r="R561" s="8">
        <v>13.928804397583001</v>
      </c>
      <c r="S561" s="8">
        <v>4.9037797591311202E-2</v>
      </c>
      <c r="T561" s="9">
        <v>4.7873360787244697E-2</v>
      </c>
      <c r="U561" s="12">
        <v>5.2531000000000001E-2</v>
      </c>
      <c r="V561" s="16">
        <v>3.9116</v>
      </c>
      <c r="W561" s="17">
        <f t="shared" si="8"/>
        <v>-1.9968431338160508E-2</v>
      </c>
    </row>
    <row r="562" spans="1:23" x14ac:dyDescent="0.2">
      <c r="A562" s="14">
        <v>42352</v>
      </c>
      <c r="B562" s="3">
        <v>-126854329141754</v>
      </c>
      <c r="C562" s="3">
        <f>[1]!nefin_factors__1[[#This Row],[Rm_minus_Rf]]/B561-1</f>
        <v>-0.80228223341335969</v>
      </c>
      <c r="D562" s="3">
        <v>-392799042796804</v>
      </c>
      <c r="E562" s="3">
        <f>[1]!nefin_factors__1[[#This Row],[SMB]]/D561-1</f>
        <v>-4.2575098569062</v>
      </c>
      <c r="F562" s="3">
        <v>504417099549157</v>
      </c>
      <c r="G562" s="3">
        <f>[1]!nefin_factors__1[[#This Row],[HML]]/F561-1</f>
        <v>-0.33914072019638164</v>
      </c>
      <c r="H562" s="3">
        <v>527395663398655</v>
      </c>
      <c r="I562" s="4">
        <f>[1]!nefin_factors__1[[#This Row],[Risk_Free]]/H561-1</f>
        <v>6.5961886889409627E-4</v>
      </c>
      <c r="J562">
        <v>50816</v>
      </c>
      <c r="K562">
        <v>51370</v>
      </c>
      <c r="L562">
        <v>50765</v>
      </c>
      <c r="M562">
        <v>51172</v>
      </c>
      <c r="N562">
        <v>3708500</v>
      </c>
      <c r="O562">
        <v>51172</v>
      </c>
      <c r="P562">
        <v>7.02548460100361E-3</v>
      </c>
      <c r="Q562">
        <v>7.0009208650587398E-3</v>
      </c>
      <c r="R562" s="8">
        <v>13.813417434692401</v>
      </c>
      <c r="S562" s="8">
        <v>-8.2838603707268092E-3</v>
      </c>
      <c r="T562" s="9">
        <v>-8.3183622131284204E-3</v>
      </c>
      <c r="U562" s="12">
        <v>5.2531000000000001E-2</v>
      </c>
      <c r="V562" s="16">
        <v>3.8504</v>
      </c>
      <c r="W562" s="17">
        <f t="shared" si="8"/>
        <v>-1.5645771551283327E-2</v>
      </c>
    </row>
    <row r="563" spans="1:23" x14ac:dyDescent="0.2">
      <c r="A563" s="15">
        <v>42353</v>
      </c>
      <c r="B563" s="5">
        <v>506897331639172</v>
      </c>
      <c r="C563" s="5">
        <f>[1]!nefin_factors__1[[#This Row],[Rm_minus_Rf]]/B562-1</f>
        <v>-4.995900928794768</v>
      </c>
      <c r="D563" s="5">
        <v>372606402509279</v>
      </c>
      <c r="E563" s="5">
        <f>[1]!nefin_factors__1[[#This Row],[SMB]]/D562-1</f>
        <v>-1.9485929493520413</v>
      </c>
      <c r="F563" s="5">
        <v>109790770660881</v>
      </c>
      <c r="G563" s="5">
        <f>[1]!nefin_factors__1[[#This Row],[HML]]/F562-1</f>
        <v>-0.78234129897854199</v>
      </c>
      <c r="H563" s="5">
        <v>527743283895266</v>
      </c>
      <c r="I563" s="6">
        <f>[1]!nefin_factors__1[[#This Row],[Risk_Free]]/H562-1</f>
        <v>6.5912657372058092E-4</v>
      </c>
      <c r="J563">
        <v>51170</v>
      </c>
      <c r="K563">
        <v>51215</v>
      </c>
      <c r="L563">
        <v>50812</v>
      </c>
      <c r="M563">
        <v>51010</v>
      </c>
      <c r="N563">
        <v>3896600</v>
      </c>
      <c r="O563">
        <v>51010</v>
      </c>
      <c r="P563">
        <v>-3.1657937934808102E-3</v>
      </c>
      <c r="Q563">
        <v>-3.1708155199533499E-3</v>
      </c>
      <c r="R563" s="8">
        <v>13.599127769470201</v>
      </c>
      <c r="S563" s="8">
        <v>-1.5513180118082901E-2</v>
      </c>
      <c r="T563" s="9">
        <v>-1.5634768618862298E-2</v>
      </c>
      <c r="U563" s="12">
        <v>5.2531000000000001E-2</v>
      </c>
      <c r="V563" s="16">
        <v>3.7187999999999999</v>
      </c>
      <c r="W563" s="17">
        <f t="shared" si="8"/>
        <v>-3.4178267193018974E-2</v>
      </c>
    </row>
    <row r="564" spans="1:23" x14ac:dyDescent="0.2">
      <c r="A564" s="14">
        <v>42354</v>
      </c>
      <c r="B564" s="3">
        <v>316880119338611</v>
      </c>
      <c r="C564" s="3">
        <f>[1]!nefin_factors__1[[#This Row],[Rm_minus_Rf]]/B563-1</f>
        <v>-0.37486331144434226</v>
      </c>
      <c r="D564" s="3">
        <v>-593387152287318</v>
      </c>
      <c r="E564" s="3">
        <f>[1]!nefin_factors__1[[#This Row],[SMB]]/D563-1</f>
        <v>-2.5925307463618825</v>
      </c>
      <c r="F564" s="3">
        <v>426128389918533</v>
      </c>
      <c r="G564" s="3">
        <f>[1]!nefin_factors__1[[#This Row],[HML]]/F563-1</f>
        <v>2.8812769721304514</v>
      </c>
      <c r="H564" s="3">
        <v>527743283895266</v>
      </c>
      <c r="I564" s="4">
        <f>[1]!nefin_factors__1[[#This Row],[Risk_Free]]/H563-1</f>
        <v>0</v>
      </c>
      <c r="J564">
        <v>51005</v>
      </c>
      <c r="K564">
        <v>51005</v>
      </c>
      <c r="L564">
        <v>49491</v>
      </c>
      <c r="M564">
        <v>49690</v>
      </c>
      <c r="N564">
        <v>3638700</v>
      </c>
      <c r="O564">
        <v>49690</v>
      </c>
      <c r="P564">
        <v>-2.5877278964908899E-2</v>
      </c>
      <c r="Q564">
        <v>-2.6217986320605999E-2</v>
      </c>
      <c r="R564" s="8">
        <v>13.351870536804199</v>
      </c>
      <c r="S564" s="8">
        <v>-1.818192278542E-2</v>
      </c>
      <c r="T564" s="9">
        <v>-1.83492452089077E-2</v>
      </c>
      <c r="U564" s="12">
        <v>5.2531000000000001E-2</v>
      </c>
      <c r="V564" s="16">
        <v>3.7713999999999999</v>
      </c>
      <c r="W564" s="17">
        <f t="shared" si="8"/>
        <v>1.414434763902328E-2</v>
      </c>
    </row>
    <row r="565" spans="1:23" x14ac:dyDescent="0.2">
      <c r="A565" s="15">
        <v>42355</v>
      </c>
      <c r="B565" s="5">
        <v>541703241874379</v>
      </c>
      <c r="C565" s="5">
        <f>[1]!nefin_factors__1[[#This Row],[Rm_minus_Rf]]/B564-1</f>
        <v>0.70948951611422184</v>
      </c>
      <c r="D565" s="5">
        <v>106677634534911</v>
      </c>
      <c r="E565" s="5">
        <f>[1]!nefin_factors__1[[#This Row],[SMB]]/D564-1</f>
        <v>-1.1797774591574872</v>
      </c>
      <c r="F565" s="5">
        <v>-649962467649048</v>
      </c>
      <c r="G565" s="5">
        <f>[1]!nefin_factors__1[[#This Row],[HML]]/F564-1</f>
        <v>-2.5252737978178539</v>
      </c>
      <c r="H565" s="5">
        <v>528438433956779</v>
      </c>
      <c r="I565" s="6">
        <f>[1]!nefin_factors__1[[#This Row],[Risk_Free]]/H564-1</f>
        <v>1.3172125211753372E-3</v>
      </c>
      <c r="J565">
        <v>49686</v>
      </c>
      <c r="K565">
        <v>49686</v>
      </c>
      <c r="L565">
        <v>48778</v>
      </c>
      <c r="M565">
        <v>49657</v>
      </c>
      <c r="N565">
        <v>3688400</v>
      </c>
      <c r="O565">
        <v>49657</v>
      </c>
      <c r="P565">
        <v>-6.6411752867778795E-4</v>
      </c>
      <c r="Q565">
        <v>-6.6433815240920201E-4</v>
      </c>
      <c r="R565" s="8">
        <v>13.145824432373001</v>
      </c>
      <c r="S565" s="8">
        <v>-1.5432009289229101E-2</v>
      </c>
      <c r="T565" s="9">
        <v>-1.5552322128837601E-2</v>
      </c>
      <c r="U565" s="12">
        <v>5.2531000000000001E-2</v>
      </c>
      <c r="V565" s="16">
        <v>3.7812999999999999</v>
      </c>
      <c r="W565" s="17">
        <f t="shared" si="8"/>
        <v>2.6250198865143126E-3</v>
      </c>
    </row>
    <row r="566" spans="1:23" x14ac:dyDescent="0.2">
      <c r="A566" s="14">
        <v>42356</v>
      </c>
      <c r="B566" s="3">
        <v>-27379669493559</v>
      </c>
      <c r="C566" s="3">
        <f>[1]!nefin_factors__1[[#This Row],[Rm_minus_Rf]]/B565-1</f>
        <v>-1.0505436692585057</v>
      </c>
      <c r="D566" s="3">
        <v>850499830865454</v>
      </c>
      <c r="E566" s="3">
        <f>[1]!nefin_factors__1[[#This Row],[SMB]]/D565-1</f>
        <v>6.97261613995689</v>
      </c>
      <c r="F566" s="3">
        <v>804520288323887</v>
      </c>
      <c r="G566" s="3">
        <f>[1]!nefin_factors__1[[#This Row],[HML]]/F565-1</f>
        <v>-2.2377949933538219</v>
      </c>
      <c r="H566" s="3">
        <v>528438433956779</v>
      </c>
      <c r="I566" s="4">
        <f>[1]!nefin_factors__1[[#This Row],[Risk_Free]]/H565-1</f>
        <v>0</v>
      </c>
      <c r="J566">
        <v>49687</v>
      </c>
      <c r="K566">
        <v>51149</v>
      </c>
      <c r="L566">
        <v>49687</v>
      </c>
      <c r="M566">
        <v>50838</v>
      </c>
      <c r="N566">
        <v>3515800</v>
      </c>
      <c r="O566">
        <v>50838</v>
      </c>
      <c r="P566">
        <v>2.3783152425640001E-2</v>
      </c>
      <c r="Q566">
        <v>2.3504738982562199E-2</v>
      </c>
      <c r="R566" s="8">
        <v>13.6897888183594</v>
      </c>
      <c r="S566" s="8">
        <v>4.1379329787389903E-2</v>
      </c>
      <c r="T566" s="9">
        <v>4.0546113064359901E-2</v>
      </c>
      <c r="U566" s="12">
        <v>5.2531000000000001E-2</v>
      </c>
      <c r="V566" s="16">
        <v>3.7037</v>
      </c>
      <c r="W566" s="17">
        <f t="shared" si="8"/>
        <v>-2.0522042683733033E-2</v>
      </c>
    </row>
    <row r="567" spans="1:23" x14ac:dyDescent="0.2">
      <c r="A567" s="15">
        <v>42359</v>
      </c>
      <c r="B567" s="5">
        <v>-150506676612638</v>
      </c>
      <c r="C567" s="5">
        <f>[1]!nefin_factors__1[[#This Row],[Rm_minus_Rf]]/B566-1</f>
        <v>4.4970231341924825</v>
      </c>
      <c r="D567" s="5">
        <v>124277493993155</v>
      </c>
      <c r="E567" s="5">
        <f>[1]!nefin_factors__1[[#This Row],[SMB]]/D566-1</f>
        <v>-0.85387710910337</v>
      </c>
      <c r="F567" s="5">
        <v>-11375071428494</v>
      </c>
      <c r="G567" s="5">
        <f>[1]!nefin_factors__1[[#This Row],[HML]]/F566-1</f>
        <v>-1.0141389491273023</v>
      </c>
      <c r="H567" s="5">
        <v>529133462812137</v>
      </c>
      <c r="I567" s="6">
        <f>[1]!nefin_factors__1[[#This Row],[Risk_Free]]/H566-1</f>
        <v>1.3152503881177502E-3</v>
      </c>
      <c r="J567">
        <v>50839</v>
      </c>
      <c r="K567">
        <v>51765</v>
      </c>
      <c r="L567">
        <v>50387</v>
      </c>
      <c r="M567">
        <v>51155</v>
      </c>
      <c r="N567">
        <v>4320900</v>
      </c>
      <c r="O567">
        <v>51155</v>
      </c>
      <c r="P567">
        <v>6.2354931350565596E-3</v>
      </c>
      <c r="Q567">
        <v>6.2161328865213503E-3</v>
      </c>
      <c r="R567" s="8">
        <v>14.1348514556885</v>
      </c>
      <c r="S567" s="8">
        <v>3.2510482127875197E-2</v>
      </c>
      <c r="T567" s="9">
        <v>3.1993197983479202E-2</v>
      </c>
      <c r="U567" s="12">
        <v>5.2531000000000001E-2</v>
      </c>
      <c r="V567" s="16">
        <v>3.67</v>
      </c>
      <c r="W567" s="17">
        <f t="shared" si="8"/>
        <v>-9.09900909900907E-3</v>
      </c>
    </row>
    <row r="568" spans="1:23" x14ac:dyDescent="0.2">
      <c r="A568" s="14">
        <v>42360</v>
      </c>
      <c r="B568" s="3">
        <v>549960827029783</v>
      </c>
      <c r="C568" s="3">
        <f>[1]!nefin_factors__1[[#This Row],[Rm_minus_Rf]]/B567-1</f>
        <v>-4.6540626595936869</v>
      </c>
      <c r="D568" s="3">
        <v>-954583832486407</v>
      </c>
      <c r="E568" s="3">
        <f>[1]!nefin_factors__1[[#This Row],[SMB]]/D567-1</f>
        <v>-8.6810675997295519</v>
      </c>
      <c r="F568" s="3">
        <v>112862139519236</v>
      </c>
      <c r="G568" s="3">
        <f>[1]!nefin_factors__1[[#This Row],[HML]]/F567-1</f>
        <v>-10.921884027604595</v>
      </c>
      <c r="H568" s="3">
        <v>529133462812137</v>
      </c>
      <c r="I568" s="4">
        <f>[1]!nefin_factors__1[[#This Row],[Risk_Free]]/H567-1</f>
        <v>0</v>
      </c>
      <c r="J568">
        <v>51155</v>
      </c>
      <c r="K568">
        <v>52262</v>
      </c>
      <c r="L568">
        <v>50900</v>
      </c>
      <c r="M568">
        <v>51249</v>
      </c>
      <c r="N568">
        <v>4730600</v>
      </c>
      <c r="O568">
        <v>51249</v>
      </c>
      <c r="P568">
        <v>1.8375525364089399E-3</v>
      </c>
      <c r="Q568">
        <v>1.83586630212695E-3</v>
      </c>
      <c r="R568" s="8">
        <v>14.011222839355501</v>
      </c>
      <c r="S568" s="8">
        <v>-8.7464064331810292E-3</v>
      </c>
      <c r="T568" s="9">
        <v>-8.7848807515609004E-3</v>
      </c>
      <c r="U568" s="12">
        <v>5.2531000000000001E-2</v>
      </c>
      <c r="V568" s="16">
        <v>3.6271</v>
      </c>
      <c r="W568" s="17">
        <f t="shared" si="8"/>
        <v>-1.1689373297002703E-2</v>
      </c>
    </row>
    <row r="569" spans="1:23" x14ac:dyDescent="0.2">
      <c r="A569" s="15">
        <v>42361</v>
      </c>
      <c r="B569" s="5">
        <v>115126120620825</v>
      </c>
      <c r="C569" s="5">
        <f>[1]!nefin_factors__1[[#This Row],[Rm_minus_Rf]]/B568-1</f>
        <v>-0.79066487109164529</v>
      </c>
      <c r="D569" s="5">
        <v>29359473137766</v>
      </c>
      <c r="E569" s="5">
        <f>[1]!nefin_factors__1[[#This Row],[SMB]]/D568-1</f>
        <v>-1.030756306715664</v>
      </c>
      <c r="F569" s="5">
        <v>227368075768417</v>
      </c>
      <c r="G569" s="5">
        <f>[1]!nefin_factors__1[[#This Row],[HML]]/F568-1</f>
        <v>1.0145646426423172</v>
      </c>
      <c r="H569" s="5">
        <v>529828370503083</v>
      </c>
      <c r="I569" s="6">
        <f>[1]!nefin_factors__1[[#This Row],[Risk_Free]]/H568-1</f>
        <v>1.3132937902904374E-3</v>
      </c>
      <c r="J569">
        <v>51248</v>
      </c>
      <c r="K569">
        <v>51248</v>
      </c>
      <c r="L569">
        <v>49642</v>
      </c>
      <c r="M569">
        <v>50055</v>
      </c>
      <c r="N569">
        <v>4251900</v>
      </c>
      <c r="O569">
        <v>50055</v>
      </c>
      <c r="P569">
        <v>-2.3298015571035498E-2</v>
      </c>
      <c r="Q569">
        <v>-2.35737047615832E-2</v>
      </c>
      <c r="R569" s="8">
        <v>13.796933174133301</v>
      </c>
      <c r="S569" s="8">
        <v>-1.52940994083398E-2</v>
      </c>
      <c r="T569" s="9">
        <v>-1.5412260472890399E-2</v>
      </c>
      <c r="U569" s="12">
        <v>5.2531000000000001E-2</v>
      </c>
      <c r="V569" s="16">
        <v>3.6238999999999999</v>
      </c>
      <c r="W569" s="17">
        <f t="shared" si="8"/>
        <v>-8.8224752557142239E-4</v>
      </c>
    </row>
    <row r="570" spans="1:23" x14ac:dyDescent="0.2">
      <c r="A570" s="14">
        <v>42366</v>
      </c>
      <c r="B570" s="3">
        <v>-555774738379892</v>
      </c>
      <c r="C570" s="3">
        <f>[1]!nefin_factors__1[[#This Row],[Rm_minus_Rf]]/B569-1</f>
        <v>-5.8275294553732984</v>
      </c>
      <c r="D570" s="3">
        <v>104771203790322</v>
      </c>
      <c r="E570" s="3">
        <f>[1]!nefin_factors__1[[#This Row],[SMB]]/D569-1</f>
        <v>2.5685655290438967</v>
      </c>
      <c r="F570" s="3">
        <v>-143387642984326</v>
      </c>
      <c r="G570" s="3">
        <f>[1]!nefin_factors__1[[#This Row],[HML]]/F569-1</f>
        <v>-1.6306410541573644</v>
      </c>
      <c r="H570" s="3">
        <v>530870504949821</v>
      </c>
      <c r="I570" s="4">
        <f>[1]!nefin_factors__1[[#This Row],[Risk_Free]]/H569-1</f>
        <v>1.9669283578538366E-3</v>
      </c>
      <c r="J570">
        <v>50054</v>
      </c>
      <c r="K570">
        <v>50768</v>
      </c>
      <c r="L570">
        <v>49361</v>
      </c>
      <c r="M570">
        <v>50562</v>
      </c>
      <c r="N570">
        <v>3890600</v>
      </c>
      <c r="O570">
        <v>50562</v>
      </c>
      <c r="P570">
        <v>1.0128858255918499E-2</v>
      </c>
      <c r="Q570">
        <v>1.0077905146824301E-2</v>
      </c>
      <c r="R570" s="8">
        <v>14.0194654464722</v>
      </c>
      <c r="S570" s="8">
        <v>1.6129156214704999E-2</v>
      </c>
      <c r="T570" s="9">
        <v>1.6000463335508499E-2</v>
      </c>
      <c r="U570" s="12">
        <v>5.2531000000000001E-2</v>
      </c>
      <c r="V570" s="16">
        <v>3.7115999999999998</v>
      </c>
      <c r="W570" s="17">
        <f t="shared" si="8"/>
        <v>2.420044703220281E-2</v>
      </c>
    </row>
    <row r="571" spans="1:23" x14ac:dyDescent="0.2">
      <c r="A571" s="15">
        <v>42367</v>
      </c>
      <c r="B571" s="5">
        <v>-278067058788541</v>
      </c>
      <c r="C571" s="5">
        <f>[1]!nefin_factors__1[[#This Row],[Rm_minus_Rf]]/B570-1</f>
        <v>-0.49967668627919504</v>
      </c>
      <c r="D571" s="5">
        <v>443927941181655</v>
      </c>
      <c r="E571" s="5">
        <f>[1]!nefin_factors__1[[#This Row],[SMB]]/D570-1</f>
        <v>3.2371178827923499</v>
      </c>
      <c r="F571" s="5">
        <v>-290839693140448</v>
      </c>
      <c r="G571" s="5">
        <f>[1]!nefin_factors__1[[#This Row],[HML]]/F570-1</f>
        <v>1.0283455888332043</v>
      </c>
      <c r="H571" s="5">
        <v>530523157072471</v>
      </c>
      <c r="I571" s="6">
        <f>[1]!nefin_factors__1[[#This Row],[Risk_Free]]/H570-1</f>
        <v>-6.5429869264033158E-4</v>
      </c>
      <c r="J571">
        <v>50556</v>
      </c>
      <c r="K571">
        <v>50556</v>
      </c>
      <c r="L571">
        <v>48600</v>
      </c>
      <c r="M571">
        <v>48780</v>
      </c>
      <c r="N571">
        <v>3556500</v>
      </c>
      <c r="O571">
        <v>48780</v>
      </c>
      <c r="P571">
        <v>-3.5243859024563999E-2</v>
      </c>
      <c r="Q571">
        <v>-3.58799132304971E-2</v>
      </c>
      <c r="R571" s="8">
        <v>14.011222839355501</v>
      </c>
      <c r="S571" s="8">
        <v>-5.88029905227216E-4</v>
      </c>
      <c r="T571" s="9">
        <v>-5.8820286261800601E-4</v>
      </c>
      <c r="U571" s="12">
        <v>5.2531000000000001E-2</v>
      </c>
      <c r="V571" s="16">
        <v>3.8079000000000001</v>
      </c>
      <c r="W571" s="17">
        <f t="shared" si="8"/>
        <v>2.5945683802133912E-2</v>
      </c>
    </row>
    <row r="572" spans="1:23" x14ac:dyDescent="0.2">
      <c r="A572" s="14">
        <v>42368</v>
      </c>
      <c r="B572" s="3">
        <v>-743337119562693</v>
      </c>
      <c r="C572" s="3">
        <f>[1]!nefin_factors__1[[#This Row],[Rm_minus_Rf]]/B571-1</f>
        <v>1.6732296979052506</v>
      </c>
      <c r="D572" s="3">
        <v>476927404540117</v>
      </c>
      <c r="E572" s="3">
        <f>[1]!nefin_factors__1[[#This Row],[SMB]]/D571-1</f>
        <v>7.4335179873164625E-2</v>
      </c>
      <c r="F572" s="3">
        <v>273940348581439</v>
      </c>
      <c r="G572" s="3">
        <f>[1]!nefin_factors__1[[#This Row],[HML]]/F571-1</f>
        <v>-1.9418946417645675</v>
      </c>
      <c r="H572" s="3">
        <v>53156510991581</v>
      </c>
      <c r="I572" s="4">
        <f>[1]!nefin_factors__1[[#This Row],[Risk_Free]]/H571-1</f>
        <v>-0.89980359898913953</v>
      </c>
      <c r="J572">
        <v>48778</v>
      </c>
      <c r="K572">
        <v>49629</v>
      </c>
      <c r="L572">
        <v>48149</v>
      </c>
      <c r="M572">
        <v>49054</v>
      </c>
      <c r="N572">
        <v>3546100</v>
      </c>
      <c r="O572">
        <v>49054</v>
      </c>
      <c r="P572">
        <v>5.6170561705617397E-3</v>
      </c>
      <c r="Q572">
        <v>5.6013393379707403E-3</v>
      </c>
      <c r="R572" s="8">
        <v>14.2584800720215</v>
      </c>
      <c r="S572" s="8">
        <v>1.7647235592156401E-2</v>
      </c>
      <c r="T572" s="9">
        <v>1.7493331150777201E-2</v>
      </c>
      <c r="U572" s="12">
        <v>5.2531000000000001E-2</v>
      </c>
      <c r="V572" s="16">
        <v>3.6444999999999999</v>
      </c>
      <c r="W572" s="17">
        <f t="shared" si="8"/>
        <v>-4.2910790724546399E-2</v>
      </c>
    </row>
    <row r="573" spans="1:23" x14ac:dyDescent="0.2">
      <c r="A573" s="15">
        <v>42373</v>
      </c>
      <c r="B573" s="5">
        <v>-286260354398395</v>
      </c>
      <c r="C573" s="5">
        <f>[1]!nefin_factors__1[[#This Row],[Rm_minus_Rf]]/B572-1</f>
        <v>-0.6148983457642978</v>
      </c>
      <c r="D573" s="5">
        <v>-128597647065443</v>
      </c>
      <c r="E573" s="5">
        <f>[1]!nefin_factors__1[[#This Row],[SMB]]/D572-1</f>
        <v>-1.2696377810150055</v>
      </c>
      <c r="F573" s="5">
        <v>-164849118135368</v>
      </c>
      <c r="G573" s="5">
        <f>[1]!nefin_factors__1[[#This Row],[HML]]/F572-1</f>
        <v>-1.6017701261935877</v>
      </c>
      <c r="H573" s="5">
        <v>533301092977778</v>
      </c>
      <c r="I573" s="6">
        <f>[1]!nefin_factors__1[[#This Row],[Risk_Free]]/H572-1</f>
        <v>9.0326579572207617</v>
      </c>
      <c r="J573">
        <v>49054</v>
      </c>
      <c r="K573">
        <v>49054</v>
      </c>
      <c r="L573">
        <v>47874</v>
      </c>
      <c r="M573">
        <v>48096</v>
      </c>
      <c r="N573">
        <v>3810000</v>
      </c>
      <c r="O573">
        <v>48096</v>
      </c>
      <c r="P573">
        <v>-1.95294981041302E-2</v>
      </c>
      <c r="Q573">
        <v>-1.9722718555180999E-2</v>
      </c>
      <c r="R573" s="8">
        <v>14.2172698974609</v>
      </c>
      <c r="S573" s="8">
        <v>-2.8902138921450501E-3</v>
      </c>
      <c r="T573" s="9">
        <v>-2.8943986254441299E-3</v>
      </c>
      <c r="U573" s="12">
        <v>5.2531000000000001E-2</v>
      </c>
      <c r="V573" s="16">
        <v>3.6145999999999998</v>
      </c>
      <c r="W573" s="17">
        <f t="shared" si="8"/>
        <v>-8.204143229523897E-3</v>
      </c>
    </row>
    <row r="574" spans="1:23" x14ac:dyDescent="0.2">
      <c r="A574" s="14">
        <v>42374</v>
      </c>
      <c r="B574" s="3">
        <v>674321820516333</v>
      </c>
      <c r="C574" s="3">
        <f>[1]!nefin_factors__1[[#This Row],[Rm_minus_Rf]]/B573-1</f>
        <v>-3.355624207667486</v>
      </c>
      <c r="D574" s="3">
        <v>-167301606774855</v>
      </c>
      <c r="E574" s="3">
        <f>[1]!nefin_factors__1[[#This Row],[SMB]]/D573-1</f>
        <v>0.30096942356741296</v>
      </c>
      <c r="F574" s="3">
        <v>-130511999686122</v>
      </c>
      <c r="G574" s="3">
        <f>[1]!nefin_factors__1[[#This Row],[HML]]/F573-1</f>
        <v>-0.20829421981529572</v>
      </c>
      <c r="H574" s="3">
        <v>532259593865714</v>
      </c>
      <c r="I574" s="4">
        <f>[1]!nefin_factors__1[[#This Row],[Risk_Free]]/H573-1</f>
        <v>-1.9529288909734266E-3</v>
      </c>
      <c r="J574">
        <v>48099</v>
      </c>
      <c r="K574">
        <v>48940</v>
      </c>
      <c r="L574">
        <v>48099</v>
      </c>
      <c r="M574">
        <v>48513</v>
      </c>
      <c r="N574">
        <v>3059900</v>
      </c>
      <c r="O574">
        <v>48513</v>
      </c>
      <c r="P574">
        <v>8.6701596806386706E-3</v>
      </c>
      <c r="Q574">
        <v>8.6327896933524294E-3</v>
      </c>
      <c r="R574" s="8">
        <v>14.752992630004901</v>
      </c>
      <c r="S574" s="8">
        <v>3.7681037060132802E-2</v>
      </c>
      <c r="T574" s="9">
        <v>3.6988451452422501E-2</v>
      </c>
      <c r="U574" s="12">
        <v>5.2531000000000001E-2</v>
      </c>
      <c r="V574" s="16">
        <v>3.6229</v>
      </c>
      <c r="W574" s="17">
        <f t="shared" si="8"/>
        <v>2.2962430144415347E-3</v>
      </c>
    </row>
    <row r="575" spans="1:23" x14ac:dyDescent="0.2">
      <c r="A575" s="15">
        <v>42375</v>
      </c>
      <c r="B575" s="5">
        <v>-141355511774492</v>
      </c>
      <c r="C575" s="5">
        <f>[1]!nefin_factors__1[[#This Row],[Rm_minus_Rf]]/B574-1</f>
        <v>-1.2096261865977511</v>
      </c>
      <c r="D575" s="5">
        <v>-155286493821741</v>
      </c>
      <c r="E575" s="5">
        <f>[1]!nefin_factors__1[[#This Row],[SMB]]/D574-1</f>
        <v>-7.1817080449701032E-2</v>
      </c>
      <c r="F575" s="5">
        <v>-228339307589105</v>
      </c>
      <c r="G575" s="5">
        <f>[1]!nefin_factors__1[[#This Row],[HML]]/F574-1</f>
        <v>0.7495656195465179</v>
      </c>
      <c r="H575" s="5">
        <v>532606790472734</v>
      </c>
      <c r="I575" s="6">
        <f>[1]!nefin_factors__1[[#This Row],[Risk_Free]]/H574-1</f>
        <v>6.5230690253681445E-4</v>
      </c>
      <c r="J575">
        <v>48517</v>
      </c>
      <c r="K575">
        <v>50486</v>
      </c>
      <c r="L575">
        <v>48517</v>
      </c>
      <c r="M575">
        <v>50293</v>
      </c>
      <c r="N575">
        <v>5047700</v>
      </c>
      <c r="O575">
        <v>50293</v>
      </c>
      <c r="P575">
        <v>3.6691196174221299E-2</v>
      </c>
      <c r="Q575">
        <v>3.6034099147488202E-2</v>
      </c>
      <c r="R575" s="8">
        <v>15.2887172698975</v>
      </c>
      <c r="S575" s="8">
        <v>3.6313084423547998E-2</v>
      </c>
      <c r="T575" s="9">
        <v>3.5669303224580201E-2</v>
      </c>
      <c r="U575" s="12">
        <v>5.2531000000000001E-2</v>
      </c>
      <c r="V575" s="16">
        <v>3.6073</v>
      </c>
      <c r="W575" s="17">
        <f t="shared" si="8"/>
        <v>-4.3059427530431904E-3</v>
      </c>
    </row>
    <row r="576" spans="1:23" x14ac:dyDescent="0.2">
      <c r="A576" s="14">
        <v>42376</v>
      </c>
      <c r="B576" s="3">
        <v>-256324701742467</v>
      </c>
      <c r="C576" s="3">
        <f>[1]!nefin_factors__1[[#This Row],[Rm_minus_Rf]]/B575-1</f>
        <v>0.81333361907661761</v>
      </c>
      <c r="D576" s="3">
        <v>412062916392299</v>
      </c>
      <c r="E576" s="3">
        <f>[1]!nefin_factors__1[[#This Row],[SMB]]/D575-1</f>
        <v>-3.653565717475217</v>
      </c>
      <c r="F576" s="3">
        <v>-112651858227252</v>
      </c>
      <c r="G576" s="3">
        <f>[1]!nefin_factors__1[[#This Row],[HML]]/F575-1</f>
        <v>-0.50664710593776419</v>
      </c>
      <c r="H576" s="3">
        <v>53295395684172</v>
      </c>
      <c r="I576" s="4">
        <f>[1]!nefin_factors__1[[#This Row],[Risk_Free]]/H575-1</f>
        <v>-0.89993481750980342</v>
      </c>
      <c r="J576">
        <v>50303</v>
      </c>
      <c r="K576">
        <v>51089</v>
      </c>
      <c r="L576">
        <v>50078</v>
      </c>
      <c r="M576">
        <v>50165</v>
      </c>
      <c r="N576">
        <v>4050700</v>
      </c>
      <c r="O576">
        <v>50165</v>
      </c>
      <c r="P576">
        <v>-2.5450857972282299E-3</v>
      </c>
      <c r="Q576">
        <v>-2.5483300338285698E-3</v>
      </c>
      <c r="R576" s="8">
        <v>15.7420206069946</v>
      </c>
      <c r="S576" s="8">
        <v>2.9649402940915601E-2</v>
      </c>
      <c r="T576" s="9">
        <v>2.9218358802995999E-2</v>
      </c>
      <c r="U576" s="12">
        <v>5.2531000000000001E-2</v>
      </c>
      <c r="V576" s="16">
        <v>3.6530999999999998</v>
      </c>
      <c r="W576" s="17">
        <f t="shared" si="8"/>
        <v>1.2696476589138639E-2</v>
      </c>
    </row>
    <row r="577" spans="1:23" x14ac:dyDescent="0.2">
      <c r="A577" s="15">
        <v>42377</v>
      </c>
      <c r="B577" s="5">
        <v>-655458063553995</v>
      </c>
      <c r="C577" s="5">
        <f>[1]!nefin_factors__1[[#This Row],[Rm_minus_Rf]]/B576-1</f>
        <v>1.5571396712773429</v>
      </c>
      <c r="D577" s="5">
        <v>851427469770797</v>
      </c>
      <c r="E577" s="5">
        <f>[1]!nefin_factors__1[[#This Row],[SMB]]/D576-1</f>
        <v>1.0662559912579148</v>
      </c>
      <c r="F577" s="5">
        <v>123510452068618</v>
      </c>
      <c r="G577" s="5">
        <f>[1]!nefin_factors__1[[#This Row],[HML]]/F576-1</f>
        <v>-2.0963907210430657</v>
      </c>
      <c r="H577" s="5">
        <v>533648198886238</v>
      </c>
      <c r="I577" s="6">
        <f>[1]!nefin_factors__1[[#This Row],[Risk_Free]]/H576-1</f>
        <v>9.0130263043477914</v>
      </c>
      <c r="J577">
        <v>50166</v>
      </c>
      <c r="K577">
        <v>52327</v>
      </c>
      <c r="L577">
        <v>50166</v>
      </c>
      <c r="M577">
        <v>52002</v>
      </c>
      <c r="N577">
        <v>5146900</v>
      </c>
      <c r="O577">
        <v>52002</v>
      </c>
      <c r="P577">
        <v>3.6619156782617297E-2</v>
      </c>
      <c r="Q577">
        <v>3.5964607002686701E-2</v>
      </c>
      <c r="R577" s="8">
        <v>16.046970367431602</v>
      </c>
      <c r="S577" s="8">
        <v>1.93717136424865E-2</v>
      </c>
      <c r="T577" s="9">
        <v>1.9186470493388001E-2</v>
      </c>
      <c r="U577" s="12">
        <v>5.2531000000000001E-2</v>
      </c>
      <c r="V577" s="16">
        <v>3.6947999999999999</v>
      </c>
      <c r="W577" s="17">
        <f t="shared" si="8"/>
        <v>1.1414962634474835E-2</v>
      </c>
    </row>
    <row r="578" spans="1:23" x14ac:dyDescent="0.2">
      <c r="A578" s="14">
        <v>42380</v>
      </c>
      <c r="B578" s="3">
        <v>-17153519696755</v>
      </c>
      <c r="C578" s="3">
        <f>[1]!nefin_factors__1[[#This Row],[Rm_minus_Rf]]/B577-1</f>
        <v>-0.9738297220668154</v>
      </c>
      <c r="D578" s="3">
        <v>-164986798135757</v>
      </c>
      <c r="E578" s="3">
        <f>[1]!nefin_factors__1[[#This Row],[SMB]]/D577-1</f>
        <v>-1.1937766914898473</v>
      </c>
      <c r="F578" s="3">
        <v>479549742025934</v>
      </c>
      <c r="G578" s="3">
        <f>[1]!nefin_factors__1[[#This Row],[HML]]/F577-1</f>
        <v>2.8826652643090744</v>
      </c>
      <c r="H578" s="3">
        <v>534689335298433</v>
      </c>
      <c r="I578" s="4">
        <f>[1]!nefin_factors__1[[#This Row],[Risk_Free]]/H577-1</f>
        <v>1.9509789677318867E-3</v>
      </c>
      <c r="J578">
        <v>52010</v>
      </c>
      <c r="K578">
        <v>53844</v>
      </c>
      <c r="L578">
        <v>52010</v>
      </c>
      <c r="M578">
        <v>53150</v>
      </c>
      <c r="N578">
        <v>6376500</v>
      </c>
      <c r="O578">
        <v>53150</v>
      </c>
      <c r="P578">
        <v>2.2076073997153899E-2</v>
      </c>
      <c r="Q578">
        <v>2.1835925407693999E-2</v>
      </c>
      <c r="R578" s="8">
        <v>15.610150337219199</v>
      </c>
      <c r="S578" s="8">
        <v>-2.72213276865425E-2</v>
      </c>
      <c r="T578" s="9">
        <v>-2.75986920304527E-2</v>
      </c>
      <c r="U578" s="12">
        <v>5.2531000000000001E-2</v>
      </c>
      <c r="V578" s="16">
        <v>3.6408</v>
      </c>
      <c r="W578" s="17">
        <f t="shared" si="8"/>
        <v>-1.4615134784020767E-2</v>
      </c>
    </row>
    <row r="579" spans="1:23" x14ac:dyDescent="0.2">
      <c r="A579" s="15">
        <v>42381</v>
      </c>
      <c r="B579" s="5">
        <v>-788127721141969</v>
      </c>
      <c r="C579" s="5">
        <f>[1]!nefin_factors__1[[#This Row],[Rm_minus_Rf]]/B578-1</f>
        <v>44.945539753632154</v>
      </c>
      <c r="D579" s="5">
        <v>-99289181647544</v>
      </c>
      <c r="E579" s="5">
        <f>[1]!nefin_factors__1[[#This Row],[SMB]]/D578-1</f>
        <v>-0.3981992330935149</v>
      </c>
      <c r="F579" s="5">
        <v>-165716855067404</v>
      </c>
      <c r="G579" s="5">
        <f>[1]!nefin_factors__1[[#This Row],[HML]]/F578-1</f>
        <v>-1.3455676034092039</v>
      </c>
      <c r="H579" s="5">
        <v>534689335298433</v>
      </c>
      <c r="I579" s="6">
        <f>[1]!nefin_factors__1[[#This Row],[Risk_Free]]/H578-1</f>
        <v>0</v>
      </c>
      <c r="J579">
        <v>53150</v>
      </c>
      <c r="K579">
        <v>53699</v>
      </c>
      <c r="L579">
        <v>52242</v>
      </c>
      <c r="M579">
        <v>52411</v>
      </c>
      <c r="N579">
        <v>5492100</v>
      </c>
      <c r="O579">
        <v>52411</v>
      </c>
      <c r="P579">
        <v>-1.3904045155221E-2</v>
      </c>
      <c r="Q579">
        <v>-1.40016118277275E-2</v>
      </c>
      <c r="R579" s="8">
        <v>15.1073951721191</v>
      </c>
      <c r="S579" s="8">
        <v>-3.2206882711801499E-2</v>
      </c>
      <c r="T579" s="9">
        <v>-3.2736936357032898E-2</v>
      </c>
      <c r="U579" s="12">
        <v>5.2531000000000001E-2</v>
      </c>
      <c r="V579" s="16">
        <v>3.6686999999999999</v>
      </c>
      <c r="W579" s="17">
        <f t="shared" si="8"/>
        <v>7.6631509558338085E-3</v>
      </c>
    </row>
    <row r="580" spans="1:23" x14ac:dyDescent="0.2">
      <c r="A580" s="14">
        <v>42382</v>
      </c>
      <c r="B580" s="3">
        <v>-137228910179357</v>
      </c>
      <c r="C580" s="3">
        <f>[1]!nefin_factors__1[[#This Row],[Rm_minus_Rf]]/B579-1</f>
        <v>-0.82587985868519231</v>
      </c>
      <c r="D580" s="3">
        <v>-437563947749506</v>
      </c>
      <c r="E580" s="3">
        <f>[1]!nefin_factors__1[[#This Row],[SMB]]/D579-1</f>
        <v>3.4069649934548485</v>
      </c>
      <c r="F580" s="3">
        <v>-959203560159133</v>
      </c>
      <c r="G580" s="3">
        <f>[1]!nefin_factors__1[[#This Row],[HML]]/F579-1</f>
        <v>4.7882076012665378</v>
      </c>
      <c r="H580" s="3">
        <v>535383275198642</v>
      </c>
      <c r="I580" s="4">
        <f>[1]!nefin_factors__1[[#This Row],[Risk_Free]]/H579-1</f>
        <v>1.297837556123449E-3</v>
      </c>
      <c r="J580">
        <v>52414</v>
      </c>
      <c r="K580">
        <v>53390</v>
      </c>
      <c r="L580">
        <v>52414</v>
      </c>
      <c r="M580">
        <v>53228</v>
      </c>
      <c r="N580">
        <v>5047800</v>
      </c>
      <c r="O580">
        <v>53228</v>
      </c>
      <c r="P580">
        <v>1.5588330693938401E-2</v>
      </c>
      <c r="Q580">
        <v>1.54680807212667E-2</v>
      </c>
      <c r="R580" s="8">
        <v>15.568941116333001</v>
      </c>
      <c r="S580" s="8">
        <v>3.0551014813536202E-2</v>
      </c>
      <c r="T580" s="9">
        <v>3.00936250367181E-2</v>
      </c>
      <c r="U580" s="12">
        <v>5.2531000000000001E-2</v>
      </c>
      <c r="V580" s="16">
        <v>3.6116000000000001</v>
      </c>
      <c r="W580" s="17">
        <f t="shared" ref="W580:W643" si="9">V580/V579-1</f>
        <v>-1.5564096273884442E-2</v>
      </c>
    </row>
    <row r="581" spans="1:23" x14ac:dyDescent="0.2">
      <c r="A581" s="15">
        <v>42383</v>
      </c>
      <c r="B581" s="5">
        <v>109942924573031</v>
      </c>
      <c r="C581" s="5">
        <f>[1]!nefin_factors__1[[#This Row],[Rm_minus_Rf]]/B580-1</f>
        <v>-1.8011644516402305</v>
      </c>
      <c r="D581" s="5">
        <v>-137562447658941</v>
      </c>
      <c r="E581" s="5">
        <f>[1]!nefin_factors__1[[#This Row],[SMB]]/D580-1</f>
        <v>-0.6856175003300502</v>
      </c>
      <c r="F581" s="5">
        <v>-22678115416396</v>
      </c>
      <c r="G581" s="5">
        <f>[1]!nefin_factors__1[[#This Row],[HML]]/F580-1</f>
        <v>-0.97635734857715328</v>
      </c>
      <c r="H581" s="5">
        <v>53607709431458</v>
      </c>
      <c r="I581" s="6">
        <f>[1]!nefin_factors__1[[#This Row],[Risk_Free]]/H580-1</f>
        <v>-0.89987040702463472</v>
      </c>
      <c r="J581">
        <v>53229</v>
      </c>
      <c r="K581">
        <v>53479</v>
      </c>
      <c r="L581">
        <v>52305</v>
      </c>
      <c r="M581">
        <v>52894</v>
      </c>
      <c r="N581">
        <v>4385600</v>
      </c>
      <c r="O581">
        <v>52894</v>
      </c>
      <c r="P581">
        <v>-6.2748929135041402E-3</v>
      </c>
      <c r="Q581">
        <v>-6.2946628000472397E-3</v>
      </c>
      <c r="R581" s="8">
        <v>15.865649223327599</v>
      </c>
      <c r="S581" s="8">
        <v>1.9057559427381202E-2</v>
      </c>
      <c r="T581" s="9">
        <v>1.8878238835078501E-2</v>
      </c>
      <c r="U581" s="12">
        <v>5.2531000000000001E-2</v>
      </c>
      <c r="V581" s="16">
        <v>3.5589</v>
      </c>
      <c r="W581" s="17">
        <f t="shared" si="9"/>
        <v>-1.4591870639051985E-2</v>
      </c>
    </row>
    <row r="582" spans="1:23" x14ac:dyDescent="0.2">
      <c r="A582" s="14">
        <v>42384</v>
      </c>
      <c r="B582" s="3">
        <v>-23121030645245</v>
      </c>
      <c r="C582" s="3">
        <f>[1]!nefin_factors__1[[#This Row],[Rm_minus_Rf]]/B581-1</f>
        <v>-1.2103003056816681</v>
      </c>
      <c r="D582" s="3">
        <v>23713008481767</v>
      </c>
      <c r="E582" s="3">
        <f>[1]!nefin_factors__1[[#This Row],[SMB]]/D581-1</f>
        <v>-1.1723799545974838</v>
      </c>
      <c r="F582" s="3">
        <v>-379841618287092</v>
      </c>
      <c r="G582" s="3">
        <f>[1]!nefin_factors__1[[#This Row],[HML]]/F581-1</f>
        <v>15.749258539026183</v>
      </c>
      <c r="H582" s="3">
        <v>536423958591881</v>
      </c>
      <c r="I582" s="4">
        <f>[1]!nefin_factors__1[[#This Row],[Risk_Free]]/H581-1</f>
        <v>9.0064704177995978</v>
      </c>
      <c r="J582">
        <v>52894</v>
      </c>
      <c r="K582">
        <v>54054</v>
      </c>
      <c r="L582">
        <v>52894</v>
      </c>
      <c r="M582">
        <v>53710</v>
      </c>
      <c r="N582">
        <v>5033900</v>
      </c>
      <c r="O582">
        <v>53710</v>
      </c>
      <c r="P582">
        <v>1.54270805762469E-2</v>
      </c>
      <c r="Q582">
        <v>1.53092930359193E-2</v>
      </c>
      <c r="R582" s="8">
        <v>16.071697235107401</v>
      </c>
      <c r="S582" s="8">
        <v>1.2987066917981901E-2</v>
      </c>
      <c r="T582" s="9">
        <v>1.2903458075452699E-2</v>
      </c>
      <c r="U582" s="12">
        <v>5.2531000000000001E-2</v>
      </c>
      <c r="V582" s="16">
        <v>3.5798999999999999</v>
      </c>
      <c r="W582" s="17">
        <f t="shared" si="9"/>
        <v>5.9006996543875534E-3</v>
      </c>
    </row>
    <row r="583" spans="1:23" x14ac:dyDescent="0.2">
      <c r="A583" s="15">
        <v>42387</v>
      </c>
      <c r="B583" s="5">
        <v>-163690732640272</v>
      </c>
      <c r="C583" s="5">
        <f>[1]!nefin_factors__1[[#This Row],[Rm_minus_Rf]]/B582-1</f>
        <v>6.079733388698922</v>
      </c>
      <c r="D583" s="5">
        <v>750014828244681</v>
      </c>
      <c r="E583" s="5">
        <f>[1]!nefin_factors__1[[#This Row],[SMB]]/D582-1</f>
        <v>30.628834815344899</v>
      </c>
      <c r="F583" s="5">
        <v>-312178484842744</v>
      </c>
      <c r="G583" s="5">
        <f>[1]!nefin_factors__1[[#This Row],[HML]]/F582-1</f>
        <v>-0.17813512313231261</v>
      </c>
      <c r="H583" s="5">
        <v>537811113951348</v>
      </c>
      <c r="I583" s="6">
        <f>[1]!nefin_factors__1[[#This Row],[Risk_Free]]/H582-1</f>
        <v>2.5859310294571447E-3</v>
      </c>
      <c r="J583">
        <v>53711</v>
      </c>
      <c r="K583">
        <v>53857</v>
      </c>
      <c r="L583">
        <v>53149</v>
      </c>
      <c r="M583">
        <v>53631</v>
      </c>
      <c r="N583">
        <v>4554100</v>
      </c>
      <c r="O583">
        <v>53631</v>
      </c>
      <c r="P583">
        <v>-1.4708620368646399E-3</v>
      </c>
      <c r="Q583">
        <v>-1.4719448163067401E-3</v>
      </c>
      <c r="R583" s="8">
        <v>15.9892778396606</v>
      </c>
      <c r="S583" s="8">
        <v>-5.1282773940597402E-3</v>
      </c>
      <c r="T583" s="9">
        <v>-5.1414721387803303E-3</v>
      </c>
      <c r="U583" s="12">
        <v>5.2531000000000001E-2</v>
      </c>
      <c r="V583" s="16">
        <v>3.5871</v>
      </c>
      <c r="W583" s="17">
        <f t="shared" si="9"/>
        <v>2.0112293639487078E-3</v>
      </c>
    </row>
    <row r="584" spans="1:23" x14ac:dyDescent="0.2">
      <c r="A584" s="14">
        <v>42388</v>
      </c>
      <c r="B584" s="3">
        <v>422440946022904</v>
      </c>
      <c r="C584" s="3">
        <f>[1]!nefin_factors__1[[#This Row],[Rm_minus_Rf]]/B583-1</f>
        <v>-3.5807260998169239</v>
      </c>
      <c r="D584" s="3">
        <v>-13054553600593</v>
      </c>
      <c r="E584" s="3">
        <f>[1]!nefin_factors__1[[#This Row],[SMB]]/D583-1</f>
        <v>-1.0174057273389456</v>
      </c>
      <c r="F584" s="3">
        <v>-628623347768426</v>
      </c>
      <c r="G584" s="3">
        <f>[1]!nefin_factors__1[[#This Row],[HML]]/F583-1</f>
        <v>1.0136664705932157</v>
      </c>
      <c r="H584" s="3">
        <v>534689335298433</v>
      </c>
      <c r="I584" s="4">
        <f>[1]!nefin_factors__1[[#This Row],[Risk_Free]]/H583-1</f>
        <v>-5.8046004850643707E-3</v>
      </c>
      <c r="J584">
        <v>53630</v>
      </c>
      <c r="K584">
        <v>53630</v>
      </c>
      <c r="L584">
        <v>52629</v>
      </c>
      <c r="M584">
        <v>52908</v>
      </c>
      <c r="N584">
        <v>4259400</v>
      </c>
      <c r="O584">
        <v>52908</v>
      </c>
      <c r="P584">
        <v>-1.3481009117860999E-2</v>
      </c>
      <c r="Q584">
        <v>-1.35727029372604E-2</v>
      </c>
      <c r="R584" s="8">
        <v>16.055213928222699</v>
      </c>
      <c r="S584" s="8">
        <v>4.1238598880439801E-3</v>
      </c>
      <c r="T584" s="9">
        <v>4.1153800828807197E-3</v>
      </c>
      <c r="U584" s="12">
        <v>5.2531000000000001E-2</v>
      </c>
      <c r="V584" s="16">
        <v>3.6581000000000001</v>
      </c>
      <c r="W584" s="17">
        <f t="shared" si="9"/>
        <v>1.979314766803264E-2</v>
      </c>
    </row>
    <row r="585" spans="1:23" x14ac:dyDescent="0.2">
      <c r="A585" s="15">
        <v>42389</v>
      </c>
      <c r="B585" s="5">
        <v>-122234272819693</v>
      </c>
      <c r="C585" s="5">
        <f>[1]!nefin_factors__1[[#This Row],[Rm_minus_Rf]]/B584-1</f>
        <v>-1.289352331895085</v>
      </c>
      <c r="D585" s="5">
        <v>-594697118521949</v>
      </c>
      <c r="E585" s="5">
        <f>[1]!nefin_factors__1[[#This Row],[SMB]]/D584-1</f>
        <v>44.554764775329815</v>
      </c>
      <c r="F585" s="5">
        <v>-126947098026151</v>
      </c>
      <c r="G585" s="5">
        <f>[1]!nefin_factors__1[[#This Row],[HML]]/F584-1</f>
        <v>-0.79805538805263065</v>
      </c>
      <c r="H585" s="5">
        <v>532259593865714</v>
      </c>
      <c r="I585" s="6">
        <f>[1]!nefin_factors__1[[#This Row],[Risk_Free]]/H584-1</f>
        <v>-4.5442115118358162E-3</v>
      </c>
      <c r="J585">
        <v>52911</v>
      </c>
      <c r="K585">
        <v>52949</v>
      </c>
      <c r="L585">
        <v>51748</v>
      </c>
      <c r="M585">
        <v>51862</v>
      </c>
      <c r="N585">
        <v>3693200</v>
      </c>
      <c r="O585">
        <v>51862</v>
      </c>
      <c r="P585">
        <v>-1.97701670824828E-2</v>
      </c>
      <c r="Q585">
        <v>-1.9968211428607999E-2</v>
      </c>
      <c r="R585" s="8">
        <v>15.9068593978882</v>
      </c>
      <c r="S585" s="8">
        <v>-9.2402092119453494E-3</v>
      </c>
      <c r="T585" s="9">
        <v>-9.2831647620315004E-3</v>
      </c>
      <c r="U585" s="12">
        <v>5.2531000000000001E-2</v>
      </c>
      <c r="V585" s="16">
        <v>3.6749000000000001</v>
      </c>
      <c r="W585" s="17">
        <f t="shared" si="9"/>
        <v>4.5925480440665023E-3</v>
      </c>
    </row>
    <row r="586" spans="1:23" x14ac:dyDescent="0.2">
      <c r="A586" s="14">
        <v>42390</v>
      </c>
      <c r="B586" s="3">
        <v>-216295189959999</v>
      </c>
      <c r="C586" s="3">
        <f>[1]!nefin_factors__1[[#This Row],[Rm_minus_Rf]]/B585-1</f>
        <v>0.76951345126464377</v>
      </c>
      <c r="D586" s="3">
        <v>-140942113104402</v>
      </c>
      <c r="E586" s="3">
        <f>[1]!nefin_factors__1[[#This Row],[SMB]]/D585-1</f>
        <v>-0.7630018563824601</v>
      </c>
      <c r="F586" s="3">
        <v>-317874004252146</v>
      </c>
      <c r="G586" s="3">
        <f>[1]!nefin_factors__1[[#This Row],[HML]]/F585-1</f>
        <v>1.5039879539953267</v>
      </c>
      <c r="H586" s="3">
        <v>525657106047905</v>
      </c>
      <c r="I586" s="4">
        <f>[1]!nefin_factors__1[[#This Row],[Risk_Free]]/H585-1</f>
        <v>-1.2404638439405535E-2</v>
      </c>
      <c r="J586">
        <v>51867</v>
      </c>
      <c r="K586">
        <v>53108</v>
      </c>
      <c r="L586">
        <v>51838</v>
      </c>
      <c r="M586">
        <v>53083</v>
      </c>
      <c r="N586">
        <v>3749400</v>
      </c>
      <c r="O586">
        <v>53083</v>
      </c>
      <c r="P586">
        <v>2.3543249392618901E-2</v>
      </c>
      <c r="Q586">
        <v>2.3270381594403498E-2</v>
      </c>
      <c r="R586" s="8">
        <v>16.0304870605469</v>
      </c>
      <c r="S586" s="8">
        <v>7.7719352176936997E-3</v>
      </c>
      <c r="T586" s="9">
        <v>7.7418893053593099E-3</v>
      </c>
      <c r="U586" s="12">
        <v>5.2531000000000001E-2</v>
      </c>
      <c r="V586" s="16">
        <v>3.6920999999999999</v>
      </c>
      <c r="W586" s="17">
        <f t="shared" si="9"/>
        <v>4.6803994666522186E-3</v>
      </c>
    </row>
    <row r="587" spans="1:23" x14ac:dyDescent="0.2">
      <c r="A587" s="15">
        <v>42391</v>
      </c>
      <c r="B587" s="5">
        <v>122870935224805</v>
      </c>
      <c r="C587" s="5">
        <f>[1]!nefin_factors__1[[#This Row],[Rm_minus_Rf]]/B586-1</f>
        <v>-1.5680705856081607</v>
      </c>
      <c r="D587" s="5">
        <v>-660146707215357</v>
      </c>
      <c r="E587" s="5">
        <f>[1]!nefin_factors__1[[#This Row],[SMB]]/D586-1</f>
        <v>3.6838144588222361</v>
      </c>
      <c r="F587" s="5">
        <v>-238221959040879</v>
      </c>
      <c r="G587" s="5">
        <f>[1]!nefin_factors__1[[#This Row],[HML]]/F586-1</f>
        <v>-0.25057741163409164</v>
      </c>
      <c r="H587" s="5">
        <v>524961470736551</v>
      </c>
      <c r="I587" s="6">
        <f>[1]!nefin_factors__1[[#This Row],[Risk_Free]]/H586-1</f>
        <v>-1.3233632787428284E-3</v>
      </c>
      <c r="J587">
        <v>53094</v>
      </c>
      <c r="K587">
        <v>54560</v>
      </c>
      <c r="L587">
        <v>53094</v>
      </c>
      <c r="M587">
        <v>54478</v>
      </c>
      <c r="N587">
        <v>4897900</v>
      </c>
      <c r="O587">
        <v>54478</v>
      </c>
      <c r="P587">
        <v>2.62795998718988E-2</v>
      </c>
      <c r="Q587">
        <v>2.5940224118275498E-2</v>
      </c>
      <c r="R587" s="8">
        <v>15.667843818664601</v>
      </c>
      <c r="S587" s="8">
        <v>1.61182621963749E-2</v>
      </c>
      <c r="T587" s="9">
        <v>1.59897421819407E-2</v>
      </c>
      <c r="U587" s="12">
        <v>5.2531000000000001E-2</v>
      </c>
      <c r="V587" s="16">
        <v>3.6385000000000001</v>
      </c>
      <c r="W587" s="17">
        <f t="shared" si="9"/>
        <v>-1.4517483275100829E-2</v>
      </c>
    </row>
    <row r="588" spans="1:23" x14ac:dyDescent="0.2">
      <c r="A588" s="14">
        <v>42395</v>
      </c>
      <c r="B588" s="3">
        <v>-128701821058201</v>
      </c>
      <c r="C588" s="3">
        <f>[1]!nefin_factors__1[[#This Row],[Rm_minus_Rf]]/B587-1</f>
        <v>-2.0474553711398693</v>
      </c>
      <c r="D588" s="3">
        <v>466263035281861</v>
      </c>
      <c r="E588" s="3">
        <f>[1]!nefin_factors__1[[#This Row],[SMB]]/D587-1</f>
        <v>-1.7063021449408728</v>
      </c>
      <c r="F588" s="3">
        <v>-129034430559728</v>
      </c>
      <c r="G588" s="3">
        <f>[1]!nefin_factors__1[[#This Row],[HML]]/F587-1</f>
        <v>-0.45834367629566164</v>
      </c>
      <c r="H588" s="3">
        <v>524961470736551</v>
      </c>
      <c r="I588" s="4">
        <f>[1]!nefin_factors__1[[#This Row],[Risk_Free]]/H587-1</f>
        <v>0</v>
      </c>
      <c r="J588">
        <v>54475</v>
      </c>
      <c r="K588">
        <v>54978</v>
      </c>
      <c r="L588">
        <v>53963</v>
      </c>
      <c r="M588">
        <v>54312</v>
      </c>
      <c r="N588">
        <v>4413500</v>
      </c>
      <c r="O588">
        <v>54312</v>
      </c>
      <c r="P588">
        <v>-3.0471015822900499E-3</v>
      </c>
      <c r="Q588">
        <v>-3.05175344852587E-3</v>
      </c>
      <c r="R588" s="8">
        <v>15.5030059814453</v>
      </c>
      <c r="S588" s="8">
        <v>-1.0520683688020199E-2</v>
      </c>
      <c r="T588" s="9">
        <v>-1.0576417329310001E-2</v>
      </c>
      <c r="U588" s="12">
        <v>5.2531000000000001E-2</v>
      </c>
      <c r="V588" s="16">
        <v>3.5284</v>
      </c>
      <c r="W588" s="17">
        <f t="shared" si="9"/>
        <v>-3.0259722413082391E-2</v>
      </c>
    </row>
    <row r="589" spans="1:23" x14ac:dyDescent="0.2">
      <c r="A589" s="15">
        <v>42396</v>
      </c>
      <c r="B589" s="5">
        <v>265996103638669</v>
      </c>
      <c r="C589" s="5">
        <f>[1]!nefin_factors__1[[#This Row],[Rm_minus_Rf]]/B588-1</f>
        <v>-3.0667625481257281</v>
      </c>
      <c r="D589" s="5">
        <v>-544267602907231</v>
      </c>
      <c r="E589" s="5">
        <f>[1]!nefin_factors__1[[#This Row],[SMB]]/D588-1</f>
        <v>-2.1672973444661237</v>
      </c>
      <c r="F589" s="5">
        <v>385539716127567</v>
      </c>
      <c r="G589" s="5">
        <f>[1]!nefin_factors__1[[#This Row],[HML]]/F588-1</f>
        <v>-3.9878824934954609</v>
      </c>
      <c r="H589" s="5">
        <v>525309303566868</v>
      </c>
      <c r="I589" s="6">
        <f>[1]!nefin_factors__1[[#This Row],[Risk_Free]]/H588-1</f>
        <v>6.6258735108504219E-4</v>
      </c>
      <c r="J589">
        <v>54317</v>
      </c>
      <c r="K589">
        <v>54705</v>
      </c>
      <c r="L589">
        <v>53592</v>
      </c>
      <c r="M589">
        <v>53911</v>
      </c>
      <c r="N589">
        <v>4898400</v>
      </c>
      <c r="O589">
        <v>53911</v>
      </c>
      <c r="P589">
        <v>-7.3832670496390999E-3</v>
      </c>
      <c r="Q589">
        <v>-7.4106582735649299E-3</v>
      </c>
      <c r="R589" s="8">
        <v>15.6596021652222</v>
      </c>
      <c r="S589" s="8">
        <v>1.01010042944838E-2</v>
      </c>
      <c r="T589" s="9">
        <v>1.00503301050404E-2</v>
      </c>
      <c r="U589" s="12">
        <v>5.2531000000000001E-2</v>
      </c>
      <c r="V589" s="16">
        <v>3.5406</v>
      </c>
      <c r="W589" s="17">
        <f t="shared" si="9"/>
        <v>3.4576578619203158E-3</v>
      </c>
    </row>
    <row r="590" spans="1:23" x14ac:dyDescent="0.2">
      <c r="A590" s="14">
        <v>42397</v>
      </c>
      <c r="B590" s="3">
        <v>596809156104731</v>
      </c>
      <c r="C590" s="3">
        <f>[1]!nefin_factors__1[[#This Row],[Rm_minus_Rf]]/B589-1</f>
        <v>1.2436763093170748</v>
      </c>
      <c r="D590" s="3">
        <v>-103793227297095</v>
      </c>
      <c r="E590" s="3">
        <f>[1]!nefin_factors__1[[#This Row],[SMB]]/D589-1</f>
        <v>-0.80929743614597194</v>
      </c>
      <c r="F590" s="3">
        <v>-594297573876583</v>
      </c>
      <c r="G590" s="3">
        <f>[1]!nefin_factors__1[[#This Row],[HML]]/F589-1</f>
        <v>-2.5414691379809558</v>
      </c>
      <c r="H590" s="3">
        <v>524961470736551</v>
      </c>
      <c r="I590" s="4">
        <f>[1]!nefin_factors__1[[#This Row],[Risk_Free]]/H589-1</f>
        <v>-6.6214861978497463E-4</v>
      </c>
      <c r="J590">
        <v>53910</v>
      </c>
      <c r="K590">
        <v>54113</v>
      </c>
      <c r="L590">
        <v>53265</v>
      </c>
      <c r="M590">
        <v>53562</v>
      </c>
      <c r="N590">
        <v>3286100</v>
      </c>
      <c r="O590">
        <v>53562</v>
      </c>
      <c r="P590">
        <v>-6.4736324683274402E-3</v>
      </c>
      <c r="Q590">
        <v>-6.4946773005009903E-3</v>
      </c>
      <c r="R590" s="8">
        <v>15.593667030334499</v>
      </c>
      <c r="S590" s="8">
        <v>-4.2105638562663899E-3</v>
      </c>
      <c r="T590" s="9">
        <v>-4.2194532419193896E-3</v>
      </c>
      <c r="U590" s="12">
        <v>5.2531000000000001E-2</v>
      </c>
      <c r="V590" s="16">
        <v>3.5428999999999999</v>
      </c>
      <c r="W590" s="17">
        <f t="shared" si="9"/>
        <v>6.496074111732586E-4</v>
      </c>
    </row>
    <row r="591" spans="1:23" x14ac:dyDescent="0.2">
      <c r="A591" s="15">
        <v>42398</v>
      </c>
      <c r="B591" s="5">
        <v>435317108515034</v>
      </c>
      <c r="C591" s="5">
        <f>[1]!nefin_factors__1[[#This Row],[Rm_minus_Rf]]/B590-1</f>
        <v>-0.27059244305789032</v>
      </c>
      <c r="D591" s="5">
        <v>52963799940417</v>
      </c>
      <c r="E591" s="5">
        <f>[1]!nefin_factors__1[[#This Row],[SMB]]/D590-1</f>
        <v>-1.5102818490152043</v>
      </c>
      <c r="F591" s="5">
        <v>-760410712580206</v>
      </c>
      <c r="G591" s="5">
        <f>[1]!nefin_factors__1[[#This Row],[HML]]/F590-1</f>
        <v>0.27951172275544156</v>
      </c>
      <c r="H591" s="5">
        <v>524961470736551</v>
      </c>
      <c r="I591" s="6">
        <f>[1]!nefin_factors__1[[#This Row],[Risk_Free]]/H590-1</f>
        <v>0</v>
      </c>
      <c r="J591">
        <v>53557</v>
      </c>
      <c r="K591">
        <v>53557</v>
      </c>
      <c r="L591">
        <v>52260</v>
      </c>
      <c r="M591">
        <v>52260</v>
      </c>
      <c r="N591">
        <v>3892400</v>
      </c>
      <c r="O591">
        <v>52260</v>
      </c>
      <c r="P591">
        <v>-2.4308278256973199E-2</v>
      </c>
      <c r="Q591">
        <v>-2.46086013328136E-2</v>
      </c>
      <c r="R591" s="8">
        <v>15.198056221008301</v>
      </c>
      <c r="S591" s="8">
        <v>-2.53699520082683E-2</v>
      </c>
      <c r="T591" s="9">
        <v>-2.56973179462846E-2</v>
      </c>
      <c r="U591" s="12">
        <v>5.2531000000000001E-2</v>
      </c>
      <c r="V591" s="16">
        <v>3.5125999999999999</v>
      </c>
      <c r="W591" s="17">
        <f t="shared" si="9"/>
        <v>-8.5523158994044168E-3</v>
      </c>
    </row>
    <row r="592" spans="1:23" x14ac:dyDescent="0.2">
      <c r="A592" s="14">
        <v>42401</v>
      </c>
      <c r="B592" s="3">
        <v>299861430841325</v>
      </c>
      <c r="C592" s="3">
        <f>[1]!nefin_factors__1[[#This Row],[Rm_minus_Rf]]/B591-1</f>
        <v>-0.31116552743764014</v>
      </c>
      <c r="D592" s="3">
        <v>367712502586706</v>
      </c>
      <c r="E592" s="3">
        <f>[1]!nefin_factors__1[[#This Row],[SMB]]/D591-1</f>
        <v>5.9427137592161765</v>
      </c>
      <c r="F592" s="3">
        <v>150740559877385</v>
      </c>
      <c r="G592" s="3">
        <f>[1]!nefin_factors__1[[#This Row],[HML]]/F591-1</f>
        <v>-1.1982357131265235</v>
      </c>
      <c r="H592" s="3">
        <v>525309303566868</v>
      </c>
      <c r="I592" s="4">
        <f>[1]!nefin_factors__1[[#This Row],[Risk_Free]]/H591-1</f>
        <v>6.6258735108504219E-4</v>
      </c>
      <c r="J592">
        <v>52253</v>
      </c>
      <c r="K592">
        <v>52672</v>
      </c>
      <c r="L592">
        <v>51931</v>
      </c>
      <c r="M592">
        <v>52553</v>
      </c>
      <c r="N592">
        <v>4263800</v>
      </c>
      <c r="O592">
        <v>52553</v>
      </c>
      <c r="P592">
        <v>5.6065824722542103E-3</v>
      </c>
      <c r="Q592">
        <v>5.5909240881632204E-3</v>
      </c>
      <c r="R592" s="8">
        <v>15.041460037231399</v>
      </c>
      <c r="S592" s="8">
        <v>-1.03037470297387E-2</v>
      </c>
      <c r="T592" s="9">
        <v>-1.0357198112463099E-2</v>
      </c>
      <c r="U592" s="12">
        <v>5.2531000000000001E-2</v>
      </c>
      <c r="V592" s="16">
        <v>3.5276000000000001</v>
      </c>
      <c r="W592" s="17">
        <f t="shared" si="9"/>
        <v>4.2703410579059131E-3</v>
      </c>
    </row>
    <row r="593" spans="1:23" x14ac:dyDescent="0.2">
      <c r="A593" s="15">
        <v>42402</v>
      </c>
      <c r="B593" s="5">
        <v>-442927839749487</v>
      </c>
      <c r="C593" s="5">
        <f>[1]!nefin_factors__1[[#This Row],[Rm_minus_Rf]]/B592-1</f>
        <v>-2.4771084047280065</v>
      </c>
      <c r="D593" s="5">
        <v>211808427957424</v>
      </c>
      <c r="E593" s="5">
        <f>[1]!nefin_factors__1[[#This Row],[SMB]]/D592-1</f>
        <v>-0.42398361092582126</v>
      </c>
      <c r="F593" s="5">
        <v>-132829187778992</v>
      </c>
      <c r="G593" s="5">
        <f>[1]!nefin_factors__1[[#This Row],[HML]]/F592-1</f>
        <v>-1.881177487247212</v>
      </c>
      <c r="H593" s="5">
        <v>525309303566868</v>
      </c>
      <c r="I593" s="6">
        <f>[1]!nefin_factors__1[[#This Row],[Risk_Free]]/H592-1</f>
        <v>0</v>
      </c>
      <c r="J593">
        <v>52569</v>
      </c>
      <c r="K593">
        <v>53071</v>
      </c>
      <c r="L593">
        <v>51311</v>
      </c>
      <c r="M593">
        <v>51671</v>
      </c>
      <c r="N593">
        <v>3653100</v>
      </c>
      <c r="O593">
        <v>51671</v>
      </c>
      <c r="P593">
        <v>-1.67830571042566E-2</v>
      </c>
      <c r="Q593">
        <v>-1.6925488478723699E-2</v>
      </c>
      <c r="R593" s="8">
        <v>14.7612352371216</v>
      </c>
      <c r="S593" s="8">
        <v>-1.86301069021176E-2</v>
      </c>
      <c r="T593" s="9">
        <v>-1.8805833300584499E-2</v>
      </c>
      <c r="U593" s="12">
        <v>5.2531000000000001E-2</v>
      </c>
      <c r="V593" s="16">
        <v>3.5903999999999998</v>
      </c>
      <c r="W593" s="17">
        <f t="shared" si="9"/>
        <v>1.7802471935593589E-2</v>
      </c>
    </row>
    <row r="594" spans="1:23" x14ac:dyDescent="0.2">
      <c r="A594" s="14">
        <v>42403</v>
      </c>
      <c r="B594" s="3">
        <v>202037742970059</v>
      </c>
      <c r="C594" s="3">
        <f>[1]!nefin_factors__1[[#This Row],[Rm_minus_Rf]]/B593-1</f>
        <v>-1.4561414407464845</v>
      </c>
      <c r="D594" s="3">
        <v>129124569556681</v>
      </c>
      <c r="E594" s="3">
        <f>[1]!nefin_factors__1[[#This Row],[SMB]]/D593-1</f>
        <v>-0.39037095548135337</v>
      </c>
      <c r="F594" s="3">
        <v>181932136370933</v>
      </c>
      <c r="G594" s="3">
        <f>[1]!nefin_factors__1[[#This Row],[HML]]/F593-1</f>
        <v>-2.3696698701014496</v>
      </c>
      <c r="H594" s="3">
        <v>525657106047905</v>
      </c>
      <c r="I594" s="4">
        <f>[1]!nefin_factors__1[[#This Row],[Risk_Free]]/H593-1</f>
        <v>6.6209084567026011E-4</v>
      </c>
      <c r="J594">
        <v>51671</v>
      </c>
      <c r="K594">
        <v>52159</v>
      </c>
      <c r="L594">
        <v>51204</v>
      </c>
      <c r="M594">
        <v>51718</v>
      </c>
      <c r="N594">
        <v>3296100</v>
      </c>
      <c r="O594">
        <v>51718</v>
      </c>
      <c r="P594">
        <v>9.0960113022786604E-4</v>
      </c>
      <c r="Q594">
        <v>9.0918769380897197E-4</v>
      </c>
      <c r="R594" s="8">
        <v>15.099152565002401</v>
      </c>
      <c r="S594" s="8">
        <v>2.2892209196126299E-2</v>
      </c>
      <c r="T594" s="9">
        <v>2.26341140632445E-2</v>
      </c>
      <c r="U594" s="12">
        <v>5.2531000000000001E-2</v>
      </c>
      <c r="V594" s="16">
        <v>3.5537999999999998</v>
      </c>
      <c r="W594" s="17">
        <f t="shared" si="9"/>
        <v>-1.0193850267379623E-2</v>
      </c>
    </row>
    <row r="595" spans="1:23" x14ac:dyDescent="0.2">
      <c r="A595" s="15">
        <v>42404</v>
      </c>
      <c r="B595" s="5">
        <v>247829908809405</v>
      </c>
      <c r="C595" s="5">
        <f>[1]!nefin_factors__1[[#This Row],[Rm_minus_Rf]]/B594-1</f>
        <v>0.22665154127232645</v>
      </c>
      <c r="D595" s="5">
        <v>145084785469735</v>
      </c>
      <c r="E595" s="5">
        <f>[1]!nefin_factors__1[[#This Row],[SMB]]/D594-1</f>
        <v>0.12360324582571436</v>
      </c>
      <c r="F595" s="5">
        <v>233662224954461</v>
      </c>
      <c r="G595" s="5">
        <f>[1]!nefin_factors__1[[#This Row],[HML]]/F594-1</f>
        <v>0.2843372788084999</v>
      </c>
      <c r="H595" s="5">
        <v>525657106047905</v>
      </c>
      <c r="I595" s="6">
        <f>[1]!nefin_factors__1[[#This Row],[Risk_Free]]/H594-1</f>
        <v>0</v>
      </c>
      <c r="J595">
        <v>51717</v>
      </c>
      <c r="K595">
        <v>51717</v>
      </c>
      <c r="L595">
        <v>49908</v>
      </c>
      <c r="M595">
        <v>50990</v>
      </c>
      <c r="N595">
        <v>4938400</v>
      </c>
      <c r="O595">
        <v>50990</v>
      </c>
      <c r="P595">
        <v>-1.40763370586643E-2</v>
      </c>
      <c r="Q595">
        <v>-1.41763483286504E-2</v>
      </c>
      <c r="R595" s="8">
        <v>15.074426651001</v>
      </c>
      <c r="S595" s="8">
        <v>-1.6376020878098301E-3</v>
      </c>
      <c r="T595" s="9">
        <v>-1.63894442378379E-3</v>
      </c>
      <c r="U595" s="12">
        <v>5.2531000000000001E-2</v>
      </c>
      <c r="V595" s="16">
        <v>3.5503</v>
      </c>
      <c r="W595" s="17">
        <f t="shared" si="9"/>
        <v>-9.8486127525465594E-4</v>
      </c>
    </row>
    <row r="596" spans="1:23" x14ac:dyDescent="0.2">
      <c r="A596" s="14">
        <v>42405</v>
      </c>
      <c r="B596" s="3">
        <v>-65291754372383</v>
      </c>
      <c r="C596" s="3">
        <f>[1]!nefin_factors__1[[#This Row],[Rm_minus_Rf]]/B595-1</f>
        <v>-1.2634538933821582</v>
      </c>
      <c r="D596" s="3">
        <v>126202756426197</v>
      </c>
      <c r="E596" s="3">
        <f>[1]!nefin_factors__1[[#This Row],[SMB]]/D595-1</f>
        <v>-0.13014479073325602</v>
      </c>
      <c r="F596" s="3">
        <v>114739638252757</v>
      </c>
      <c r="G596" s="3">
        <f>[1]!nefin_factors__1[[#This Row],[HML]]/F595-1</f>
        <v>-0.50895084442888061</v>
      </c>
      <c r="H596" s="3">
        <v>525657106047905</v>
      </c>
      <c r="I596" s="4">
        <f>[1]!nefin_factors__1[[#This Row],[Risk_Free]]/H595-1</f>
        <v>0</v>
      </c>
      <c r="J596">
        <v>50994</v>
      </c>
      <c r="K596">
        <v>53071</v>
      </c>
      <c r="L596">
        <v>50994</v>
      </c>
      <c r="M596">
        <v>53071</v>
      </c>
      <c r="N596">
        <v>4079200</v>
      </c>
      <c r="O596">
        <v>53071</v>
      </c>
      <c r="P596">
        <v>4.0811923906648499E-2</v>
      </c>
      <c r="Q596">
        <v>4.00011046327092E-2</v>
      </c>
      <c r="R596" s="8">
        <v>15.7502632141113</v>
      </c>
      <c r="S596" s="8">
        <v>4.4833318706866097E-2</v>
      </c>
      <c r="T596" s="9">
        <v>4.3857369064924399E-2</v>
      </c>
      <c r="U596" s="12">
        <v>5.2531000000000001E-2</v>
      </c>
      <c r="V596" s="16">
        <v>3.5829</v>
      </c>
      <c r="W596" s="17">
        <f t="shared" si="9"/>
        <v>9.1823226206235731E-3</v>
      </c>
    </row>
    <row r="597" spans="1:23" x14ac:dyDescent="0.2">
      <c r="A597" s="15">
        <v>42410</v>
      </c>
      <c r="B597" s="5">
        <v>-816123797520529</v>
      </c>
      <c r="C597" s="5">
        <f>[1]!nefin_factors__1[[#This Row],[Rm_minus_Rf]]/B596-1</f>
        <v>11.499645711246682</v>
      </c>
      <c r="D597" s="5">
        <v>-101972797734911</v>
      </c>
      <c r="E597" s="5">
        <f>[1]!nefin_factors__1[[#This Row],[SMB]]/D596-1</f>
        <v>-1.8080076903434703</v>
      </c>
      <c r="F597" s="5">
        <v>173033242707208</v>
      </c>
      <c r="G597" s="5">
        <f>[1]!nefin_factors__1[[#This Row],[HML]]/F596-1</f>
        <v>0.50805114380818872</v>
      </c>
      <c r="H597" s="5">
        <v>526004878184771</v>
      </c>
      <c r="I597" s="6">
        <f>[1]!nefin_factors__1[[#This Row],[Risk_Free]]/H596-1</f>
        <v>6.6159504525797885E-4</v>
      </c>
      <c r="J597">
        <v>53072</v>
      </c>
      <c r="K597">
        <v>53976</v>
      </c>
      <c r="L597">
        <v>52736</v>
      </c>
      <c r="M597">
        <v>52764</v>
      </c>
      <c r="N597">
        <v>4350000</v>
      </c>
      <c r="O597">
        <v>52764</v>
      </c>
      <c r="P597">
        <v>-5.7847035103917302E-3</v>
      </c>
      <c r="Q597">
        <v>-5.8014997131000598E-3</v>
      </c>
      <c r="R597" s="8">
        <v>15.816198348999</v>
      </c>
      <c r="S597" s="8">
        <v>4.1862645358066199E-3</v>
      </c>
      <c r="T597" s="9">
        <v>4.17752650839917E-3</v>
      </c>
      <c r="U597" s="12">
        <v>5.2531000000000001E-2</v>
      </c>
      <c r="V597" s="16">
        <v>3.5472000000000001</v>
      </c>
      <c r="W597" s="17">
        <f t="shared" si="9"/>
        <v>-9.9639956459850465E-3</v>
      </c>
    </row>
    <row r="598" spans="1:23" x14ac:dyDescent="0.2">
      <c r="A598" s="14">
        <v>42411</v>
      </c>
      <c r="B598" s="3">
        <v>-249464969381947</v>
      </c>
      <c r="C598" s="3">
        <f>[1]!nefin_factors__1[[#This Row],[Rm_minus_Rf]]/B597-1</f>
        <v>-0.69432949983832337</v>
      </c>
      <c r="D598" s="3">
        <v>-147577125842403</v>
      </c>
      <c r="E598" s="3">
        <f>[1]!nefin_factors__1[[#This Row],[SMB]]/D597-1</f>
        <v>0.44722052469370555</v>
      </c>
      <c r="F598" s="3">
        <v>-845551429132134</v>
      </c>
      <c r="G598" s="3">
        <f>[1]!nefin_factors__1[[#This Row],[HML]]/F597-1</f>
        <v>-5.8866415256570299</v>
      </c>
      <c r="H598" s="3">
        <v>526352619983239</v>
      </c>
      <c r="I598" s="4">
        <f>[1]!nefin_factors__1[[#This Row],[Risk_Free]]/H597-1</f>
        <v>6.6109994962038066E-4</v>
      </c>
      <c r="J598">
        <v>52765</v>
      </c>
      <c r="K598">
        <v>53703</v>
      </c>
      <c r="L598">
        <v>52424</v>
      </c>
      <c r="M598">
        <v>53241</v>
      </c>
      <c r="N598">
        <v>4630400</v>
      </c>
      <c r="O598">
        <v>53241</v>
      </c>
      <c r="P598">
        <v>9.0402547191266204E-3</v>
      </c>
      <c r="Q598">
        <v>8.9996362338640896E-3</v>
      </c>
      <c r="R598" s="8">
        <v>16.4920330047607</v>
      </c>
      <c r="S598" s="8">
        <v>4.2730722316449303E-2</v>
      </c>
      <c r="T598" s="9">
        <v>4.1842966574659003E-2</v>
      </c>
      <c r="U598" s="12">
        <v>5.2531000000000001E-2</v>
      </c>
      <c r="V598" s="16">
        <v>3.5301</v>
      </c>
      <c r="W598" s="17">
        <f t="shared" si="9"/>
        <v>-4.8207036535860004E-3</v>
      </c>
    </row>
    <row r="599" spans="1:23" x14ac:dyDescent="0.2">
      <c r="A599" s="15">
        <v>42412</v>
      </c>
      <c r="B599" s="5">
        <v>9002816386995</v>
      </c>
      <c r="C599" s="5">
        <f>[1]!nefin_factors__1[[#This Row],[Rm_minus_Rf]]/B598-1</f>
        <v>-1.0360884993564412</v>
      </c>
      <c r="D599" s="5">
        <v>3927463534.5360298</v>
      </c>
      <c r="E599" s="5">
        <f>[1]!nefin_factors__1[[#This Row],[SMB]]/D598-1</f>
        <v>-1.0000266129558502</v>
      </c>
      <c r="F599" s="5">
        <v>925131804136385</v>
      </c>
      <c r="G599" s="5">
        <f>[1]!nefin_factors__1[[#This Row],[HML]]/F598-1</f>
        <v>-2.0941165401209618</v>
      </c>
      <c r="H599" s="5">
        <v>526352619983239</v>
      </c>
      <c r="I599" s="6">
        <f>[1]!nefin_factors__1[[#This Row],[Risk_Free]]/H598-1</f>
        <v>0</v>
      </c>
      <c r="J599">
        <v>53236</v>
      </c>
      <c r="K599">
        <v>53250</v>
      </c>
      <c r="L599">
        <v>51366</v>
      </c>
      <c r="M599">
        <v>51804</v>
      </c>
      <c r="N599">
        <v>4314300</v>
      </c>
      <c r="O599">
        <v>51804</v>
      </c>
      <c r="P599">
        <v>-2.6990477263762899E-2</v>
      </c>
      <c r="Q599">
        <v>-2.73614098591968E-2</v>
      </c>
      <c r="R599" s="8">
        <v>16.401372909545898</v>
      </c>
      <c r="S599" s="8">
        <v>-5.4973901206447602E-3</v>
      </c>
      <c r="T599" s="9">
        <v>-5.5125563784765002E-3</v>
      </c>
      <c r="U599" s="12">
        <v>5.2531000000000001E-2</v>
      </c>
      <c r="V599" s="16">
        <v>3.5295000000000001</v>
      </c>
      <c r="W599" s="17">
        <f t="shared" si="9"/>
        <v>-1.6996685646297749E-4</v>
      </c>
    </row>
    <row r="600" spans="1:23" x14ac:dyDescent="0.2">
      <c r="A600" s="14">
        <v>42415</v>
      </c>
      <c r="B600" s="3">
        <v>487734420290007</v>
      </c>
      <c r="C600" s="3">
        <f>[1]!nefin_factors__1[[#This Row],[Rm_minus_Rf]]/B599-1</f>
        <v>53.175760042664287</v>
      </c>
      <c r="D600" s="3">
        <v>909241192792989</v>
      </c>
      <c r="E600" s="3">
        <f>[1]!nefin_factors__1[[#This Row],[SMB]]/D599-1</f>
        <v>231507.50028207889</v>
      </c>
      <c r="F600" s="3">
        <v>195511335699967</v>
      </c>
      <c r="G600" s="3">
        <f>[1]!nefin_factors__1[[#This Row],[HML]]/F599-1</f>
        <v>-0.78866650694980944</v>
      </c>
      <c r="H600" s="3">
        <v>526004878184771</v>
      </c>
      <c r="I600" s="4">
        <f>[1]!nefin_factors__1[[#This Row],[Risk_Free]]/H599-1</f>
        <v>-6.6066318522184364E-4</v>
      </c>
      <c r="J600">
        <v>51803</v>
      </c>
      <c r="K600">
        <v>52305</v>
      </c>
      <c r="L600">
        <v>51585</v>
      </c>
      <c r="M600">
        <v>51803</v>
      </c>
      <c r="N600">
        <v>3529500</v>
      </c>
      <c r="O600">
        <v>51803</v>
      </c>
      <c r="P600">
        <v>-1.93035286850662E-5</v>
      </c>
      <c r="Q600">
        <v>-1.9303715000573801E-5</v>
      </c>
      <c r="R600" s="8">
        <v>16.714565277099599</v>
      </c>
      <c r="S600" s="8">
        <v>1.90955887893078E-2</v>
      </c>
      <c r="T600" s="9">
        <v>1.89155563074817E-2</v>
      </c>
      <c r="U600" s="12">
        <v>5.2531000000000001E-2</v>
      </c>
      <c r="V600" s="16">
        <v>3.4992000000000001</v>
      </c>
      <c r="W600" s="17">
        <f t="shared" si="9"/>
        <v>-8.584785380365445E-3</v>
      </c>
    </row>
    <row r="601" spans="1:23" x14ac:dyDescent="0.2">
      <c r="A601" s="15">
        <v>42416</v>
      </c>
      <c r="B601" s="5">
        <v>183314849779485</v>
      </c>
      <c r="C601" s="5">
        <f>[1]!nefin_factors__1[[#This Row],[Rm_minus_Rf]]/B600-1</f>
        <v>-0.62415027081647034</v>
      </c>
      <c r="D601" s="5">
        <v>210191487192102</v>
      </c>
      <c r="E601" s="5">
        <f>[1]!nefin_factors__1[[#This Row],[SMB]]/D600-1</f>
        <v>-0.7688275796805466</v>
      </c>
      <c r="F601" s="5">
        <v>337477742114422</v>
      </c>
      <c r="G601" s="5">
        <f>[1]!nefin_factors__1[[#This Row],[HML]]/F600-1</f>
        <v>0.72612877358844097</v>
      </c>
      <c r="H601" s="5">
        <v>525657106047905</v>
      </c>
      <c r="I601" s="6">
        <f>[1]!nefin_factors__1[[#This Row],[Risk_Free]]/H600-1</f>
        <v>-6.611576266482011E-4</v>
      </c>
      <c r="J601">
        <v>51795</v>
      </c>
      <c r="K601">
        <v>51946</v>
      </c>
      <c r="L601">
        <v>50689</v>
      </c>
      <c r="M601">
        <v>50839</v>
      </c>
      <c r="N601">
        <v>3871100</v>
      </c>
      <c r="O601">
        <v>50839</v>
      </c>
      <c r="P601">
        <v>-1.8608960870992099E-2</v>
      </c>
      <c r="Q601">
        <v>-1.8784286070069298E-2</v>
      </c>
      <c r="R601" s="8">
        <v>16.623903274536101</v>
      </c>
      <c r="S601" s="8">
        <v>-5.4242001792901302E-3</v>
      </c>
      <c r="T601" s="9">
        <v>-5.4389645672831997E-3</v>
      </c>
      <c r="U601" s="12">
        <v>5.2531000000000001E-2</v>
      </c>
      <c r="V601" s="16">
        <v>3.4508000000000001</v>
      </c>
      <c r="W601" s="17">
        <f t="shared" si="9"/>
        <v>-1.3831732967535482E-2</v>
      </c>
    </row>
    <row r="602" spans="1:23" x14ac:dyDescent="0.2">
      <c r="A602" s="14">
        <v>42417</v>
      </c>
      <c r="B602" s="3">
        <v>139551522786991</v>
      </c>
      <c r="C602" s="3">
        <f>[1]!nefin_factors__1[[#This Row],[Rm_minus_Rf]]/B601-1</f>
        <v>-0.23873312524947232</v>
      </c>
      <c r="D602" s="3">
        <v>-792900731681276</v>
      </c>
      <c r="E602" s="3">
        <f>[1]!nefin_factors__1[[#This Row],[SMB]]/D601-1</f>
        <v>-4.7722780416726103</v>
      </c>
      <c r="F602" s="3">
        <v>741422427650475</v>
      </c>
      <c r="G602" s="3">
        <f>[1]!nefin_factors__1[[#This Row],[HML]]/F601-1</f>
        <v>1.1969520804696367</v>
      </c>
      <c r="H602" s="3">
        <v>525309303566868</v>
      </c>
      <c r="I602" s="4">
        <f>[1]!nefin_factors__1[[#This Row],[Risk_Free]]/H601-1</f>
        <v>-6.6165277142715695E-4</v>
      </c>
      <c r="J602">
        <v>50836</v>
      </c>
      <c r="K602">
        <v>51373</v>
      </c>
      <c r="L602">
        <v>50301</v>
      </c>
      <c r="M602">
        <v>50562</v>
      </c>
      <c r="N602">
        <v>4072500</v>
      </c>
      <c r="O602">
        <v>50562</v>
      </c>
      <c r="P602">
        <v>-5.4485729459666796E-3</v>
      </c>
      <c r="Q602">
        <v>-5.4634705579996003E-3</v>
      </c>
      <c r="R602" s="8">
        <v>16.6898384094238</v>
      </c>
      <c r="S602" s="8">
        <v>3.9664414866786802E-3</v>
      </c>
      <c r="T602" s="9">
        <v>3.9585958968508502E-3</v>
      </c>
      <c r="U602" s="12">
        <v>5.2531000000000001E-2</v>
      </c>
      <c r="V602" s="16">
        <v>3.4990999999999999</v>
      </c>
      <c r="W602" s="17">
        <f t="shared" si="9"/>
        <v>1.3996754375796838E-2</v>
      </c>
    </row>
    <row r="603" spans="1:23" x14ac:dyDescent="0.2">
      <c r="A603" s="15">
        <v>42418</v>
      </c>
      <c r="B603" s="5">
        <v>-196032037793998</v>
      </c>
      <c r="C603" s="5">
        <f>[1]!nefin_factors__1[[#This Row],[Rm_minus_Rf]]/B602-1</f>
        <v>-2.4047287616719011</v>
      </c>
      <c r="D603" s="5">
        <v>-147138369567068</v>
      </c>
      <c r="E603" s="5">
        <f>[1]!nefin_factors__1[[#This Row],[SMB]]/D602-1</f>
        <v>-0.81443027646717625</v>
      </c>
      <c r="F603" s="5">
        <v>-186218317889575</v>
      </c>
      <c r="G603" s="5">
        <f>[1]!nefin_factors__1[[#This Row],[HML]]/F602-1</f>
        <v>-1.2511635889943202</v>
      </c>
      <c r="H603" s="5">
        <v>525657106047905</v>
      </c>
      <c r="I603" s="6">
        <f>[1]!nefin_factors__1[[#This Row],[Risk_Free]]/H602-1</f>
        <v>6.6209084567026011E-4</v>
      </c>
      <c r="J603">
        <v>50556</v>
      </c>
      <c r="K603">
        <v>50556</v>
      </c>
      <c r="L603">
        <v>49588</v>
      </c>
      <c r="M603">
        <v>50133</v>
      </c>
      <c r="N603">
        <v>3905500</v>
      </c>
      <c r="O603">
        <v>50133</v>
      </c>
      <c r="P603">
        <v>-8.4846327281357103E-3</v>
      </c>
      <c r="Q603">
        <v>-8.5208321289159897E-3</v>
      </c>
      <c r="R603" s="8">
        <v>16.318954467773398</v>
      </c>
      <c r="S603" s="8">
        <v>-2.22221523449092E-2</v>
      </c>
      <c r="T603" s="9">
        <v>-2.2472784386627399E-2</v>
      </c>
      <c r="U603" s="12">
        <v>5.2531000000000001E-2</v>
      </c>
      <c r="V603" s="16">
        <v>3.5550000000000002</v>
      </c>
      <c r="W603" s="17">
        <f t="shared" si="9"/>
        <v>1.5975536566545712E-2</v>
      </c>
    </row>
    <row r="604" spans="1:23" x14ac:dyDescent="0.2">
      <c r="A604" s="14">
        <v>42419</v>
      </c>
      <c r="B604" s="3">
        <v>832966106998989</v>
      </c>
      <c r="C604" s="3">
        <f>[1]!nefin_factors__1[[#This Row],[Rm_minus_Rf]]/B603-1</f>
        <v>-5.2491325212581774</v>
      </c>
      <c r="D604" s="3">
        <v>365964666951162</v>
      </c>
      <c r="E604" s="3">
        <f>[1]!nefin_factors__1[[#This Row],[SMB]]/D603-1</f>
        <v>-3.4872143685427308</v>
      </c>
      <c r="F604" s="3">
        <v>251958954212798</v>
      </c>
      <c r="G604" s="3">
        <f>[1]!nefin_factors__1[[#This Row],[HML]]/F603-1</f>
        <v>-2.3530299117093643</v>
      </c>
      <c r="H604" s="3">
        <v>525309303566868</v>
      </c>
      <c r="I604" s="4">
        <f>[1]!nefin_factors__1[[#This Row],[Risk_Free]]/H603-1</f>
        <v>-6.6165277142715695E-4</v>
      </c>
      <c r="J604">
        <v>50133</v>
      </c>
      <c r="K604">
        <v>50822</v>
      </c>
      <c r="L604">
        <v>49723</v>
      </c>
      <c r="M604">
        <v>49723</v>
      </c>
      <c r="N604">
        <v>3254500</v>
      </c>
      <c r="O604">
        <v>49723</v>
      </c>
      <c r="P604">
        <v>-8.1782458659964696E-3</v>
      </c>
      <c r="Q604">
        <v>-8.2118711749060297E-3</v>
      </c>
      <c r="R604" s="8">
        <v>16.360162734985401</v>
      </c>
      <c r="S604" s="8">
        <v>2.5251230477929499E-3</v>
      </c>
      <c r="T604" s="9">
        <v>2.52194028138165E-3</v>
      </c>
      <c r="U604" s="12">
        <v>5.2531000000000001E-2</v>
      </c>
      <c r="V604" s="16">
        <v>3.5396999999999998</v>
      </c>
      <c r="W604" s="17">
        <f t="shared" si="9"/>
        <v>-4.3037974683545199E-3</v>
      </c>
    </row>
    <row r="605" spans="1:23" x14ac:dyDescent="0.2">
      <c r="A605" s="15">
        <v>42422</v>
      </c>
      <c r="B605" s="5">
        <v>344354123032504</v>
      </c>
      <c r="C605" s="5">
        <f>[1]!nefin_factors__1[[#This Row],[Rm_minus_Rf]]/B604-1</f>
        <v>-0.58659287558152484</v>
      </c>
      <c r="D605" s="5">
        <v>-677804547668758</v>
      </c>
      <c r="E605" s="5">
        <f>[1]!nefin_factors__1[[#This Row],[SMB]]/D604-1</f>
        <v>-2.8521037927391255</v>
      </c>
      <c r="F605" s="5">
        <v>362087173962107</v>
      </c>
      <c r="G605" s="5">
        <f>[1]!nefin_factors__1[[#This Row],[HML]]/F604-1</f>
        <v>0.43708793796745793</v>
      </c>
      <c r="H605" s="5">
        <v>525657106047905</v>
      </c>
      <c r="I605" s="6">
        <f>[1]!nefin_factors__1[[#This Row],[Risk_Free]]/H604-1</f>
        <v>6.6209084567026011E-4</v>
      </c>
      <c r="J605">
        <v>49709</v>
      </c>
      <c r="K605">
        <v>49709</v>
      </c>
      <c r="L605">
        <v>48695</v>
      </c>
      <c r="M605">
        <v>49330</v>
      </c>
      <c r="N605">
        <v>3412800</v>
      </c>
      <c r="O605">
        <v>49330</v>
      </c>
      <c r="P605">
        <v>-7.9037869798684896E-3</v>
      </c>
      <c r="Q605">
        <v>-7.9351874688023995E-3</v>
      </c>
      <c r="R605" s="8">
        <v>16.360162734985401</v>
      </c>
      <c r="S605" s="8">
        <v>0</v>
      </c>
      <c r="T605" s="9">
        <v>0</v>
      </c>
      <c r="U605" s="12">
        <v>5.2531000000000001E-2</v>
      </c>
      <c r="V605" s="16">
        <v>3.5295999999999998</v>
      </c>
      <c r="W605" s="17">
        <f t="shared" si="9"/>
        <v>-2.8533491538831335E-3</v>
      </c>
    </row>
    <row r="606" spans="1:23" x14ac:dyDescent="0.2">
      <c r="A606" s="14">
        <v>42423</v>
      </c>
      <c r="B606" s="3">
        <v>-158327060210755</v>
      </c>
      <c r="C606" s="3">
        <f>[1]!nefin_factors__1[[#This Row],[Rm_minus_Rf]]/B605-1</f>
        <v>-1.459779772103412</v>
      </c>
      <c r="D606" s="3">
        <v>-18960911017434</v>
      </c>
      <c r="E606" s="3">
        <f>[1]!nefin_factors__1[[#This Row],[SMB]]/D605-1</f>
        <v>-0.97202599026128078</v>
      </c>
      <c r="F606" s="3">
        <v>739984884834052</v>
      </c>
      <c r="G606" s="3">
        <f>[1]!nefin_factors__1[[#This Row],[HML]]/F605-1</f>
        <v>1.0436650012670503</v>
      </c>
      <c r="H606" s="3">
        <v>525657106047905</v>
      </c>
      <c r="I606" s="4">
        <f>[1]!nefin_factors__1[[#This Row],[Risk_Free]]/H605-1</f>
        <v>0</v>
      </c>
      <c r="J606">
        <v>49330</v>
      </c>
      <c r="K606">
        <v>50002</v>
      </c>
      <c r="L606">
        <v>49153</v>
      </c>
      <c r="M606">
        <v>49345</v>
      </c>
      <c r="N606">
        <v>3138900</v>
      </c>
      <c r="O606">
        <v>49345</v>
      </c>
      <c r="P606">
        <v>3.0407459963521799E-4</v>
      </c>
      <c r="Q606">
        <v>3.0402837832372702E-4</v>
      </c>
      <c r="R606" s="8">
        <v>16.525001525878899</v>
      </c>
      <c r="S606" s="8">
        <v>1.00755961747971E-2</v>
      </c>
      <c r="T606" s="9">
        <v>1.0025175750037901E-2</v>
      </c>
      <c r="U606" s="12">
        <v>5.2531000000000001E-2</v>
      </c>
      <c r="V606" s="16">
        <v>3.5362</v>
      </c>
      <c r="W606" s="17">
        <f t="shared" si="9"/>
        <v>1.8699002719855251E-3</v>
      </c>
    </row>
    <row r="607" spans="1:23" x14ac:dyDescent="0.2">
      <c r="A607" s="15">
        <v>42424</v>
      </c>
      <c r="B607" s="5">
        <v>-120838214920861</v>
      </c>
      <c r="C607" s="5">
        <f>[1]!nefin_factors__1[[#This Row],[Rm_minus_Rf]]/B606-1</f>
        <v>-0.23678103566118902</v>
      </c>
      <c r="D607" s="5">
        <v>625194034910893</v>
      </c>
      <c r="E607" s="5">
        <f>[1]!nefin_factors__1[[#This Row],[SMB]]/D606-1</f>
        <v>-33.972784605974127</v>
      </c>
      <c r="F607" s="5">
        <v>100151490650285</v>
      </c>
      <c r="G607" s="5">
        <f>[1]!nefin_factors__1[[#This Row],[HML]]/F606-1</f>
        <v>-0.86465738327513963</v>
      </c>
      <c r="H607" s="5">
        <v>525309303566868</v>
      </c>
      <c r="I607" s="6">
        <f>[1]!nefin_factors__1[[#This Row],[Risk_Free]]/H606-1</f>
        <v>-6.6165277142715695E-4</v>
      </c>
      <c r="J607">
        <v>49347</v>
      </c>
      <c r="K607">
        <v>50357</v>
      </c>
      <c r="L607">
        <v>49347</v>
      </c>
      <c r="M607">
        <v>49483</v>
      </c>
      <c r="N607">
        <v>3472600</v>
      </c>
      <c r="O607">
        <v>49483</v>
      </c>
      <c r="P607">
        <v>2.7966359306921301E-3</v>
      </c>
      <c r="Q607">
        <v>2.7927326201598601E-3</v>
      </c>
      <c r="R607" s="8">
        <v>16.829950332641602</v>
      </c>
      <c r="S607" s="8">
        <v>1.8453759898526399E-2</v>
      </c>
      <c r="T607" s="9">
        <v>1.8285555456289199E-2</v>
      </c>
      <c r="U607" s="12">
        <v>5.2531000000000001E-2</v>
      </c>
      <c r="V607" s="16">
        <v>3.5387</v>
      </c>
      <c r="W607" s="17">
        <f t="shared" si="9"/>
        <v>7.0697358746674155E-4</v>
      </c>
    </row>
    <row r="608" spans="1:23" x14ac:dyDescent="0.2">
      <c r="A608" s="14">
        <v>42425</v>
      </c>
      <c r="B608" s="3">
        <v>-408071010372641</v>
      </c>
      <c r="C608" s="3">
        <f>[1]!nefin_factors__1[[#This Row],[Rm_minus_Rf]]/B607-1</f>
        <v>2.3770029674792337</v>
      </c>
      <c r="D608" s="3">
        <v>-262139320378245</v>
      </c>
      <c r="E608" s="3">
        <f>[1]!nefin_factors__1[[#This Row],[SMB]]/D607-1</f>
        <v>-1.4192927407178588</v>
      </c>
      <c r="F608" s="3">
        <v>-119833948562784</v>
      </c>
      <c r="G608" s="3">
        <f>[1]!nefin_factors__1[[#This Row],[HML]]/F607-1</f>
        <v>-2.19652685930784</v>
      </c>
      <c r="H608" s="3">
        <v>525657106047905</v>
      </c>
      <c r="I608" s="4">
        <f>[1]!nefin_factors__1[[#This Row],[Risk_Free]]/H607-1</f>
        <v>6.6209084567026011E-4</v>
      </c>
      <c r="J608">
        <v>49481</v>
      </c>
      <c r="K608">
        <v>49805</v>
      </c>
      <c r="L608">
        <v>48869</v>
      </c>
      <c r="M608">
        <v>49051</v>
      </c>
      <c r="N608">
        <v>2711800</v>
      </c>
      <c r="O608">
        <v>49051</v>
      </c>
      <c r="P608">
        <v>-8.7302710021623896E-3</v>
      </c>
      <c r="Q608">
        <v>-8.7686030807407403E-3</v>
      </c>
      <c r="R608" s="8">
        <v>17.373916625976602</v>
      </c>
      <c r="S608" s="8">
        <v>3.23212504458288E-2</v>
      </c>
      <c r="T608" s="9">
        <v>3.18099078106375E-2</v>
      </c>
      <c r="U608" s="12">
        <v>5.2531000000000001E-2</v>
      </c>
      <c r="V608" s="16">
        <v>3.4771999999999998</v>
      </c>
      <c r="W608" s="17">
        <f t="shared" si="9"/>
        <v>-1.7379263571368098E-2</v>
      </c>
    </row>
    <row r="609" spans="1:23" x14ac:dyDescent="0.2">
      <c r="A609" s="15">
        <v>42426</v>
      </c>
      <c r="B609" s="5">
        <v>-539850678082973</v>
      </c>
      <c r="C609" s="5">
        <f>[1]!nefin_factors__1[[#This Row],[Rm_minus_Rf]]/B608-1</f>
        <v>0.32293317672822153</v>
      </c>
      <c r="D609" s="5">
        <v>114697766865187</v>
      </c>
      <c r="E609" s="5">
        <f>[1]!nefin_factors__1[[#This Row],[SMB]]/D608-1</f>
        <v>-1.437545068399841</v>
      </c>
      <c r="F609" s="5">
        <v>104232986881071</v>
      </c>
      <c r="G609" s="5">
        <f>[1]!nefin_factors__1[[#This Row],[HML]]/F608-1</f>
        <v>-1.8698118365553209</v>
      </c>
      <c r="H609" s="5">
        <v>525657106047905</v>
      </c>
      <c r="I609" s="6">
        <f>[1]!nefin_factors__1[[#This Row],[Risk_Free]]/H608-1</f>
        <v>0</v>
      </c>
      <c r="J609">
        <v>49051</v>
      </c>
      <c r="K609">
        <v>49203</v>
      </c>
      <c r="L609">
        <v>48799</v>
      </c>
      <c r="M609">
        <v>48964</v>
      </c>
      <c r="N609">
        <v>1169200</v>
      </c>
      <c r="O609">
        <v>48964</v>
      </c>
      <c r="P609">
        <v>-1.7736641454811899E-3</v>
      </c>
      <c r="Q609">
        <v>-1.77523895012352E-3</v>
      </c>
      <c r="R609" s="8">
        <v>17.2008361816406</v>
      </c>
      <c r="S609" s="8">
        <v>-9.9620535536180093E-3</v>
      </c>
      <c r="T609" s="9">
        <v>-1.00120068442471E-2</v>
      </c>
      <c r="U609" s="12">
        <v>5.2531000000000001E-2</v>
      </c>
      <c r="V609" s="16">
        <v>3.4645000000000001</v>
      </c>
      <c r="W609" s="17">
        <f t="shared" si="9"/>
        <v>-3.6523639710110967E-3</v>
      </c>
    </row>
    <row r="610" spans="1:23" x14ac:dyDescent="0.2">
      <c r="A610" s="14">
        <v>42429</v>
      </c>
      <c r="B610" s="3">
        <v>232493904995089</v>
      </c>
      <c r="C610" s="3">
        <f>[1]!nefin_factors__1[[#This Row],[Rm_minus_Rf]]/B609-1</f>
        <v>-1.4306633564316011</v>
      </c>
      <c r="D610" s="3">
        <v>-860310391356482</v>
      </c>
      <c r="E610" s="3">
        <f>[1]!nefin_factors__1[[#This Row],[SMB]]/D609-1</f>
        <v>-8.5006725489927817</v>
      </c>
      <c r="F610" s="3">
        <v>-130147515308566</v>
      </c>
      <c r="G610" s="3">
        <f>[1]!nefin_factors__1[[#This Row],[HML]]/F609-1</f>
        <v>-2.2486211822468762</v>
      </c>
      <c r="H610" s="3">
        <v>525657106047905</v>
      </c>
      <c r="I610" s="4">
        <f>[1]!nefin_factors__1[[#This Row],[Risk_Free]]/H609-1</f>
        <v>0</v>
      </c>
      <c r="J610">
        <v>48963</v>
      </c>
      <c r="K610">
        <v>49269</v>
      </c>
      <c r="L610">
        <v>48292</v>
      </c>
      <c r="M610">
        <v>48472</v>
      </c>
      <c r="N610">
        <v>5802800</v>
      </c>
      <c r="O610">
        <v>48472</v>
      </c>
      <c r="P610">
        <v>-1.0048198676578701E-2</v>
      </c>
      <c r="Q610">
        <v>-1.00990225705781E-2</v>
      </c>
      <c r="R610" s="8">
        <v>17.637657165527301</v>
      </c>
      <c r="S610" s="8">
        <v>2.53952164378906E-2</v>
      </c>
      <c r="T610" s="9">
        <v>2.50781152872337E-2</v>
      </c>
      <c r="U610" s="12">
        <v>5.2531000000000001E-2</v>
      </c>
      <c r="V610" s="16">
        <v>3.4876999999999998</v>
      </c>
      <c r="W610" s="17">
        <f t="shared" si="9"/>
        <v>6.696493000432957E-3</v>
      </c>
    </row>
    <row r="611" spans="1:23" x14ac:dyDescent="0.2">
      <c r="A611" s="15">
        <v>42430</v>
      </c>
      <c r="B611" s="5">
        <v>296155336349993</v>
      </c>
      <c r="C611" s="5">
        <f>[1]!nefin_factors__1[[#This Row],[Rm_minus_Rf]]/B610-1</f>
        <v>0.27381978618428171</v>
      </c>
      <c r="D611" s="5">
        <v>-50531879730758</v>
      </c>
      <c r="E611" s="5">
        <f>[1]!nefin_factors__1[[#This Row],[SMB]]/D610-1</f>
        <v>-0.94126319960975646</v>
      </c>
      <c r="F611" s="5">
        <v>-461688820041176</v>
      </c>
      <c r="G611" s="5">
        <f>[1]!nefin_factors__1[[#This Row],[HML]]/F610-1</f>
        <v>2.5474270787771909</v>
      </c>
      <c r="H611" s="5">
        <v>525657106047905</v>
      </c>
      <c r="I611" s="6">
        <f>[1]!nefin_factors__1[[#This Row],[Risk_Free]]/H610-1</f>
        <v>0</v>
      </c>
      <c r="J611">
        <v>48468</v>
      </c>
      <c r="K611">
        <v>49057</v>
      </c>
      <c r="L611">
        <v>48200</v>
      </c>
      <c r="M611">
        <v>49013</v>
      </c>
      <c r="N611">
        <v>3290000</v>
      </c>
      <c r="O611">
        <v>49013</v>
      </c>
      <c r="P611">
        <v>1.1161082686912E-2</v>
      </c>
      <c r="Q611">
        <v>1.1099257402941799E-2</v>
      </c>
      <c r="R611" s="8">
        <v>17.225561141967798</v>
      </c>
      <c r="S611" s="8">
        <v>-2.3364417771980998E-2</v>
      </c>
      <c r="T611" s="9">
        <v>-2.36416932159134E-2</v>
      </c>
      <c r="U611" s="12">
        <v>5.2531000000000001E-2</v>
      </c>
      <c r="V611" s="16">
        <v>3.5041000000000002</v>
      </c>
      <c r="W611" s="17">
        <f t="shared" si="9"/>
        <v>4.7022392981048711E-3</v>
      </c>
    </row>
    <row r="612" spans="1:23" x14ac:dyDescent="0.2">
      <c r="A612" s="14">
        <v>42431</v>
      </c>
      <c r="B612" s="3">
        <v>126000000966768</v>
      </c>
      <c r="C612" s="3">
        <f>[1]!nefin_factors__1[[#This Row],[Rm_minus_Rf]]/B611-1</f>
        <v>-0.57454759208572004</v>
      </c>
      <c r="D612" s="3">
        <v>814146162368809</v>
      </c>
      <c r="E612" s="3">
        <f>[1]!nefin_factors__1[[#This Row],[SMB]]/D611-1</f>
        <v>-17.111535266582422</v>
      </c>
      <c r="F612" s="3">
        <v>-6221703497387</v>
      </c>
      <c r="G612" s="3">
        <f>[1]!nefin_factors__1[[#This Row],[HML]]/F611-1</f>
        <v>-0.9865240325792769</v>
      </c>
      <c r="H612" s="3">
        <v>525309303566868</v>
      </c>
      <c r="I612" s="4">
        <f>[1]!nefin_factors__1[[#This Row],[Risk_Free]]/H611-1</f>
        <v>-6.6165277142715695E-4</v>
      </c>
      <c r="J612">
        <v>49008</v>
      </c>
      <c r="K612">
        <v>49906</v>
      </c>
      <c r="L612">
        <v>48781</v>
      </c>
      <c r="M612">
        <v>49887</v>
      </c>
      <c r="N612">
        <v>3525800</v>
      </c>
      <c r="O612">
        <v>49887</v>
      </c>
      <c r="P612">
        <v>1.7832003754105999E-2</v>
      </c>
      <c r="Q612">
        <v>1.7674878728257199E-2</v>
      </c>
      <c r="R612" s="8">
        <v>16.8958854675293</v>
      </c>
      <c r="S612" s="8">
        <v>-1.9138698771289299E-2</v>
      </c>
      <c r="T612" s="9">
        <v>-1.9324214500548199E-2</v>
      </c>
      <c r="U612" s="12">
        <v>5.2531000000000001E-2</v>
      </c>
      <c r="V612" s="16">
        <v>3.5034999999999998</v>
      </c>
      <c r="W612" s="17">
        <f t="shared" si="9"/>
        <v>-1.7122799006885625E-4</v>
      </c>
    </row>
    <row r="613" spans="1:23" x14ac:dyDescent="0.2">
      <c r="A613" s="15">
        <v>42432</v>
      </c>
      <c r="B613" s="5">
        <v>464078679914787</v>
      </c>
      <c r="C613" s="5">
        <f>[1]!nefin_factors__1[[#This Row],[Rm_minus_Rf]]/B612-1</f>
        <v>2.6831640980477922</v>
      </c>
      <c r="D613" s="5">
        <v>375082130832426</v>
      </c>
      <c r="E613" s="5">
        <f>[1]!nefin_factors__1[[#This Row],[SMB]]/D612-1</f>
        <v>-0.53929386617618991</v>
      </c>
      <c r="F613" s="5">
        <v>408808189033347</v>
      </c>
      <c r="G613" s="5">
        <f>[1]!nefin_factors__1[[#This Row],[HML]]/F612-1</f>
        <v>-66.706793839506958</v>
      </c>
      <c r="H613" s="5">
        <v>524961470736551</v>
      </c>
      <c r="I613" s="6">
        <f>[1]!nefin_factors__1[[#This Row],[Risk_Free]]/H612-1</f>
        <v>-6.6214861978497463E-4</v>
      </c>
      <c r="J613">
        <v>49888</v>
      </c>
      <c r="K613">
        <v>50634</v>
      </c>
      <c r="L613">
        <v>49888</v>
      </c>
      <c r="M613">
        <v>50619</v>
      </c>
      <c r="N613">
        <v>3329400</v>
      </c>
      <c r="O613">
        <v>50619</v>
      </c>
      <c r="P613">
        <v>1.46731613446389E-2</v>
      </c>
      <c r="Q613">
        <v>1.4566552110423099E-2</v>
      </c>
      <c r="R613" s="8">
        <v>17.151384353637699</v>
      </c>
      <c r="S613" s="8">
        <v>1.5121940298734799E-2</v>
      </c>
      <c r="T613" s="9">
        <v>1.5008743503086499E-2</v>
      </c>
      <c r="U613" s="12">
        <v>5.2531000000000001E-2</v>
      </c>
      <c r="V613" s="16">
        <v>3.5036999999999998</v>
      </c>
      <c r="W613" s="17">
        <f t="shared" si="9"/>
        <v>5.7085771371534477E-5</v>
      </c>
    </row>
    <row r="614" spans="1:23" x14ac:dyDescent="0.2">
      <c r="A614" s="14">
        <v>42433</v>
      </c>
      <c r="B614" s="3">
        <v>375610006019332</v>
      </c>
      <c r="C614" s="3">
        <f>[1]!nefin_factors__1[[#This Row],[Rm_minus_Rf]]/B613-1</f>
        <v>-0.19063292007230193</v>
      </c>
      <c r="D614" s="3">
        <v>-178295576811111</v>
      </c>
      <c r="E614" s="3">
        <f>[1]!nefin_factors__1[[#This Row],[SMB]]/D613-1</f>
        <v>-1.4753507622861604</v>
      </c>
      <c r="F614" s="3">
        <v>129646805320828</v>
      </c>
      <c r="G614" s="3">
        <f>[1]!nefin_factors__1[[#This Row],[HML]]/F613-1</f>
        <v>-0.6828664180446431</v>
      </c>
      <c r="H614" s="3">
        <v>524961470736551</v>
      </c>
      <c r="I614" s="4">
        <f>[1]!nefin_factors__1[[#This Row],[Risk_Free]]/H613-1</f>
        <v>0</v>
      </c>
      <c r="J614">
        <v>50627</v>
      </c>
      <c r="K614">
        <v>50924</v>
      </c>
      <c r="L614">
        <v>50097</v>
      </c>
      <c r="M614">
        <v>50432</v>
      </c>
      <c r="N614">
        <v>3111900</v>
      </c>
      <c r="O614">
        <v>50432</v>
      </c>
      <c r="P614">
        <v>-3.69426499930858E-3</v>
      </c>
      <c r="Q614">
        <v>-3.7011056488961899E-3</v>
      </c>
      <c r="R614" s="8">
        <v>16.854677200317401</v>
      </c>
      <c r="S614" s="8">
        <v>-1.7299299672860501E-2</v>
      </c>
      <c r="T614" s="9">
        <v>-1.7450680957919899E-2</v>
      </c>
      <c r="U614" s="12">
        <v>5.2531000000000001E-2</v>
      </c>
      <c r="V614" s="16">
        <v>3.5367999999999999</v>
      </c>
      <c r="W614" s="17">
        <f t="shared" si="9"/>
        <v>9.4471558638011821E-3</v>
      </c>
    </row>
    <row r="615" spans="1:23" x14ac:dyDescent="0.2">
      <c r="A615" s="15">
        <v>42436</v>
      </c>
      <c r="B615" s="5">
        <v>386985358341602</v>
      </c>
      <c r="C615" s="5">
        <f>[1]!nefin_factors__1[[#This Row],[Rm_minus_Rf]]/B614-1</f>
        <v>3.0285008759017185E-2</v>
      </c>
      <c r="D615" s="5">
        <v>46243380882027</v>
      </c>
      <c r="E615" s="5">
        <f>[1]!nefin_factors__1[[#This Row],[SMB]]/D614-1</f>
        <v>-1.2593635899953812</v>
      </c>
      <c r="F615" s="5">
        <v>434513243483104</v>
      </c>
      <c r="G615" s="5">
        <f>[1]!nefin_factors__1[[#This Row],[HML]]/F614-1</f>
        <v>2.3515152371695089</v>
      </c>
      <c r="H615" s="5">
        <v>524961470736551</v>
      </c>
      <c r="I615" s="6">
        <f>[1]!nefin_factors__1[[#This Row],[Risk_Free]]/H614-1</f>
        <v>0</v>
      </c>
      <c r="J615">
        <v>50432</v>
      </c>
      <c r="K615">
        <v>50641</v>
      </c>
      <c r="L615">
        <v>50005</v>
      </c>
      <c r="M615">
        <v>50488</v>
      </c>
      <c r="N615">
        <v>2958800</v>
      </c>
      <c r="O615">
        <v>50488</v>
      </c>
      <c r="P615">
        <v>1.11040609137047E-3</v>
      </c>
      <c r="Q615">
        <v>1.1097900465243901E-3</v>
      </c>
      <c r="R615" s="8">
        <v>17.143142700195298</v>
      </c>
      <c r="S615" s="8">
        <v>1.7114684885608099E-2</v>
      </c>
      <c r="T615" s="9">
        <v>1.69698785410652E-2</v>
      </c>
      <c r="U615" s="12">
        <v>5.2531000000000001E-2</v>
      </c>
      <c r="V615" s="16">
        <v>3.6002999999999998</v>
      </c>
      <c r="W615" s="17">
        <f t="shared" si="9"/>
        <v>1.7954082786699743E-2</v>
      </c>
    </row>
    <row r="616" spans="1:23" x14ac:dyDescent="0.2">
      <c r="A616" s="14">
        <v>42437</v>
      </c>
      <c r="B616" s="3">
        <v>139779144702487</v>
      </c>
      <c r="C616" s="3">
        <f>[1]!nefin_factors__1[[#This Row],[Rm_minus_Rf]]/B615-1</f>
        <v>-0.63879991402904623</v>
      </c>
      <c r="D616" s="3">
        <v>254808028912063</v>
      </c>
      <c r="E616" s="3">
        <f>[1]!nefin_factors__1[[#This Row],[SMB]]/D615-1</f>
        <v>4.5101513784667278</v>
      </c>
      <c r="F616" s="3">
        <v>507891259720239</v>
      </c>
      <c r="G616" s="3">
        <f>[1]!nefin_factors__1[[#This Row],[HML]]/F615-1</f>
        <v>0.16887406157964047</v>
      </c>
      <c r="H616" s="3">
        <v>524961470736551</v>
      </c>
      <c r="I616" s="4">
        <f>[1]!nefin_factors__1[[#This Row],[Risk_Free]]/H615-1</f>
        <v>0</v>
      </c>
      <c r="J616">
        <v>50490</v>
      </c>
      <c r="K616">
        <v>51812</v>
      </c>
      <c r="L616">
        <v>50490</v>
      </c>
      <c r="M616">
        <v>51629</v>
      </c>
      <c r="N616">
        <v>4206400</v>
      </c>
      <c r="O616">
        <v>51629</v>
      </c>
      <c r="P616">
        <v>2.2599429567421898E-2</v>
      </c>
      <c r="Q616">
        <v>2.2347845837889301E-2</v>
      </c>
      <c r="R616" s="8">
        <v>17.266771316528299</v>
      </c>
      <c r="S616" s="8">
        <v>7.2116909172341703E-3</v>
      </c>
      <c r="T616" s="9">
        <v>7.18581102499047E-3</v>
      </c>
      <c r="U616" s="12">
        <v>5.2531000000000001E-2</v>
      </c>
      <c r="V616" s="16">
        <v>3.5419</v>
      </c>
      <c r="W616" s="17">
        <f t="shared" si="9"/>
        <v>-1.6220870483015237E-2</v>
      </c>
    </row>
    <row r="617" spans="1:23" x14ac:dyDescent="0.2">
      <c r="A617" s="15">
        <v>42438</v>
      </c>
      <c r="B617" s="5">
        <v>-977805230619659</v>
      </c>
      <c r="C617" s="5">
        <f>[1]!nefin_factors__1[[#This Row],[Rm_minus_Rf]]/B616-1</f>
        <v>-7.995358518617846</v>
      </c>
      <c r="D617" s="5">
        <v>172308568782906</v>
      </c>
      <c r="E617" s="5">
        <f>[1]!nefin_factors__1[[#This Row],[SMB]]/D616-1</f>
        <v>-0.323771038461384</v>
      </c>
      <c r="F617" s="5">
        <v>113999071443067</v>
      </c>
      <c r="G617" s="5">
        <f>[1]!nefin_factors__1[[#This Row],[HML]]/F616-1</f>
        <v>-0.77554433304116921</v>
      </c>
      <c r="H617" s="5">
        <v>524961470736551</v>
      </c>
      <c r="I617" s="6">
        <f>[1]!nefin_factors__1[[#This Row],[Risk_Free]]/H616-1</f>
        <v>0</v>
      </c>
      <c r="J617">
        <v>51633</v>
      </c>
      <c r="K617">
        <v>51633</v>
      </c>
      <c r="L617">
        <v>50832</v>
      </c>
      <c r="M617">
        <v>51118</v>
      </c>
      <c r="N617">
        <v>3213200</v>
      </c>
      <c r="O617">
        <v>51118</v>
      </c>
      <c r="P617">
        <v>-9.8975382052722792E-3</v>
      </c>
      <c r="Q617">
        <v>-9.9468444465706102E-3</v>
      </c>
      <c r="R617" s="8">
        <v>17.225561141967798</v>
      </c>
      <c r="S617" s="8">
        <v>-2.3866849383193901E-3</v>
      </c>
      <c r="T617" s="9">
        <v>-2.3895376106741299E-3</v>
      </c>
      <c r="U617" s="12">
        <v>5.2531000000000001E-2</v>
      </c>
      <c r="V617" s="16">
        <v>3.5659999999999998</v>
      </c>
      <c r="W617" s="17">
        <f t="shared" si="9"/>
        <v>6.8042576018521039E-3</v>
      </c>
    </row>
    <row r="618" spans="1:23" x14ac:dyDescent="0.2">
      <c r="A618" s="14">
        <v>42439</v>
      </c>
      <c r="B618" s="3">
        <v>171861421429199</v>
      </c>
      <c r="C618" s="3">
        <f>[1]!nefin_factors__1[[#This Row],[Rm_minus_Rf]]/B617-1</f>
        <v>-1.1757624279840333</v>
      </c>
      <c r="D618" s="3">
        <v>331156994618182</v>
      </c>
      <c r="E618" s="3">
        <f>[1]!nefin_factors__1[[#This Row],[SMB]]/D617-1</f>
        <v>0.92188349631881272</v>
      </c>
      <c r="F618" s="3">
        <v>664491538625482</v>
      </c>
      <c r="G618" s="3">
        <f>[1]!nefin_factors__1[[#This Row],[HML]]/F617-1</f>
        <v>4.8289206237731497</v>
      </c>
      <c r="H618" s="3">
        <v>524961470736551</v>
      </c>
      <c r="I618" s="4">
        <f>[1]!nefin_factors__1[[#This Row],[Risk_Free]]/H617-1</f>
        <v>0</v>
      </c>
      <c r="J618">
        <v>51117</v>
      </c>
      <c r="K618">
        <v>51117</v>
      </c>
      <c r="L618">
        <v>49421</v>
      </c>
      <c r="M618">
        <v>49422</v>
      </c>
      <c r="N618">
        <v>2977400</v>
      </c>
      <c r="O618">
        <v>49422</v>
      </c>
      <c r="P618">
        <v>-3.3178136859814501E-2</v>
      </c>
      <c r="Q618">
        <v>-3.37410164860905E-2</v>
      </c>
      <c r="R618" s="8">
        <v>17.134901046752901</v>
      </c>
      <c r="S618" s="8">
        <v>-5.2631766528753498E-3</v>
      </c>
      <c r="T618" s="9">
        <v>-5.2770759582318602E-3</v>
      </c>
      <c r="U618" s="12">
        <v>5.2531000000000001E-2</v>
      </c>
      <c r="V618" s="16">
        <v>3.5491000000000001</v>
      </c>
      <c r="W618" s="17">
        <f t="shared" si="9"/>
        <v>-4.7392035894558981E-3</v>
      </c>
    </row>
    <row r="619" spans="1:23" x14ac:dyDescent="0.2">
      <c r="A619" s="15">
        <v>42440</v>
      </c>
      <c r="B619" s="5">
        <v>-117970793916725</v>
      </c>
      <c r="C619" s="5">
        <f>[1]!nefin_factors__1[[#This Row],[Rm_minus_Rf]]/B618-1</f>
        <v>-1.6864297579740717</v>
      </c>
      <c r="D619" s="5">
        <v>759433160190222</v>
      </c>
      <c r="E619" s="5">
        <f>[1]!nefin_factors__1[[#This Row],[SMB]]/D618-1</f>
        <v>1.2932722923936262</v>
      </c>
      <c r="F619" s="5">
        <v>197447007743474</v>
      </c>
      <c r="G619" s="5">
        <f>[1]!nefin_factors__1[[#This Row],[HML]]/F618-1</f>
        <v>-0.70286001210504767</v>
      </c>
      <c r="H619" s="5">
        <v>524961470736551</v>
      </c>
      <c r="I619" s="6">
        <f>[1]!nefin_factors__1[[#This Row],[Risk_Free]]/H618-1</f>
        <v>0</v>
      </c>
      <c r="J619">
        <v>49419</v>
      </c>
      <c r="K619">
        <v>49764</v>
      </c>
      <c r="L619">
        <v>48804</v>
      </c>
      <c r="M619">
        <v>49661</v>
      </c>
      <c r="N619">
        <v>2630500</v>
      </c>
      <c r="O619">
        <v>49661</v>
      </c>
      <c r="P619">
        <v>4.8359030391322798E-3</v>
      </c>
      <c r="Q619">
        <v>4.8242476212401898E-3</v>
      </c>
      <c r="R619" s="8">
        <v>16.937095642089801</v>
      </c>
      <c r="S619" s="8">
        <v>-1.15438847923072E-2</v>
      </c>
      <c r="T619" s="9">
        <v>-1.16110326956699E-2</v>
      </c>
      <c r="U619" s="12">
        <v>5.2531000000000001E-2</v>
      </c>
      <c r="V619" s="16">
        <v>3.5804</v>
      </c>
      <c r="W619" s="17">
        <f t="shared" si="9"/>
        <v>8.8191372460624251E-3</v>
      </c>
    </row>
    <row r="620" spans="1:23" x14ac:dyDescent="0.2">
      <c r="A620" s="14">
        <v>42443</v>
      </c>
      <c r="B620" s="3">
        <v>-159592780281242</v>
      </c>
      <c r="C620" s="3">
        <f>[1]!nefin_factors__1[[#This Row],[Rm_minus_Rf]]/B619-1</f>
        <v>0.35281602320908134</v>
      </c>
      <c r="D620" s="3">
        <v>-15291015562666</v>
      </c>
      <c r="E620" s="3">
        <f>[1]!nefin_factors__1[[#This Row],[SMB]]/D619-1</f>
        <v>-1.020134774676992</v>
      </c>
      <c r="F620" s="3">
        <v>-121950143941378</v>
      </c>
      <c r="G620" s="3">
        <f>[1]!nefin_factors__1[[#This Row],[HML]]/F619-1</f>
        <v>-1.6176348040676181</v>
      </c>
      <c r="H620" s="3">
        <v>524961470736551</v>
      </c>
      <c r="I620" s="4">
        <f>[1]!nefin_factors__1[[#This Row],[Risk_Free]]/H619-1</f>
        <v>0</v>
      </c>
      <c r="J620">
        <v>49662</v>
      </c>
      <c r="K620">
        <v>49894</v>
      </c>
      <c r="L620">
        <v>48216</v>
      </c>
      <c r="M620">
        <v>48648</v>
      </c>
      <c r="N620">
        <v>3885000</v>
      </c>
      <c r="O620">
        <v>48648</v>
      </c>
      <c r="P620">
        <v>-2.03983004772357E-2</v>
      </c>
      <c r="Q620">
        <v>-2.0609218990598401E-2</v>
      </c>
      <c r="R620" s="8">
        <v>16.566209793090799</v>
      </c>
      <c r="S620" s="8">
        <v>-2.1898034685325099E-2</v>
      </c>
      <c r="T620" s="9">
        <v>-2.2141355368952901E-2</v>
      </c>
      <c r="U620" s="12">
        <v>5.2531000000000001E-2</v>
      </c>
      <c r="V620" s="16">
        <v>3.6168</v>
      </c>
      <c r="W620" s="17">
        <f t="shared" si="9"/>
        <v>1.0166461847838315E-2</v>
      </c>
    </row>
    <row r="621" spans="1:23" x14ac:dyDescent="0.2">
      <c r="A621" s="15">
        <v>42444</v>
      </c>
      <c r="B621" s="5">
        <v>-347316497366378</v>
      </c>
      <c r="C621" s="5">
        <f>[1]!nefin_factors__1[[#This Row],[Rm_minus_Rf]]/B620-1</f>
        <v>1.1762669762023088</v>
      </c>
      <c r="D621" s="5">
        <v>-316837063901844</v>
      </c>
      <c r="E621" s="5">
        <f>[1]!nefin_factors__1[[#This Row],[SMB]]/D620-1</f>
        <v>19.720472267088795</v>
      </c>
      <c r="F621" s="5">
        <v>-423310562691791</v>
      </c>
      <c r="G621" s="5">
        <f>[1]!nefin_factors__1[[#This Row],[HML]]/F620-1</f>
        <v>2.4711772287474982</v>
      </c>
      <c r="H621" s="5">
        <v>524613607551627</v>
      </c>
      <c r="I621" s="6">
        <f>[1]!nefin_factors__1[[#This Row],[Risk_Free]]/H620-1</f>
        <v>-6.6264517362757402E-4</v>
      </c>
      <c r="J621">
        <v>48649</v>
      </c>
      <c r="K621">
        <v>49415</v>
      </c>
      <c r="L621">
        <v>48324</v>
      </c>
      <c r="M621">
        <v>48915</v>
      </c>
      <c r="N621">
        <v>5009800</v>
      </c>
      <c r="O621">
        <v>48915</v>
      </c>
      <c r="P621">
        <v>5.4884065120868204E-3</v>
      </c>
      <c r="Q621">
        <v>5.47340009158354E-3</v>
      </c>
      <c r="R621" s="8">
        <v>17.2420463562012</v>
      </c>
      <c r="S621" s="8">
        <v>4.07962136706801E-2</v>
      </c>
      <c r="T621" s="9">
        <v>3.9986010306658999E-2</v>
      </c>
      <c r="U621" s="12">
        <v>5.2531000000000001E-2</v>
      </c>
      <c r="V621" s="16">
        <v>3.5996999999999999</v>
      </c>
      <c r="W621" s="17">
        <f t="shared" si="9"/>
        <v>-4.7279362972794114E-3</v>
      </c>
    </row>
    <row r="622" spans="1:23" x14ac:dyDescent="0.2">
      <c r="A622" s="14">
        <v>42445</v>
      </c>
      <c r="B622" s="3">
        <v>124155803968593</v>
      </c>
      <c r="C622" s="3">
        <f>[1]!nefin_factors__1[[#This Row],[Rm_minus_Rf]]/B621-1</f>
        <v>-1.3574716574364829</v>
      </c>
      <c r="D622" s="3">
        <v>-126596437676347</v>
      </c>
      <c r="E622" s="3">
        <f>[1]!nefin_factors__1[[#This Row],[SMB]]/D621-1</f>
        <v>-0.60043677934231043</v>
      </c>
      <c r="F622" s="3">
        <v>546940326322549</v>
      </c>
      <c r="G622" s="3">
        <f>[1]!nefin_factors__1[[#This Row],[HML]]/F621-1</f>
        <v>-2.2920545210225995</v>
      </c>
      <c r="H622" s="3">
        <v>524961470736551</v>
      </c>
      <c r="I622" s="4">
        <f>[1]!nefin_factors__1[[#This Row],[Risk_Free]]/H621-1</f>
        <v>6.6308456341324096E-4</v>
      </c>
      <c r="J622">
        <v>48901</v>
      </c>
      <c r="K622">
        <v>49412</v>
      </c>
      <c r="L622">
        <v>48067</v>
      </c>
      <c r="M622">
        <v>49412</v>
      </c>
      <c r="N622">
        <v>3887200</v>
      </c>
      <c r="O622">
        <v>49412</v>
      </c>
      <c r="P622">
        <v>1.0160482469590001E-2</v>
      </c>
      <c r="Q622">
        <v>1.0109211765175E-2</v>
      </c>
      <c r="R622" s="8">
        <v>17.258529663085898</v>
      </c>
      <c r="S622" s="8">
        <v>9.5597407992809003E-4</v>
      </c>
      <c r="T622" s="9">
        <v>9.5551742771595599E-4</v>
      </c>
      <c r="U622" s="12">
        <v>5.2531000000000001E-2</v>
      </c>
      <c r="V622" s="16">
        <v>3.5951</v>
      </c>
      <c r="W622" s="17">
        <f t="shared" si="9"/>
        <v>-1.2778842681334668E-3</v>
      </c>
    </row>
    <row r="623" spans="1:23" x14ac:dyDescent="0.2">
      <c r="A623" s="15">
        <v>42446</v>
      </c>
      <c r="B623" s="5">
        <v>612703869896907</v>
      </c>
      <c r="C623" s="5">
        <f>[1]!nefin_factors__1[[#This Row],[Rm_minus_Rf]]/B622-1</f>
        <v>3.9349595452815018</v>
      </c>
      <c r="D623" s="5">
        <v>695541829235324</v>
      </c>
      <c r="E623" s="5">
        <f>[1]!nefin_factors__1[[#This Row],[SMB]]/D622-1</f>
        <v>-6.4941658865119667</v>
      </c>
      <c r="F623" s="5">
        <v>227181801070979</v>
      </c>
      <c r="G623" s="5">
        <f>[1]!nefin_factors__1[[#This Row],[HML]]/F622-1</f>
        <v>-0.58463146683939649</v>
      </c>
      <c r="H623" s="5">
        <v>524613607551627</v>
      </c>
      <c r="I623" s="6">
        <f>[1]!nefin_factors__1[[#This Row],[Risk_Free]]/H622-1</f>
        <v>-6.6264517362757402E-4</v>
      </c>
      <c r="J623">
        <v>49409</v>
      </c>
      <c r="K623">
        <v>50191</v>
      </c>
      <c r="L623">
        <v>49405</v>
      </c>
      <c r="M623">
        <v>49534</v>
      </c>
      <c r="N623">
        <v>4248900</v>
      </c>
      <c r="O623">
        <v>49534</v>
      </c>
      <c r="P623">
        <v>2.46903586173408E-3</v>
      </c>
      <c r="Q623">
        <v>2.4659928006129199E-3</v>
      </c>
      <c r="R623" s="8">
        <v>17.266771316528299</v>
      </c>
      <c r="S623" s="8">
        <v>4.7758790796081902E-4</v>
      </c>
      <c r="T623" s="9">
        <v>4.77473899153945E-4</v>
      </c>
      <c r="U623" s="12">
        <v>5.2531000000000001E-2</v>
      </c>
      <c r="V623" s="16">
        <v>3.6126</v>
      </c>
      <c r="W623" s="17">
        <f t="shared" si="9"/>
        <v>4.8677366415399437E-3</v>
      </c>
    </row>
    <row r="624" spans="1:23" x14ac:dyDescent="0.2">
      <c r="A624" s="14">
        <v>42447</v>
      </c>
      <c r="B624" s="3">
        <v>-179149296162744</v>
      </c>
      <c r="C624" s="3">
        <f>[1]!nefin_factors__1[[#This Row],[Rm_minus_Rf]]/B623-1</f>
        <v>-1.2923913246914656</v>
      </c>
      <c r="D624" s="3">
        <v>499921522877954</v>
      </c>
      <c r="E624" s="3">
        <f>[1]!nefin_factors__1[[#This Row],[SMB]]/D623-1</f>
        <v>-0.2812488022070998</v>
      </c>
      <c r="F624" s="3">
        <v>373660497263472</v>
      </c>
      <c r="G624" s="3">
        <f>[1]!nefin_factors__1[[#This Row],[HML]]/F623-1</f>
        <v>0.64476421747677004</v>
      </c>
      <c r="H624" s="3">
        <v>524961470736551</v>
      </c>
      <c r="I624" s="4">
        <f>[1]!nefin_factors__1[[#This Row],[Risk_Free]]/H623-1</f>
        <v>6.6308456341324096E-4</v>
      </c>
      <c r="J624">
        <v>49539</v>
      </c>
      <c r="K624">
        <v>50782</v>
      </c>
      <c r="L624">
        <v>49539</v>
      </c>
      <c r="M624">
        <v>50329</v>
      </c>
      <c r="N624">
        <v>3487000</v>
      </c>
      <c r="O624">
        <v>50329</v>
      </c>
      <c r="P624">
        <v>1.60495821052207E-2</v>
      </c>
      <c r="Q624">
        <v>1.5922149250212202E-2</v>
      </c>
      <c r="R624" s="8">
        <v>17.266771316528299</v>
      </c>
      <c r="S624" s="8">
        <v>0</v>
      </c>
      <c r="T624" s="9">
        <v>0</v>
      </c>
      <c r="U624" s="12">
        <v>5.2531000000000001E-2</v>
      </c>
      <c r="V624" s="16">
        <v>3.5960999999999999</v>
      </c>
      <c r="W624" s="17">
        <f t="shared" si="9"/>
        <v>-4.5673476166749882E-3</v>
      </c>
    </row>
    <row r="625" spans="1:23" x14ac:dyDescent="0.2">
      <c r="A625" s="15">
        <v>42450</v>
      </c>
      <c r="B625" s="5">
        <v>76630773815352</v>
      </c>
      <c r="C625" s="5">
        <f>[1]!nefin_factors__1[[#This Row],[Rm_minus_Rf]]/B624-1</f>
        <v>-1.4277481154362928</v>
      </c>
      <c r="D625" s="5">
        <v>-10481642913347</v>
      </c>
      <c r="E625" s="5">
        <f>[1]!nefin_factors__1[[#This Row],[SMB]]/D624-1</f>
        <v>-1.0209665766198786</v>
      </c>
      <c r="F625" s="5">
        <v>485456151589642</v>
      </c>
      <c r="G625" s="5">
        <f>[1]!nefin_factors__1[[#This Row],[HML]]/F624-1</f>
        <v>0.29919045535964606</v>
      </c>
      <c r="H625" s="5">
        <v>524961470736551</v>
      </c>
      <c r="I625" s="6">
        <f>[1]!nefin_factors__1[[#This Row],[Risk_Free]]/H624-1</f>
        <v>0</v>
      </c>
      <c r="J625">
        <v>50326</v>
      </c>
      <c r="K625">
        <v>50870</v>
      </c>
      <c r="L625">
        <v>49678</v>
      </c>
      <c r="M625">
        <v>50838</v>
      </c>
      <c r="N625">
        <v>3349200</v>
      </c>
      <c r="O625">
        <v>50838</v>
      </c>
      <c r="P625">
        <v>1.0113453476127099E-2</v>
      </c>
      <c r="Q625">
        <v>1.0062654718989801E-2</v>
      </c>
      <c r="R625" s="8">
        <v>17.324464797973601</v>
      </c>
      <c r="S625" s="8">
        <v>3.3414047915834E-3</v>
      </c>
      <c r="T625" s="9">
        <v>3.33583470309086E-3</v>
      </c>
      <c r="U625" s="12">
        <v>5.2531000000000001E-2</v>
      </c>
      <c r="V625" s="16">
        <v>3.5409000000000002</v>
      </c>
      <c r="W625" s="17">
        <f t="shared" si="9"/>
        <v>-1.5349962459330846E-2</v>
      </c>
    </row>
    <row r="626" spans="1:23" x14ac:dyDescent="0.2">
      <c r="A626" s="14">
        <v>42451</v>
      </c>
      <c r="B626" s="3">
        <v>-526893725238211</v>
      </c>
      <c r="C626" s="3">
        <f>[1]!nefin_factors__1[[#This Row],[Rm_minus_Rf]]/B625-1</f>
        <v>-7.8757458525448758</v>
      </c>
      <c r="D626" s="3">
        <v>10145981426569</v>
      </c>
      <c r="E626" s="3">
        <f>[1]!nefin_factors__1[[#This Row],[SMB]]/D625-1</f>
        <v>-1.9679762524297999</v>
      </c>
      <c r="F626" s="3">
        <v>121306116607355</v>
      </c>
      <c r="G626" s="3">
        <f>[1]!nefin_factors__1[[#This Row],[HML]]/F625-1</f>
        <v>-0.7501193131240913</v>
      </c>
      <c r="H626" s="3">
        <v>524961470736551</v>
      </c>
      <c r="I626" s="4">
        <f>[1]!nefin_factors__1[[#This Row],[Risk_Free]]/H625-1</f>
        <v>0</v>
      </c>
      <c r="J626">
        <v>50835</v>
      </c>
      <c r="K626">
        <v>51239</v>
      </c>
      <c r="L626">
        <v>50060</v>
      </c>
      <c r="M626">
        <v>50156</v>
      </c>
      <c r="N626">
        <v>3632900</v>
      </c>
      <c r="O626">
        <v>50156</v>
      </c>
      <c r="P626">
        <v>-1.3415161886777599E-2</v>
      </c>
      <c r="Q626">
        <v>-1.3505958116090599E-2</v>
      </c>
      <c r="R626" s="8">
        <v>17.637657165527301</v>
      </c>
      <c r="S626" s="8">
        <v>1.8077780995050099E-2</v>
      </c>
      <c r="T626" s="9">
        <v>1.79163209021483E-2</v>
      </c>
      <c r="U626" s="12">
        <v>5.2531000000000001E-2</v>
      </c>
      <c r="V626" s="16">
        <v>3.5097999999999998</v>
      </c>
      <c r="W626" s="17">
        <f t="shared" si="9"/>
        <v>-8.7830777485951028E-3</v>
      </c>
    </row>
    <row r="627" spans="1:23" x14ac:dyDescent="0.2">
      <c r="A627" s="15">
        <v>42452</v>
      </c>
      <c r="B627" s="5">
        <v>-215737151694835</v>
      </c>
      <c r="C627" s="5">
        <f>[1]!nefin_factors__1[[#This Row],[Rm_minus_Rf]]/B626-1</f>
        <v>-0.59054902087266403</v>
      </c>
      <c r="D627" s="5">
        <v>-415393421276035</v>
      </c>
      <c r="E627" s="5">
        <f>[1]!nefin_factors__1[[#This Row],[SMB]]/D626-1</f>
        <v>-41.941669791377279</v>
      </c>
      <c r="F627" s="5">
        <v>-317284546581307</v>
      </c>
      <c r="G627" s="5">
        <f>[1]!nefin_factors__1[[#This Row],[HML]]/F626-1</f>
        <v>-3.6155692347179591</v>
      </c>
      <c r="H627" s="5">
        <v>524961470736551</v>
      </c>
      <c r="I627" s="6">
        <f>[1]!nefin_factors__1[[#This Row],[Risk_Free]]/H626-1</f>
        <v>0</v>
      </c>
      <c r="J627">
        <v>50161</v>
      </c>
      <c r="K627">
        <v>51673</v>
      </c>
      <c r="L627">
        <v>50161</v>
      </c>
      <c r="M627">
        <v>51560</v>
      </c>
      <c r="N627">
        <v>3166800</v>
      </c>
      <c r="O627">
        <v>51560</v>
      </c>
      <c r="P627">
        <v>2.7992662891777698E-2</v>
      </c>
      <c r="Q627">
        <v>2.76080297426953E-2</v>
      </c>
      <c r="R627" s="8">
        <v>17.761285781860401</v>
      </c>
      <c r="S627" s="8">
        <v>7.0094937561644404E-3</v>
      </c>
      <c r="T627" s="9">
        <v>6.9850414538158E-3</v>
      </c>
      <c r="U627" s="12">
        <v>5.2531000000000001E-2</v>
      </c>
      <c r="V627" s="16">
        <v>3.4744999999999999</v>
      </c>
      <c r="W627" s="17">
        <f t="shared" si="9"/>
        <v>-1.0057553136930797E-2</v>
      </c>
    </row>
    <row r="628" spans="1:23" x14ac:dyDescent="0.2">
      <c r="A628" s="14">
        <v>42453</v>
      </c>
      <c r="B628" s="3">
        <v>-211229196836154</v>
      </c>
      <c r="C628" s="3">
        <f>[1]!nefin_factors__1[[#This Row],[Rm_minus_Rf]]/B627-1</f>
        <v>-2.0895589022411842E-2</v>
      </c>
      <c r="D628" s="3">
        <v>-234037970271991</v>
      </c>
      <c r="E628" s="3">
        <f>[1]!nefin_factors__1[[#This Row],[SMB]]/D627-1</f>
        <v>-0.43658720074801249</v>
      </c>
      <c r="F628" s="3">
        <v>355450536390553</v>
      </c>
      <c r="G628" s="3">
        <f>[1]!nefin_factors__1[[#This Row],[HML]]/F627-1</f>
        <v>-2.1202894695643981</v>
      </c>
      <c r="H628" s="3">
        <v>524961470736551</v>
      </c>
      <c r="I628" s="4">
        <f>[1]!nefin_factors__1[[#This Row],[Risk_Free]]/H627-1</f>
        <v>0</v>
      </c>
      <c r="J628">
        <v>51561</v>
      </c>
      <c r="K628">
        <v>51561</v>
      </c>
      <c r="L628">
        <v>49544</v>
      </c>
      <c r="M628">
        <v>50105</v>
      </c>
      <c r="N628">
        <v>4139100</v>
      </c>
      <c r="O628">
        <v>50105</v>
      </c>
      <c r="P628">
        <v>-2.82195500387897E-2</v>
      </c>
      <c r="Q628">
        <v>-2.8625374560694399E-2</v>
      </c>
      <c r="R628" s="8">
        <v>17.307981491088899</v>
      </c>
      <c r="S628" s="8">
        <v>-2.5522019256082201E-2</v>
      </c>
      <c r="T628" s="9">
        <v>-2.58533557295994E-2</v>
      </c>
      <c r="U628" s="12">
        <v>5.2531000000000001E-2</v>
      </c>
      <c r="V628" s="16">
        <v>3.3898000000000001</v>
      </c>
      <c r="W628" s="17">
        <f t="shared" si="9"/>
        <v>-2.4377608288962405E-2</v>
      </c>
    </row>
    <row r="629" spans="1:23" x14ac:dyDescent="0.2">
      <c r="A629" s="15">
        <v>42457</v>
      </c>
      <c r="B629" s="5">
        <v>238473861730858</v>
      </c>
      <c r="C629" s="5">
        <f>[1]!nefin_factors__1[[#This Row],[Rm_minus_Rf]]/B628-1</f>
        <v>-2.1289815295554861</v>
      </c>
      <c r="D629" s="5">
        <v>244054590854519</v>
      </c>
      <c r="E629" s="5">
        <f>[1]!nefin_factors__1[[#This Row],[SMB]]/D628-1</f>
        <v>-2.0427991260174023</v>
      </c>
      <c r="F629" s="5">
        <v>638486832935955</v>
      </c>
      <c r="G629" s="5">
        <f>[1]!nefin_factors__1[[#This Row],[HML]]/F628-1</f>
        <v>0.79627477684944181</v>
      </c>
      <c r="H629" s="5">
        <v>524961470736551</v>
      </c>
      <c r="I629" s="6">
        <f>[1]!nefin_factors__1[[#This Row],[Risk_Free]]/H628-1</f>
        <v>0</v>
      </c>
      <c r="J629">
        <v>50106</v>
      </c>
      <c r="K629">
        <v>50162</v>
      </c>
      <c r="L629">
        <v>48954</v>
      </c>
      <c r="M629">
        <v>49246</v>
      </c>
      <c r="N629">
        <v>3228500</v>
      </c>
      <c r="O629">
        <v>49246</v>
      </c>
      <c r="P629">
        <v>-1.71439976050295E-2</v>
      </c>
      <c r="Q629">
        <v>-1.72926574646886E-2</v>
      </c>
      <c r="R629" s="8">
        <v>17.307981491088899</v>
      </c>
      <c r="S629" s="8">
        <v>0</v>
      </c>
      <c r="T629" s="9">
        <v>0</v>
      </c>
      <c r="U629" s="12">
        <v>5.2531000000000001E-2</v>
      </c>
      <c r="V629" s="16">
        <v>3.3816999999999999</v>
      </c>
      <c r="W629" s="17">
        <f t="shared" si="9"/>
        <v>-2.3895215056936037E-3</v>
      </c>
    </row>
    <row r="630" spans="1:23" x14ac:dyDescent="0.2">
      <c r="A630" s="14">
        <v>42458</v>
      </c>
      <c r="B630" s="3">
        <v>684143780306417</v>
      </c>
      <c r="C630" s="3">
        <f>[1]!nefin_factors__1[[#This Row],[Rm_minus_Rf]]/B629-1</f>
        <v>1.8688417897913809</v>
      </c>
      <c r="D630" s="3">
        <v>-159997363198973</v>
      </c>
      <c r="E630" s="3">
        <f>[1]!nefin_factors__1[[#This Row],[SMB]]/D629-1</f>
        <v>-1.6555802234195522</v>
      </c>
      <c r="F630" s="3">
        <v>-117617153609908</v>
      </c>
      <c r="G630" s="3">
        <f>[1]!nefin_factors__1[[#This Row],[HML]]/F629-1</f>
        <v>-1.1842123400870599</v>
      </c>
      <c r="H630" s="3">
        <v>524961470736551</v>
      </c>
      <c r="I630" s="4">
        <f>[1]!nefin_factors__1[[#This Row],[Risk_Free]]/H629-1</f>
        <v>0</v>
      </c>
      <c r="J630">
        <v>49252</v>
      </c>
      <c r="K630">
        <v>50301</v>
      </c>
      <c r="L630">
        <v>49252</v>
      </c>
      <c r="M630">
        <v>50007</v>
      </c>
      <c r="N630">
        <v>3406400</v>
      </c>
      <c r="O630">
        <v>50007</v>
      </c>
      <c r="P630">
        <v>1.54530317183121E-2</v>
      </c>
      <c r="Q630">
        <v>1.5334849583457001E-2</v>
      </c>
      <c r="R630" s="8">
        <v>17.6788654327393</v>
      </c>
      <c r="S630" s="8">
        <v>2.1428448016538999E-2</v>
      </c>
      <c r="T630" s="9">
        <v>2.12020868276269E-2</v>
      </c>
      <c r="U630" s="12">
        <v>5.2531000000000001E-2</v>
      </c>
      <c r="V630" s="16">
        <v>3.4260999999999999</v>
      </c>
      <c r="W630" s="17">
        <f t="shared" si="9"/>
        <v>1.3129491084365785E-2</v>
      </c>
    </row>
    <row r="631" spans="1:23" x14ac:dyDescent="0.2">
      <c r="A631" s="15">
        <v>42459</v>
      </c>
      <c r="B631" s="5">
        <v>-798917395607542</v>
      </c>
      <c r="C631" s="5">
        <f>[1]!nefin_factors__1[[#This Row],[Rm_minus_Rf]]/B630-1</f>
        <v>-2.1677624186683682</v>
      </c>
      <c r="D631" s="5">
        <v>42827414780408</v>
      </c>
      <c r="E631" s="5">
        <f>[1]!nefin_factors__1[[#This Row],[SMB]]/D630-1</f>
        <v>-1.2676757536756886</v>
      </c>
      <c r="F631" s="5">
        <v>763364509080322</v>
      </c>
      <c r="G631" s="5">
        <f>[1]!nefin_factors__1[[#This Row],[HML]]/F630-1</f>
        <v>-7.4902481113606596</v>
      </c>
      <c r="H631" s="5">
        <v>524961470736551</v>
      </c>
      <c r="I631" s="6">
        <f>[1]!nefin_factors__1[[#This Row],[Risk_Free]]/H630-1</f>
        <v>0</v>
      </c>
      <c r="J631">
        <v>50009</v>
      </c>
      <c r="K631">
        <v>51229</v>
      </c>
      <c r="L631">
        <v>50009</v>
      </c>
      <c r="M631">
        <v>51002</v>
      </c>
      <c r="N631">
        <v>3970100</v>
      </c>
      <c r="O631">
        <v>51002</v>
      </c>
      <c r="P631">
        <v>1.9897214389985401E-2</v>
      </c>
      <c r="Q631">
        <v>1.9701852012624699E-2</v>
      </c>
      <c r="R631" s="8">
        <v>18.503055572509801</v>
      </c>
      <c r="S631" s="8">
        <v>4.6620020246731501E-2</v>
      </c>
      <c r="T631" s="9">
        <v>4.5565943615679803E-2</v>
      </c>
      <c r="U631" s="12">
        <v>5.2531000000000001E-2</v>
      </c>
      <c r="V631" s="16">
        <v>3.4533</v>
      </c>
      <c r="W631" s="17">
        <f t="shared" si="9"/>
        <v>7.939056069583561E-3</v>
      </c>
    </row>
    <row r="632" spans="1:23" x14ac:dyDescent="0.2">
      <c r="A632" s="14">
        <v>42460</v>
      </c>
      <c r="B632" s="3">
        <v>-231116768045521</v>
      </c>
      <c r="C632" s="3">
        <f>[1]!nefin_factors__1[[#This Row],[Rm_minus_Rf]]/B631-1</f>
        <v>-0.71071256012673656</v>
      </c>
      <c r="D632" s="3">
        <v>-641461781101744</v>
      </c>
      <c r="E632" s="3">
        <f>[1]!nefin_factors__1[[#This Row],[SMB]]/D631-1</f>
        <v>-15.977831008263186</v>
      </c>
      <c r="F632" s="3">
        <v>-774627700843158</v>
      </c>
      <c r="G632" s="3">
        <f>[1]!nefin_factors__1[[#This Row],[HML]]/F631-1</f>
        <v>-2.0147546704475499</v>
      </c>
      <c r="H632" s="3">
        <v>524961470736551</v>
      </c>
      <c r="I632" s="4">
        <f>[1]!nefin_factors__1[[#This Row],[Risk_Free]]/H631-1</f>
        <v>0</v>
      </c>
      <c r="J632">
        <v>51001</v>
      </c>
      <c r="K632">
        <v>51619</v>
      </c>
      <c r="L632">
        <v>50585</v>
      </c>
      <c r="M632">
        <v>51527</v>
      </c>
      <c r="N632">
        <v>4377800</v>
      </c>
      <c r="O632">
        <v>51527</v>
      </c>
      <c r="P632">
        <v>1.0293713972001199E-2</v>
      </c>
      <c r="Q632">
        <v>1.02410944901969E-2</v>
      </c>
      <c r="R632" s="8">
        <v>18.865699768066399</v>
      </c>
      <c r="S632" s="8">
        <v>1.9599179881845799E-2</v>
      </c>
      <c r="T632" s="9">
        <v>1.9409589166661301E-2</v>
      </c>
      <c r="U632" s="12">
        <v>5.2531000000000001E-2</v>
      </c>
      <c r="V632" s="16">
        <v>3.4839000000000002</v>
      </c>
      <c r="W632" s="17">
        <f t="shared" si="9"/>
        <v>8.8610893927547618E-3</v>
      </c>
    </row>
    <row r="633" spans="1:23" x14ac:dyDescent="0.2">
      <c r="A633" s="15">
        <v>42461</v>
      </c>
      <c r="B633" s="5">
        <v>886441157119674</v>
      </c>
      <c r="C633" s="5">
        <f>[1]!nefin_factors__1[[#This Row],[Rm_minus_Rf]]/B632-1</f>
        <v>-4.8354688178448377</v>
      </c>
      <c r="D633" s="5">
        <v>494637651737369</v>
      </c>
      <c r="E633" s="5">
        <f>[1]!nefin_factors__1[[#This Row],[SMB]]/D632-1</f>
        <v>-1.7711100899695116</v>
      </c>
      <c r="F633" s="5">
        <v>248201056288869</v>
      </c>
      <c r="G633" s="5">
        <f>[1]!nefin_factors__1[[#This Row],[HML]]/F632-1</f>
        <v>-1.3204133495596788</v>
      </c>
      <c r="H633" s="5">
        <v>524961470736551</v>
      </c>
      <c r="I633" s="6">
        <f>[1]!nefin_factors__1[[#This Row],[Risk_Free]]/H632-1</f>
        <v>0</v>
      </c>
      <c r="J633">
        <v>51540</v>
      </c>
      <c r="K633">
        <v>52346</v>
      </c>
      <c r="L633">
        <v>51411</v>
      </c>
      <c r="M633">
        <v>52233</v>
      </c>
      <c r="N633">
        <v>4116100</v>
      </c>
      <c r="O633">
        <v>52233</v>
      </c>
      <c r="P633">
        <v>1.3701554524812301E-2</v>
      </c>
      <c r="Q633">
        <v>1.3608536920688899E-2</v>
      </c>
      <c r="R633" s="8">
        <v>18.7585544586182</v>
      </c>
      <c r="S633" s="8">
        <v>-5.6794133207924702E-3</v>
      </c>
      <c r="T633" s="9">
        <v>-5.69560251447383E-3</v>
      </c>
      <c r="U633" s="12">
        <v>5.2531000000000001E-2</v>
      </c>
      <c r="V633" s="16">
        <v>3.4767999999999999</v>
      </c>
      <c r="W633" s="17">
        <f t="shared" si="9"/>
        <v>-2.0379459800798916E-3</v>
      </c>
    </row>
    <row r="634" spans="1:23" x14ac:dyDescent="0.2">
      <c r="A634" s="14">
        <v>42464</v>
      </c>
      <c r="B634" s="3">
        <v>-336888562924648</v>
      </c>
      <c r="C634" s="3">
        <f>[1]!nefin_factors__1[[#This Row],[Rm_minus_Rf]]/B633-1</f>
        <v>-1.3800461657481078</v>
      </c>
      <c r="D634" s="3">
        <v>-511557788845606</v>
      </c>
      <c r="E634" s="3">
        <f>[1]!nefin_factors__1[[#This Row],[SMB]]/D633-1</f>
        <v>-2.0342071353622324</v>
      </c>
      <c r="F634" s="3">
        <v>-17373377106733</v>
      </c>
      <c r="G634" s="3">
        <f>[1]!nefin_factors__1[[#This Row],[HML]]/F633-1</f>
        <v>-1.0699971924636493</v>
      </c>
      <c r="H634" s="3">
        <v>524613607551627</v>
      </c>
      <c r="I634" s="4">
        <f>[1]!nefin_factors__1[[#This Row],[Risk_Free]]/H633-1</f>
        <v>-6.6264517362757402E-4</v>
      </c>
      <c r="J634">
        <v>52241</v>
      </c>
      <c r="K634">
        <v>52918</v>
      </c>
      <c r="L634">
        <v>52241</v>
      </c>
      <c r="M634">
        <v>52569</v>
      </c>
      <c r="N634">
        <v>2081800</v>
      </c>
      <c r="O634">
        <v>52569</v>
      </c>
      <c r="P634">
        <v>6.4327149503187204E-3</v>
      </c>
      <c r="Q634">
        <v>6.4121133418205602E-3</v>
      </c>
      <c r="R634" s="8">
        <v>19.0799884796143</v>
      </c>
      <c r="S634" s="8">
        <v>1.7135348742094901E-2</v>
      </c>
      <c r="T634" s="9">
        <v>1.6990194486643101E-2</v>
      </c>
      <c r="U634" s="12">
        <v>5.2531000000000001E-2</v>
      </c>
      <c r="V634" s="16">
        <v>3.4904000000000002</v>
      </c>
      <c r="W634" s="17">
        <f t="shared" si="9"/>
        <v>3.9116428900138889E-3</v>
      </c>
    </row>
    <row r="635" spans="1:23" x14ac:dyDescent="0.2">
      <c r="A635" s="15">
        <v>42465</v>
      </c>
      <c r="B635" s="5">
        <v>462928388463177</v>
      </c>
      <c r="C635" s="5">
        <f>[1]!nefin_factors__1[[#This Row],[Rm_minus_Rf]]/B634-1</f>
        <v>-2.3741291317352333</v>
      </c>
      <c r="D635" s="5">
        <v>227486303217206</v>
      </c>
      <c r="E635" s="5">
        <f>[1]!nefin_factors__1[[#This Row],[SMB]]/D634-1</f>
        <v>-1.4446932647249047</v>
      </c>
      <c r="F635" s="5">
        <v>-963603077758263</v>
      </c>
      <c r="G635" s="5">
        <f>[1]!nefin_factors__1[[#This Row],[HML]]/F634-1</f>
        <v>54.464350531182653</v>
      </c>
      <c r="H635" s="5">
        <v>524961470736551</v>
      </c>
      <c r="I635" s="6">
        <f>[1]!nefin_factors__1[[#This Row],[Risk_Free]]/H634-1</f>
        <v>6.6308456341324096E-4</v>
      </c>
      <c r="J635">
        <v>52565</v>
      </c>
      <c r="K635">
        <v>52565</v>
      </c>
      <c r="L635">
        <v>51510</v>
      </c>
      <c r="M635">
        <v>51842</v>
      </c>
      <c r="N635">
        <v>3121400</v>
      </c>
      <c r="O635">
        <v>51842</v>
      </c>
      <c r="P635">
        <v>-1.38294432079743E-2</v>
      </c>
      <c r="Q635">
        <v>-1.3925960847657501E-2</v>
      </c>
      <c r="R635" s="8">
        <v>19.0799884796143</v>
      </c>
      <c r="S635" s="8">
        <v>0</v>
      </c>
      <c r="T635" s="9">
        <v>0</v>
      </c>
      <c r="U635" s="12">
        <v>5.2531000000000001E-2</v>
      </c>
      <c r="V635" s="16">
        <v>3.4371999999999998</v>
      </c>
      <c r="W635" s="17">
        <f t="shared" si="9"/>
        <v>-1.5241806096722543E-2</v>
      </c>
    </row>
    <row r="636" spans="1:23" x14ac:dyDescent="0.2">
      <c r="A636" s="14">
        <v>42466</v>
      </c>
      <c r="B636" s="3">
        <v>-192948861320845</v>
      </c>
      <c r="C636" s="3">
        <f>[1]!nefin_factors__1[[#This Row],[Rm_minus_Rf]]/B635-1</f>
        <v>-1.4168006675101388</v>
      </c>
      <c r="D636" s="3">
        <v>-472867479051412</v>
      </c>
      <c r="E636" s="3">
        <f>[1]!nefin_factors__1[[#This Row],[SMB]]/D635-1</f>
        <v>-3.078663516721329</v>
      </c>
      <c r="F636" s="3">
        <v>-178103701789586</v>
      </c>
      <c r="G636" s="3">
        <f>[1]!nefin_factors__1[[#This Row],[HML]]/F635-1</f>
        <v>-0.81516901938095876</v>
      </c>
      <c r="H636" s="3">
        <v>524613607551627</v>
      </c>
      <c r="I636" s="4">
        <f>[1]!nefin_factors__1[[#This Row],[Risk_Free]]/H635-1</f>
        <v>-6.6264517362757402E-4</v>
      </c>
      <c r="J636">
        <v>51842</v>
      </c>
      <c r="K636">
        <v>51909</v>
      </c>
      <c r="L636">
        <v>50825</v>
      </c>
      <c r="M636">
        <v>51902</v>
      </c>
      <c r="N636">
        <v>3277000</v>
      </c>
      <c r="O636">
        <v>51902</v>
      </c>
      <c r="P636">
        <v>1.1573627560665901E-3</v>
      </c>
      <c r="Q636">
        <v>1.1566935281019401E-3</v>
      </c>
      <c r="R636" s="8">
        <v>18.9975700378418</v>
      </c>
      <c r="S636" s="8">
        <v>-4.3195378542890701E-3</v>
      </c>
      <c r="T636" s="9">
        <v>-4.3288940104944497E-3</v>
      </c>
      <c r="U636" s="12">
        <v>5.2531000000000001E-2</v>
      </c>
      <c r="V636" s="16">
        <v>3.3835000000000002</v>
      </c>
      <c r="W636" s="17">
        <f t="shared" si="9"/>
        <v>-1.5623181659490171E-2</v>
      </c>
    </row>
    <row r="637" spans="1:23" x14ac:dyDescent="0.2">
      <c r="A637" s="15">
        <v>42467</v>
      </c>
      <c r="B637" s="5">
        <v>764282355796059</v>
      </c>
      <c r="C637" s="5">
        <f>[1]!nefin_factors__1[[#This Row],[Rm_minus_Rf]]/B636-1</f>
        <v>-4.9610617578363012</v>
      </c>
      <c r="D637" s="5">
        <v>-208408846283785</v>
      </c>
      <c r="E637" s="5">
        <f>[1]!nefin_factors__1[[#This Row],[SMB]]/D636-1</f>
        <v>-0.55926585033536225</v>
      </c>
      <c r="F637" s="5">
        <v>-165899287724048</v>
      </c>
      <c r="G637" s="5">
        <f>[1]!nefin_factors__1[[#This Row],[HML]]/F636-1</f>
        <v>-6.8524202152499103E-2</v>
      </c>
      <c r="H637" s="5">
        <v>524613607551627</v>
      </c>
      <c r="I637" s="6">
        <f>[1]!nefin_factors__1[[#This Row],[Risk_Free]]/H636-1</f>
        <v>0</v>
      </c>
      <c r="J637">
        <v>51902</v>
      </c>
      <c r="K637">
        <v>52719</v>
      </c>
      <c r="L637">
        <v>51888</v>
      </c>
      <c r="M637">
        <v>52015</v>
      </c>
      <c r="N637">
        <v>3712200</v>
      </c>
      <c r="O637">
        <v>52015</v>
      </c>
      <c r="P637">
        <v>2.1771800701322298E-3</v>
      </c>
      <c r="Q637">
        <v>2.1748134480225E-3</v>
      </c>
      <c r="R637" s="8">
        <v>19.706373214721701</v>
      </c>
      <c r="S637" s="8">
        <v>3.73100596408871E-2</v>
      </c>
      <c r="T637" s="9">
        <v>3.6630881317506497E-2</v>
      </c>
      <c r="U637" s="12">
        <v>5.2531000000000001E-2</v>
      </c>
      <c r="V637" s="16">
        <v>3.3896999999999999</v>
      </c>
      <c r="W637" s="17">
        <f t="shared" si="9"/>
        <v>1.8324220481749087E-3</v>
      </c>
    </row>
    <row r="638" spans="1:23" x14ac:dyDescent="0.2">
      <c r="A638" s="14">
        <v>42468</v>
      </c>
      <c r="B638" s="3">
        <v>338529002803919</v>
      </c>
      <c r="C638" s="3">
        <f>[1]!nefin_factors__1[[#This Row],[Rm_minus_Rf]]/B637-1</f>
        <v>-0.5570629097523585</v>
      </c>
      <c r="D638" s="3">
        <v>224399037564164</v>
      </c>
      <c r="E638" s="3">
        <f>[1]!nefin_factors__1[[#This Row],[SMB]]/D637-1</f>
        <v>-2.0767251081972096</v>
      </c>
      <c r="F638" s="3">
        <v>298722600037762</v>
      </c>
      <c r="G638" s="3">
        <f>[1]!nefin_factors__1[[#This Row],[HML]]/F637-1</f>
        <v>-2.8006261758920168</v>
      </c>
      <c r="H638" s="3">
        <v>524613607551627</v>
      </c>
      <c r="I638" s="4">
        <f>[1]!nefin_factors__1[[#This Row],[Risk_Free]]/H637-1</f>
        <v>0</v>
      </c>
      <c r="J638">
        <v>52020</v>
      </c>
      <c r="K638">
        <v>53166</v>
      </c>
      <c r="L638">
        <v>52020</v>
      </c>
      <c r="M638">
        <v>53141</v>
      </c>
      <c r="N638">
        <v>2995500</v>
      </c>
      <c r="O638">
        <v>53141</v>
      </c>
      <c r="P638">
        <v>2.1647601653369299E-2</v>
      </c>
      <c r="Q638">
        <v>2.14166198477817E-2</v>
      </c>
      <c r="R638" s="8">
        <v>19.640438079833999</v>
      </c>
      <c r="S638" s="8">
        <v>-3.3457097392795001E-3</v>
      </c>
      <c r="T638" s="9">
        <v>-3.3513191412243301E-3</v>
      </c>
      <c r="U638" s="12">
        <v>5.2531000000000001E-2</v>
      </c>
      <c r="V638" s="16">
        <v>3.3883000000000001</v>
      </c>
      <c r="W638" s="17">
        <f t="shared" si="9"/>
        <v>-4.1301590111220143E-4</v>
      </c>
    </row>
    <row r="639" spans="1:23" x14ac:dyDescent="0.2">
      <c r="A639" s="15">
        <v>42471</v>
      </c>
      <c r="B639" s="5">
        <v>-290360330615232</v>
      </c>
      <c r="C639" s="5">
        <f>[1]!nefin_factors__1[[#This Row],[Rm_minus_Rf]]/B638-1</f>
        <v>-1.8577118303314561</v>
      </c>
      <c r="D639" s="5">
        <v>108658895589345</v>
      </c>
      <c r="E639" s="5">
        <f>[1]!nefin_factors__1[[#This Row],[SMB]]/D638-1</f>
        <v>-0.51577824589254129</v>
      </c>
      <c r="F639" s="5">
        <v>150327998077025</v>
      </c>
      <c r="G639" s="5">
        <f>[1]!nefin_factors__1[[#This Row],[HML]]/F638-1</f>
        <v>-0.49676389379972663</v>
      </c>
      <c r="H639" s="5">
        <v>524613607551627</v>
      </c>
      <c r="I639" s="6">
        <f>[1]!nefin_factors__1[[#This Row],[Risk_Free]]/H638-1</f>
        <v>0</v>
      </c>
      <c r="J639">
        <v>53143</v>
      </c>
      <c r="K639">
        <v>54021</v>
      </c>
      <c r="L639">
        <v>53143</v>
      </c>
      <c r="M639">
        <v>53960</v>
      </c>
      <c r="N639">
        <v>3206300</v>
      </c>
      <c r="O639">
        <v>53960</v>
      </c>
      <c r="P639">
        <v>1.54118289079994E-2</v>
      </c>
      <c r="Q639">
        <v>1.5294272968914901E-2</v>
      </c>
      <c r="R639" s="8">
        <v>19.7805500030518</v>
      </c>
      <c r="S639" s="8">
        <v>7.1338527322084601E-3</v>
      </c>
      <c r="T639" s="9">
        <v>7.1085271793167697E-3</v>
      </c>
      <c r="U639" s="12">
        <v>5.2531000000000001E-2</v>
      </c>
      <c r="V639" s="16">
        <v>3.3532999999999999</v>
      </c>
      <c r="W639" s="17">
        <f t="shared" si="9"/>
        <v>-1.0329663843225312E-2</v>
      </c>
    </row>
    <row r="640" spans="1:23" x14ac:dyDescent="0.2">
      <c r="A640" s="14">
        <v>42472</v>
      </c>
      <c r="B640" s="3">
        <v>320348398757449</v>
      </c>
      <c r="C640" s="3">
        <f>[1]!nefin_factors__1[[#This Row],[Rm_minus_Rf]]/B639-1</f>
        <v>-2.1032788056091429</v>
      </c>
      <c r="D640" s="3">
        <v>508711745477163</v>
      </c>
      <c r="E640" s="3">
        <f>[1]!nefin_factors__1[[#This Row],[SMB]]/D639-1</f>
        <v>3.6817312353306013</v>
      </c>
      <c r="F640" s="3">
        <v>180730537845981</v>
      </c>
      <c r="G640" s="3">
        <f>[1]!nefin_factors__1[[#This Row],[HML]]/F639-1</f>
        <v>0.20224136659744762</v>
      </c>
      <c r="H640" s="3">
        <v>524265714006766</v>
      </c>
      <c r="I640" s="4">
        <f>[1]!nefin_factors__1[[#This Row],[Risk_Free]]/H639-1</f>
        <v>-6.6314243445686483E-4</v>
      </c>
      <c r="J640">
        <v>53961</v>
      </c>
      <c r="K640">
        <v>54746</v>
      </c>
      <c r="L640">
        <v>53961</v>
      </c>
      <c r="M640">
        <v>54256</v>
      </c>
      <c r="N640">
        <v>3878700</v>
      </c>
      <c r="O640">
        <v>54256</v>
      </c>
      <c r="P640">
        <v>5.4855448480355404E-3</v>
      </c>
      <c r="Q640">
        <v>5.4705540437276204E-3</v>
      </c>
      <c r="R640" s="8">
        <v>19.862968444824201</v>
      </c>
      <c r="S640" s="8">
        <v>4.1665536155934798E-3</v>
      </c>
      <c r="T640" s="9">
        <v>4.1578975666757599E-3</v>
      </c>
      <c r="U640" s="12">
        <v>5.2531000000000001E-2</v>
      </c>
      <c r="V640" s="16">
        <v>3.3772000000000002</v>
      </c>
      <c r="W640" s="17">
        <f t="shared" si="9"/>
        <v>7.1273074285034266E-3</v>
      </c>
    </row>
    <row r="641" spans="1:23" x14ac:dyDescent="0.2">
      <c r="A641" s="15">
        <v>42473</v>
      </c>
      <c r="B641" s="5">
        <v>202679960688823</v>
      </c>
      <c r="C641" s="5">
        <f>[1]!nefin_factors__1[[#This Row],[Rm_minus_Rf]]/B640-1</f>
        <v>-0.36731395731969418</v>
      </c>
      <c r="D641" s="5">
        <v>21568401081233</v>
      </c>
      <c r="E641" s="5">
        <f>[1]!nefin_factors__1[[#This Row],[SMB]]/D640-1</f>
        <v>-0.95760192039402947</v>
      </c>
      <c r="F641" s="5">
        <v>223158212824027</v>
      </c>
      <c r="G641" s="5">
        <f>[1]!nefin_factors__1[[#This Row],[HML]]/F640-1</f>
        <v>0.23475653580029165</v>
      </c>
      <c r="H641" s="5">
        <v>524265714006766</v>
      </c>
      <c r="I641" s="6">
        <f>[1]!nefin_factors__1[[#This Row],[Risk_Free]]/H640-1</f>
        <v>0</v>
      </c>
      <c r="J641">
        <v>54256</v>
      </c>
      <c r="K641">
        <v>54647</v>
      </c>
      <c r="L641">
        <v>53733</v>
      </c>
      <c r="M641">
        <v>54598</v>
      </c>
      <c r="N641">
        <v>4037100</v>
      </c>
      <c r="O641">
        <v>54598</v>
      </c>
      <c r="P641">
        <v>6.3034503096430798E-3</v>
      </c>
      <c r="Q641">
        <v>6.28366666005025E-3</v>
      </c>
      <c r="R641" s="8">
        <v>20.176160812377901</v>
      </c>
      <c r="S641" s="8">
        <v>1.5767627573512102E-2</v>
      </c>
      <c r="T641" s="9">
        <v>1.5644609979282399E-2</v>
      </c>
      <c r="U641" s="12">
        <v>5.2531000000000001E-2</v>
      </c>
      <c r="V641" s="16">
        <v>3.3934000000000002</v>
      </c>
      <c r="W641" s="17">
        <f t="shared" si="9"/>
        <v>4.796873149354397E-3</v>
      </c>
    </row>
    <row r="642" spans="1:23" x14ac:dyDescent="0.2">
      <c r="A642" s="14">
        <v>42474</v>
      </c>
      <c r="B642" s="3">
        <v>-108339841857107</v>
      </c>
      <c r="C642" s="3">
        <f>[1]!nefin_factors__1[[#This Row],[Rm_minus_Rf]]/B641-1</f>
        <v>-1.5345365249179344</v>
      </c>
      <c r="D642" s="3">
        <v>-139762651668573</v>
      </c>
      <c r="E642" s="3">
        <f>[1]!nefin_factors__1[[#This Row],[SMB]]/D641-1</f>
        <v>-7.4799727685972348</v>
      </c>
      <c r="F642" s="3">
        <v>-218345665680725</v>
      </c>
      <c r="G642" s="3">
        <f>[1]!nefin_factors__1[[#This Row],[HML]]/F641-1</f>
        <v>-1.9784343713708759</v>
      </c>
      <c r="H642" s="3">
        <v>524265714006766</v>
      </c>
      <c r="I642" s="4">
        <f>[1]!nefin_factors__1[[#This Row],[Risk_Free]]/H641-1</f>
        <v>0</v>
      </c>
      <c r="J642">
        <v>54601</v>
      </c>
      <c r="K642">
        <v>55634</v>
      </c>
      <c r="L642">
        <v>54601</v>
      </c>
      <c r="M642">
        <v>55481</v>
      </c>
      <c r="N642">
        <v>4408500</v>
      </c>
      <c r="O642">
        <v>55481</v>
      </c>
      <c r="P642">
        <v>1.6172753580717202E-2</v>
      </c>
      <c r="Q642">
        <v>1.6043367754196201E-2</v>
      </c>
      <c r="R642" s="8">
        <v>21.0168342590332</v>
      </c>
      <c r="S642" s="8">
        <v>4.16667975412333E-2</v>
      </c>
      <c r="T642" s="9">
        <v>4.08221201598312E-2</v>
      </c>
      <c r="U642" s="12">
        <v>5.2531000000000001E-2</v>
      </c>
      <c r="V642" s="16">
        <v>3.3267000000000002</v>
      </c>
      <c r="W642" s="17">
        <f t="shared" si="9"/>
        <v>-1.9655802440030623E-2</v>
      </c>
    </row>
    <row r="643" spans="1:23" x14ac:dyDescent="0.2">
      <c r="A643" s="15">
        <v>42475</v>
      </c>
      <c r="B643" s="5">
        <v>163687769887889</v>
      </c>
      <c r="C643" s="5">
        <f>[1]!nefin_factors__1[[#This Row],[Rm_minus_Rf]]/B642-1</f>
        <v>-2.5108732584618521</v>
      </c>
      <c r="D643" s="5">
        <v>-948160549643329</v>
      </c>
      <c r="E643" s="5">
        <f>[1]!nefin_factors__1[[#This Row],[SMB]]/D642-1</f>
        <v>5.7840767066423098</v>
      </c>
      <c r="F643" s="5">
        <v>-151725567952491</v>
      </c>
      <c r="G643" s="5">
        <f>[1]!nefin_factors__1[[#This Row],[HML]]/F642-1</f>
        <v>-0.30511298459044722</v>
      </c>
      <c r="H643" s="5">
        <v>523917790096862</v>
      </c>
      <c r="I643" s="6">
        <f>[1]!nefin_factors__1[[#This Row],[Risk_Free]]/H642-1</f>
        <v>-6.6364040334609964E-4</v>
      </c>
      <c r="J643">
        <v>55482</v>
      </c>
      <c r="K643">
        <v>55649</v>
      </c>
      <c r="L643">
        <v>55233</v>
      </c>
      <c r="M643">
        <v>55578</v>
      </c>
      <c r="N643">
        <v>3684500</v>
      </c>
      <c r="O643">
        <v>55578</v>
      </c>
      <c r="P643">
        <v>1.74834628070863E-3</v>
      </c>
      <c r="Q643">
        <v>1.7468197024159901E-3</v>
      </c>
      <c r="R643" s="8">
        <v>20.687158584594702</v>
      </c>
      <c r="S643" s="8">
        <v>-1.5686319961765401E-2</v>
      </c>
      <c r="T643" s="9">
        <v>-1.5810652202938799E-2</v>
      </c>
      <c r="U643" s="12">
        <v>5.2531000000000001E-2</v>
      </c>
      <c r="V643" s="16">
        <v>3.2435</v>
      </c>
      <c r="W643" s="17">
        <f t="shared" si="9"/>
        <v>-2.5009769441188046E-2</v>
      </c>
    </row>
    <row r="644" spans="1:23" x14ac:dyDescent="0.2">
      <c r="A644" s="14">
        <v>42478</v>
      </c>
      <c r="B644" s="3">
        <v>-721901623263647</v>
      </c>
      <c r="C644" s="3">
        <f>[1]!nefin_factors__1[[#This Row],[Rm_minus_Rf]]/B643-1</f>
        <v>-5.4102355585764466</v>
      </c>
      <c r="D644" s="3">
        <v>851012265332223</v>
      </c>
      <c r="E644" s="3">
        <f>[1]!nefin_factors__1[[#This Row],[SMB]]/D643-1</f>
        <v>-1.897540259033504</v>
      </c>
      <c r="F644" s="3">
        <v>-264335498421538</v>
      </c>
      <c r="G644" s="3">
        <f>[1]!nefin_factors__1[[#This Row],[HML]]/F643-1</f>
        <v>0.74219481916395225</v>
      </c>
      <c r="H644" s="3">
        <v>52356983581614</v>
      </c>
      <c r="I644" s="4">
        <f>[1]!nefin_factors__1[[#This Row],[Risk_Free]]/H643-1</f>
        <v>-0.90006641390830755</v>
      </c>
      <c r="J644">
        <v>55573</v>
      </c>
      <c r="K644">
        <v>56509</v>
      </c>
      <c r="L644">
        <v>55355</v>
      </c>
      <c r="M644">
        <v>56484</v>
      </c>
      <c r="N644">
        <v>3984500</v>
      </c>
      <c r="O644">
        <v>56484</v>
      </c>
      <c r="P644">
        <v>1.6301414228651698E-2</v>
      </c>
      <c r="Q644">
        <v>1.61699727070602E-2</v>
      </c>
      <c r="R644" s="8">
        <v>21.288816452026399</v>
      </c>
      <c r="S644" s="8">
        <v>2.9083566670518299E-2</v>
      </c>
      <c r="T644" s="9">
        <v>2.8668665090409301E-2</v>
      </c>
      <c r="U644" s="12">
        <v>5.2531000000000001E-2</v>
      </c>
      <c r="V644" s="16">
        <v>3.2098</v>
      </c>
      <c r="W644" s="17">
        <f t="shared" ref="W644:W707" si="10">V644/V643-1</f>
        <v>-1.0390010790812365E-2</v>
      </c>
    </row>
    <row r="645" spans="1:23" x14ac:dyDescent="0.2">
      <c r="A645" s="15">
        <v>42479</v>
      </c>
      <c r="B645" s="5">
        <v>126634789992025</v>
      </c>
      <c r="C645" s="5">
        <f>[1]!nefin_factors__1[[#This Row],[Rm_minus_Rf]]/B644-1</f>
        <v>-1.1754183477514863</v>
      </c>
      <c r="D645" s="5">
        <v>94803308666783</v>
      </c>
      <c r="E645" s="5">
        <f>[1]!nefin_factors__1[[#This Row],[SMB]]/D644-1</f>
        <v>-0.88859936274858131</v>
      </c>
      <c r="F645" s="5">
        <v>117906384981298</v>
      </c>
      <c r="G645" s="5">
        <f>[1]!nefin_factors__1[[#This Row],[HML]]/F644-1</f>
        <v>-1.4460482443159099</v>
      </c>
      <c r="H645" s="5">
        <v>52356983581614</v>
      </c>
      <c r="I645" s="6">
        <f>[1]!nefin_factors__1[[#This Row],[Risk_Free]]/H644-1</f>
        <v>0</v>
      </c>
      <c r="J645">
        <v>56487</v>
      </c>
      <c r="K645">
        <v>56698</v>
      </c>
      <c r="L645">
        <v>56246</v>
      </c>
      <c r="M645">
        <v>56698</v>
      </c>
      <c r="N645">
        <v>3794000</v>
      </c>
      <c r="O645">
        <v>56698</v>
      </c>
      <c r="P645">
        <v>3.7886835209970399E-3</v>
      </c>
      <c r="Q645">
        <v>3.78152453597419E-3</v>
      </c>
      <c r="R645" s="8">
        <v>21.272333145141602</v>
      </c>
      <c r="S645" s="8">
        <v>-7.7425394915564495E-4</v>
      </c>
      <c r="T645" s="9">
        <v>-7.7455383854822596E-4</v>
      </c>
      <c r="U645" s="12">
        <v>5.2531000000000001E-2</v>
      </c>
      <c r="V645" s="16">
        <v>3.2298</v>
      </c>
      <c r="W645" s="17">
        <f t="shared" si="10"/>
        <v>6.230917814193937E-3</v>
      </c>
    </row>
    <row r="646" spans="1:23" x14ac:dyDescent="0.2">
      <c r="A646" s="14">
        <v>42480</v>
      </c>
      <c r="B646" s="3">
        <v>-362568638250809</v>
      </c>
      <c r="C646" s="3">
        <f>[1]!nefin_factors__1[[#This Row],[Rm_minus_Rf]]/B645-1</f>
        <v>-3.8631045092240628</v>
      </c>
      <c r="D646" s="3">
        <v>-219727408219437</v>
      </c>
      <c r="E646" s="3">
        <f>[1]!nefin_factors__1[[#This Row],[SMB]]/D645-1</f>
        <v>-3.3177187727881976</v>
      </c>
      <c r="F646" s="3">
        <v>343923254589628</v>
      </c>
      <c r="G646" s="3">
        <f>[1]!nefin_factors__1[[#This Row],[HML]]/F645-1</f>
        <v>1.9169179823822109</v>
      </c>
      <c r="H646" s="3">
        <v>523917790096862</v>
      </c>
      <c r="I646" s="4">
        <f>[1]!nefin_factors__1[[#This Row],[Risk_Free]]/H645-1</f>
        <v>9.0066458045693096</v>
      </c>
      <c r="J646">
        <v>56699</v>
      </c>
      <c r="K646">
        <v>56927</v>
      </c>
      <c r="L646">
        <v>56221</v>
      </c>
      <c r="M646">
        <v>56578</v>
      </c>
      <c r="N646">
        <v>3865800</v>
      </c>
      <c r="O646">
        <v>56578</v>
      </c>
      <c r="P646">
        <v>-2.1164767716674898E-3</v>
      </c>
      <c r="Q646">
        <v>-2.1187196738890902E-3</v>
      </c>
      <c r="R646" s="8">
        <v>20.753093719482401</v>
      </c>
      <c r="S646" s="8">
        <v>-2.4408967935218701E-2</v>
      </c>
      <c r="T646" s="9">
        <v>-2.47118049081421E-2</v>
      </c>
      <c r="U646" s="12">
        <v>5.2531000000000001E-2</v>
      </c>
      <c r="V646" s="16">
        <v>3.2480000000000002</v>
      </c>
      <c r="W646" s="17">
        <f t="shared" si="10"/>
        <v>5.6350238404856423E-3</v>
      </c>
    </row>
    <row r="647" spans="1:23" x14ac:dyDescent="0.2">
      <c r="A647" s="15">
        <v>42482</v>
      </c>
      <c r="B647" s="5">
        <v>-906406253642474</v>
      </c>
      <c r="C647" s="5">
        <f>[1]!nefin_factors__1[[#This Row],[Rm_minus_Rf]]/B646-1</f>
        <v>1.4999576852961622</v>
      </c>
      <c r="D647" s="5">
        <v>-399489145904081</v>
      </c>
      <c r="E647" s="5">
        <f>[1]!nefin_factors__1[[#This Row],[SMB]]/D646-1</f>
        <v>0.8181124928444059</v>
      </c>
      <c r="F647" s="5">
        <v>147456262424456</v>
      </c>
      <c r="G647" s="5">
        <f>[1]!nefin_factors__1[[#This Row],[HML]]/F646-1</f>
        <v>-0.571252421996291</v>
      </c>
      <c r="H647" s="5">
        <v>524265714006766</v>
      </c>
      <c r="I647" s="6">
        <f>[1]!nefin_factors__1[[#This Row],[Risk_Free]]/H646-1</f>
        <v>6.6408111440474649E-4</v>
      </c>
      <c r="J647">
        <v>56578</v>
      </c>
      <c r="K647">
        <v>56906</v>
      </c>
      <c r="L647">
        <v>56233</v>
      </c>
      <c r="M647">
        <v>56641</v>
      </c>
      <c r="N647">
        <v>3486900</v>
      </c>
      <c r="O647">
        <v>56641</v>
      </c>
      <c r="P647">
        <v>1.11350701686175E-3</v>
      </c>
      <c r="Q647">
        <v>1.1128875277511101E-3</v>
      </c>
      <c r="R647" s="8">
        <v>20.917932510376001</v>
      </c>
      <c r="S647" s="8">
        <v>7.9427864394914192E-3</v>
      </c>
      <c r="T647" s="9">
        <v>7.9114085536648397E-3</v>
      </c>
      <c r="U647" s="12">
        <v>5.2531000000000001E-2</v>
      </c>
      <c r="V647" s="16">
        <v>3.2904</v>
      </c>
      <c r="W647" s="17">
        <f t="shared" si="10"/>
        <v>1.305418719211815E-2</v>
      </c>
    </row>
    <row r="648" spans="1:23" x14ac:dyDescent="0.2">
      <c r="A648" s="14">
        <v>42485</v>
      </c>
      <c r="B648" s="3">
        <v>-195434139868368</v>
      </c>
      <c r="C648" s="3">
        <f>[1]!nefin_factors__1[[#This Row],[Rm_minus_Rf]]/B647-1</f>
        <v>-0.78438571106168065</v>
      </c>
      <c r="D648" s="3">
        <v>32368851316218</v>
      </c>
      <c r="E648" s="3">
        <f>[1]!nefin_factors__1[[#This Row],[SMB]]/D647-1</f>
        <v>-1.0810256089510624</v>
      </c>
      <c r="F648" s="3">
        <v>-51585673792969</v>
      </c>
      <c r="G648" s="3">
        <f>[1]!nefin_factors__1[[#This Row],[HML]]/F647-1</f>
        <v>-1.3498371174259018</v>
      </c>
      <c r="H648" s="3">
        <v>524265714006766</v>
      </c>
      <c r="I648" s="4">
        <f>[1]!nefin_factors__1[[#This Row],[Risk_Free]]/H647-1</f>
        <v>0</v>
      </c>
      <c r="J648">
        <v>56641</v>
      </c>
      <c r="K648">
        <v>57171</v>
      </c>
      <c r="L648">
        <v>56518</v>
      </c>
      <c r="M648">
        <v>57002</v>
      </c>
      <c r="N648">
        <v>2912000</v>
      </c>
      <c r="O648">
        <v>57002</v>
      </c>
      <c r="P648">
        <v>6.3734750445789698E-3</v>
      </c>
      <c r="Q648">
        <v>6.3532503414469301E-3</v>
      </c>
      <c r="R648" s="8">
        <v>21.165187835693398</v>
      </c>
      <c r="S648" s="8">
        <v>1.1820198916385499E-2</v>
      </c>
      <c r="T648" s="9">
        <v>1.17508860253025E-2</v>
      </c>
      <c r="U648" s="12">
        <v>5.2531000000000001E-2</v>
      </c>
      <c r="V648" s="16">
        <v>3.3241999999999998</v>
      </c>
      <c r="W648" s="17">
        <f t="shared" si="10"/>
        <v>1.0272307318259122E-2</v>
      </c>
    </row>
    <row r="649" spans="1:23" x14ac:dyDescent="0.2">
      <c r="A649" s="15">
        <v>42486</v>
      </c>
      <c r="B649" s="5">
        <v>209855091046583</v>
      </c>
      <c r="C649" s="5">
        <f>[1]!nefin_factors__1[[#This Row],[Rm_minus_Rf]]/B648-1</f>
        <v>-2.0737893143333506</v>
      </c>
      <c r="D649" s="5">
        <v>281955985432979</v>
      </c>
      <c r="E649" s="5">
        <f>[1]!nefin_factors__1[[#This Row],[SMB]]/D648-1</f>
        <v>7.7107195333715328</v>
      </c>
      <c r="F649" s="5">
        <v>242759770406728</v>
      </c>
      <c r="G649" s="5">
        <f>[1]!nefin_factors__1[[#This Row],[HML]]/F648-1</f>
        <v>-5.7059532726277107</v>
      </c>
      <c r="H649" s="5">
        <v>524265714006766</v>
      </c>
      <c r="I649" s="6">
        <f>[1]!nefin_factors__1[[#This Row],[Risk_Free]]/H648-1</f>
        <v>0</v>
      </c>
      <c r="J649">
        <v>57006</v>
      </c>
      <c r="K649">
        <v>57205</v>
      </c>
      <c r="L649">
        <v>56398</v>
      </c>
      <c r="M649">
        <v>56873</v>
      </c>
      <c r="N649">
        <v>3126900</v>
      </c>
      <c r="O649">
        <v>56873</v>
      </c>
      <c r="P649">
        <v>-2.2630784884740702E-3</v>
      </c>
      <c r="Q649">
        <v>-2.2656431206364101E-3</v>
      </c>
      <c r="R649" s="8">
        <v>20.736610412597699</v>
      </c>
      <c r="S649" s="8">
        <v>-2.0249122367734799E-2</v>
      </c>
      <c r="T649" s="9">
        <v>-2.0456946131156499E-2</v>
      </c>
      <c r="U649" s="12">
        <v>5.2531000000000001E-2</v>
      </c>
      <c r="V649" s="16">
        <v>3.3388</v>
      </c>
      <c r="W649" s="17">
        <f t="shared" si="10"/>
        <v>4.3920341736358726E-3</v>
      </c>
    </row>
    <row r="650" spans="1:23" x14ac:dyDescent="0.2">
      <c r="A650" s="14">
        <v>42487</v>
      </c>
      <c r="B650" s="3">
        <v>229309643661737</v>
      </c>
      <c r="C650" s="3">
        <f>[1]!nefin_factors__1[[#This Row],[Rm_minus_Rf]]/B649-1</f>
        <v>9.2704696932206065E-2</v>
      </c>
      <c r="D650" s="3">
        <v>17057135026129</v>
      </c>
      <c r="E650" s="3">
        <f>[1]!nefin_factors__1[[#This Row],[SMB]]/D649-1</f>
        <v>-0.93950426340502891</v>
      </c>
      <c r="F650" s="3">
        <v>638862262005182</v>
      </c>
      <c r="G650" s="3">
        <f>[1]!nefin_factors__1[[#This Row],[HML]]/F649-1</f>
        <v>1.6316644678597707</v>
      </c>
      <c r="H650" s="3">
        <v>524265714006766</v>
      </c>
      <c r="I650" s="4">
        <f>[1]!nefin_factors__1[[#This Row],[Risk_Free]]/H649-1</f>
        <v>0</v>
      </c>
      <c r="J650">
        <v>56876</v>
      </c>
      <c r="K650">
        <v>57309</v>
      </c>
      <c r="L650">
        <v>56708</v>
      </c>
      <c r="M650">
        <v>56783</v>
      </c>
      <c r="N650">
        <v>3351800</v>
      </c>
      <c r="O650">
        <v>56783</v>
      </c>
      <c r="P650">
        <v>-1.5824732298278499E-3</v>
      </c>
      <c r="Q650">
        <v>-1.58372666311369E-3</v>
      </c>
      <c r="R650" s="8">
        <v>21.346509933471701</v>
      </c>
      <c r="S650" s="8">
        <v>2.94116916741398E-2</v>
      </c>
      <c r="T650" s="9">
        <v>2.8987465928128502E-2</v>
      </c>
      <c r="U650" s="12">
        <v>5.2531000000000001E-2</v>
      </c>
      <c r="V650" s="16">
        <v>3.2968000000000002</v>
      </c>
      <c r="W650" s="17">
        <f t="shared" si="10"/>
        <v>-1.2579369833473075E-2</v>
      </c>
    </row>
    <row r="651" spans="1:23" x14ac:dyDescent="0.2">
      <c r="A651" s="15">
        <v>42488</v>
      </c>
      <c r="B651" s="5">
        <v>-503123837388143</v>
      </c>
      <c r="C651" s="5">
        <f>[1]!nefin_factors__1[[#This Row],[Rm_minus_Rf]]/B650-1</f>
        <v>-3.1940805862064803</v>
      </c>
      <c r="D651" s="5">
        <v>-108967757765461</v>
      </c>
      <c r="E651" s="5">
        <f>[1]!nefin_factors__1[[#This Row],[SMB]]/D650-1</f>
        <v>-7.3883974418059397</v>
      </c>
      <c r="F651" s="5">
        <v>-51758041216075</v>
      </c>
      <c r="G651" s="5">
        <f>[1]!nefin_factors__1[[#This Row],[HML]]/F650-1</f>
        <v>-1.0810159627423026</v>
      </c>
      <c r="H651" s="5">
        <v>524613607551627</v>
      </c>
      <c r="I651" s="6">
        <f>[1]!nefin_factors__1[[#This Row],[Risk_Free]]/H650-1</f>
        <v>6.6358248416098498E-4</v>
      </c>
      <c r="J651">
        <v>56788</v>
      </c>
      <c r="K651">
        <v>57380</v>
      </c>
      <c r="L651">
        <v>56788</v>
      </c>
      <c r="M651">
        <v>56853</v>
      </c>
      <c r="N651">
        <v>3795700</v>
      </c>
      <c r="O651">
        <v>56853</v>
      </c>
      <c r="P651">
        <v>1.23276332705213E-3</v>
      </c>
      <c r="Q651">
        <v>1.2320040982441E-3</v>
      </c>
      <c r="R651" s="8">
        <v>20.604738235473601</v>
      </c>
      <c r="S651" s="8">
        <v>-3.4749206686139303E-2</v>
      </c>
      <c r="T651" s="9">
        <v>-3.5367321964147498E-2</v>
      </c>
      <c r="U651" s="12">
        <v>5.2531000000000001E-2</v>
      </c>
      <c r="V651" s="16">
        <v>3.3031000000000001</v>
      </c>
      <c r="W651" s="17">
        <f t="shared" si="10"/>
        <v>1.9109439456441724E-3</v>
      </c>
    </row>
    <row r="652" spans="1:23" x14ac:dyDescent="0.2">
      <c r="A652" s="14">
        <v>42489</v>
      </c>
      <c r="B652" s="3">
        <v>-547446122144948</v>
      </c>
      <c r="C652" s="3">
        <f>[1]!nefin_factors__1[[#This Row],[Rm_minus_Rf]]/B651-1</f>
        <v>8.8094185691726334E-2</v>
      </c>
      <c r="D652" s="3">
        <v>657957659023441</v>
      </c>
      <c r="E652" s="3">
        <f>[1]!nefin_factors__1[[#This Row],[SMB]]/D651-1</f>
        <v>-7.038094868755671</v>
      </c>
      <c r="F652" s="3">
        <v>-131794228587332</v>
      </c>
      <c r="G652" s="3">
        <f>[1]!nefin_factors__1[[#This Row],[HML]]/F651-1</f>
        <v>1.5463527114005116</v>
      </c>
      <c r="H652" s="3">
        <v>524613607551627</v>
      </c>
      <c r="I652" s="4">
        <f>[1]!nefin_factors__1[[#This Row],[Risk_Free]]/H651-1</f>
        <v>0</v>
      </c>
      <c r="J652">
        <v>56853</v>
      </c>
      <c r="K652">
        <v>56853</v>
      </c>
      <c r="L652">
        <v>55993</v>
      </c>
      <c r="M652">
        <v>56667</v>
      </c>
      <c r="N652">
        <v>3912600</v>
      </c>
      <c r="O652">
        <v>56667</v>
      </c>
      <c r="P652">
        <v>-3.27159516648201E-3</v>
      </c>
      <c r="Q652">
        <v>-3.2769585349904698E-3</v>
      </c>
      <c r="R652" s="8">
        <v>17.645898818969702</v>
      </c>
      <c r="S652" s="8">
        <v>-0.14359984544821899</v>
      </c>
      <c r="T652" s="9">
        <v>-0.15501754179981</v>
      </c>
      <c r="U652" s="12">
        <v>5.2531000000000001E-2</v>
      </c>
      <c r="V652" s="16">
        <v>3.2749999999999999</v>
      </c>
      <c r="W652" s="17">
        <f t="shared" si="10"/>
        <v>-8.5071599406618681E-3</v>
      </c>
    </row>
    <row r="653" spans="1:23" x14ac:dyDescent="0.2">
      <c r="A653" s="15">
        <v>42492</v>
      </c>
      <c r="B653" s="5">
        <v>-535100791087408</v>
      </c>
      <c r="C653" s="5">
        <f>[1]!nefin_factors__1[[#This Row],[Rm_minus_Rf]]/B652-1</f>
        <v>-2.2550769031242313E-2</v>
      </c>
      <c r="D653" s="5">
        <v>332261274370417</v>
      </c>
      <c r="E653" s="5">
        <f>[1]!nefin_factors__1[[#This Row],[SMB]]/D652-1</f>
        <v>-0.49501116095590647</v>
      </c>
      <c r="F653" s="5">
        <v>-452350421763335</v>
      </c>
      <c r="G653" s="5">
        <f>[1]!nefin_factors__1[[#This Row],[HML]]/F652-1</f>
        <v>2.4322475772418968</v>
      </c>
      <c r="H653" s="5">
        <v>524265714006766</v>
      </c>
      <c r="I653" s="6">
        <f>[1]!nefin_factors__1[[#This Row],[Risk_Free]]/H652-1</f>
        <v>-6.6314243445686483E-4</v>
      </c>
      <c r="J653">
        <v>56664</v>
      </c>
      <c r="K653">
        <v>57474</v>
      </c>
      <c r="L653">
        <v>56340</v>
      </c>
      <c r="M653">
        <v>57308</v>
      </c>
      <c r="N653">
        <v>4416500</v>
      </c>
      <c r="O653">
        <v>57308</v>
      </c>
      <c r="P653">
        <v>1.13116981664814E-2</v>
      </c>
      <c r="Q653">
        <v>1.1248199313333601E-2</v>
      </c>
      <c r="R653" s="8">
        <v>17.802494049072301</v>
      </c>
      <c r="S653" s="8">
        <v>8.8742969174635498E-3</v>
      </c>
      <c r="T653" s="9">
        <v>8.8351517645860102E-3</v>
      </c>
      <c r="U653" s="12">
        <v>5.2531000000000001E-2</v>
      </c>
      <c r="V653" s="16">
        <v>3.2896000000000001</v>
      </c>
      <c r="W653" s="17">
        <f t="shared" si="10"/>
        <v>4.4580152671755968E-3</v>
      </c>
    </row>
    <row r="654" spans="1:23" x14ac:dyDescent="0.2">
      <c r="A654" s="14">
        <v>42493</v>
      </c>
      <c r="B654" s="3">
        <v>-199094678945256</v>
      </c>
      <c r="C654" s="3">
        <f>[1]!nefin_factors__1[[#This Row],[Rm_minus_Rf]]/B653-1</f>
        <v>-0.62793050905294934</v>
      </c>
      <c r="D654" s="3">
        <v>-859327378504008</v>
      </c>
      <c r="E654" s="3">
        <f>[1]!nefin_factors__1[[#This Row],[SMB]]/D653-1</f>
        <v>-3.5863001342311067</v>
      </c>
      <c r="F654" s="3">
        <v>-222047027280846</v>
      </c>
      <c r="G654" s="3">
        <f>[1]!nefin_factors__1[[#This Row],[HML]]/F653-1</f>
        <v>-0.50912607439323077</v>
      </c>
      <c r="H654" s="3">
        <v>524613607551627</v>
      </c>
      <c r="I654" s="4">
        <f>[1]!nefin_factors__1[[#This Row],[Risk_Free]]/H653-1</f>
        <v>6.6358248416098498E-4</v>
      </c>
      <c r="J654">
        <v>57309</v>
      </c>
      <c r="K654">
        <v>57729</v>
      </c>
      <c r="L654">
        <v>56676</v>
      </c>
      <c r="M654">
        <v>56756</v>
      </c>
      <c r="N654">
        <v>4088000</v>
      </c>
      <c r="O654">
        <v>56756</v>
      </c>
      <c r="P654">
        <v>-9.6321630487889998E-3</v>
      </c>
      <c r="Q654">
        <v>-9.67885238605894E-3</v>
      </c>
      <c r="R654" s="8">
        <v>18.008541107177699</v>
      </c>
      <c r="S654" s="8">
        <v>1.1574094932207599E-2</v>
      </c>
      <c r="T654" s="9">
        <v>1.15076274709618E-2</v>
      </c>
      <c r="U654" s="12">
        <v>5.2531000000000001E-2</v>
      </c>
      <c r="V654" s="16">
        <v>3.2311000000000001</v>
      </c>
      <c r="W654" s="17">
        <f t="shared" si="10"/>
        <v>-1.7783317120622533E-2</v>
      </c>
    </row>
    <row r="655" spans="1:23" x14ac:dyDescent="0.2">
      <c r="A655" s="15">
        <v>42494</v>
      </c>
      <c r="B655" s="5">
        <v>478915298712313</v>
      </c>
      <c r="C655" s="5">
        <f>[1]!nefin_factors__1[[#This Row],[Rm_minus_Rf]]/B654-1</f>
        <v>-3.4054650844988066</v>
      </c>
      <c r="D655" s="5">
        <v>115511771489949</v>
      </c>
      <c r="E655" s="5">
        <f>[1]!nefin_factors__1[[#This Row],[SMB]]/D654-1</f>
        <v>-1.1344211465612115</v>
      </c>
      <c r="F655" s="5">
        <v>818742994060874</v>
      </c>
      <c r="G655" s="5">
        <f>[1]!nefin_factors__1[[#This Row],[HML]]/F654-1</f>
        <v>-4.6872504175672862</v>
      </c>
      <c r="H655" s="5">
        <v>524265714006766</v>
      </c>
      <c r="I655" s="6">
        <f>[1]!nefin_factors__1[[#This Row],[Risk_Free]]/H654-1</f>
        <v>-6.6314243445686483E-4</v>
      </c>
      <c r="J655">
        <v>56756</v>
      </c>
      <c r="K655">
        <v>56974</v>
      </c>
      <c r="L655">
        <v>55696</v>
      </c>
      <c r="M655">
        <v>56162</v>
      </c>
      <c r="N655">
        <v>3857700</v>
      </c>
      <c r="O655">
        <v>56162</v>
      </c>
      <c r="P655">
        <v>-1.0465853830432E-2</v>
      </c>
      <c r="Q655">
        <v>-1.05210060260099E-2</v>
      </c>
      <c r="R655" s="8">
        <v>17.777769088745099</v>
      </c>
      <c r="S655" s="8">
        <v>-1.28146505432216E-2</v>
      </c>
      <c r="T655" s="9">
        <v>-1.28974664427777E-2</v>
      </c>
      <c r="U655" s="12">
        <v>5.2531000000000001E-2</v>
      </c>
      <c r="V655" s="16">
        <v>3.2656000000000001</v>
      </c>
      <c r="W655" s="17">
        <f t="shared" si="10"/>
        <v>1.0677478258178219E-2</v>
      </c>
    </row>
    <row r="656" spans="1:23" x14ac:dyDescent="0.2">
      <c r="A656" s="14">
        <v>42495</v>
      </c>
      <c r="B656" s="3">
        <v>-160266013439264</v>
      </c>
      <c r="C656" s="3">
        <f>[1]!nefin_factors__1[[#This Row],[Rm_minus_Rf]]/B655-1</f>
        <v>-1.3346437540629426</v>
      </c>
      <c r="D656" s="3">
        <v>-175978295067085</v>
      </c>
      <c r="E656" s="3">
        <f>[1]!nefin_factors__1[[#This Row],[SMB]]/D655-1</f>
        <v>-2.5234663341856667</v>
      </c>
      <c r="F656" s="3">
        <v>-308947679445721</v>
      </c>
      <c r="G656" s="3">
        <f>[1]!nefin_factors__1[[#This Row],[HML]]/F655-1</f>
        <v>-1.3773439060691988</v>
      </c>
      <c r="H656" s="3">
        <v>524265714006766</v>
      </c>
      <c r="I656" s="4">
        <f>[1]!nefin_factors__1[[#This Row],[Risk_Free]]/H655-1</f>
        <v>0</v>
      </c>
      <c r="J656">
        <v>56157</v>
      </c>
      <c r="K656">
        <v>57101</v>
      </c>
      <c r="L656">
        <v>55788</v>
      </c>
      <c r="M656">
        <v>57077</v>
      </c>
      <c r="N656">
        <v>4058600</v>
      </c>
      <c r="O656">
        <v>57077</v>
      </c>
      <c r="P656">
        <v>1.6292154837790802E-2</v>
      </c>
      <c r="Q656">
        <v>1.61608617947736E-2</v>
      </c>
      <c r="R656" s="8">
        <v>17.843704223632798</v>
      </c>
      <c r="S656" s="8">
        <v>3.7087768555747998E-3</v>
      </c>
      <c r="T656" s="9">
        <v>3.70191630030604E-3</v>
      </c>
      <c r="U656" s="12">
        <v>5.2531000000000001E-2</v>
      </c>
      <c r="V656" s="16">
        <v>3.2633999999999999</v>
      </c>
      <c r="W656" s="17">
        <f t="shared" si="10"/>
        <v>-6.7368936795697554E-4</v>
      </c>
    </row>
    <row r="657" spans="1:23" x14ac:dyDescent="0.2">
      <c r="A657" s="15">
        <v>42496</v>
      </c>
      <c r="B657" s="5">
        <v>-772143754429738</v>
      </c>
      <c r="C657" s="5">
        <f>[1]!nefin_factors__1[[#This Row],[Rm_minus_Rf]]/B656-1</f>
        <v>3.8178883211714583</v>
      </c>
      <c r="D657" s="5">
        <v>103858908139034</v>
      </c>
      <c r="E657" s="5">
        <f>[1]!nefin_factors__1[[#This Row],[SMB]]/D656-1</f>
        <v>-1.5901802156876321</v>
      </c>
      <c r="F657" s="5">
        <v>439707710036571</v>
      </c>
      <c r="G657" s="5">
        <f>[1]!nefin_factors__1[[#This Row],[HML]]/F656-1</f>
        <v>-2.4232432845116199</v>
      </c>
      <c r="H657" s="5">
        <v>524265714006766</v>
      </c>
      <c r="I657" s="6">
        <f>[1]!nefin_factors__1[[#This Row],[Risk_Free]]/H656-1</f>
        <v>0</v>
      </c>
      <c r="J657">
        <v>57076</v>
      </c>
      <c r="K657">
        <v>58030</v>
      </c>
      <c r="L657">
        <v>57076</v>
      </c>
      <c r="M657">
        <v>57594</v>
      </c>
      <c r="N657">
        <v>4192000</v>
      </c>
      <c r="O657">
        <v>57594</v>
      </c>
      <c r="P657">
        <v>9.0579392750145295E-3</v>
      </c>
      <c r="Q657">
        <v>9.0171621956245205E-3</v>
      </c>
      <c r="R657" s="8">
        <v>18.313491821289102</v>
      </c>
      <c r="S657" s="8">
        <v>2.6327989223657401E-2</v>
      </c>
      <c r="T657" s="9">
        <v>2.59873732684829E-2</v>
      </c>
      <c r="U657" s="12">
        <v>5.2531000000000001E-2</v>
      </c>
      <c r="V657" s="16">
        <v>3.2801</v>
      </c>
      <c r="W657" s="17">
        <f t="shared" si="10"/>
        <v>5.1173622602194158E-3</v>
      </c>
    </row>
    <row r="658" spans="1:23" x14ac:dyDescent="0.2">
      <c r="A658" s="14">
        <v>42499</v>
      </c>
      <c r="B658" s="3">
        <v>-129774650062829</v>
      </c>
      <c r="C658" s="3">
        <f>[1]!nefin_factors__1[[#This Row],[Rm_minus_Rf]]/B657-1</f>
        <v>-0.83192941817074817</v>
      </c>
      <c r="D658" s="3">
        <v>-529729697017549</v>
      </c>
      <c r="E658" s="3">
        <f>[1]!nefin_factors__1[[#This Row],[SMB]]/D657-1</f>
        <v>-6.1004743503408454</v>
      </c>
      <c r="F658" s="3">
        <v>-181162047352096</v>
      </c>
      <c r="G658" s="3">
        <f>[1]!nefin_factors__1[[#This Row],[HML]]/F657-1</f>
        <v>-1.412005619226073</v>
      </c>
      <c r="H658" s="3">
        <v>524265714006766</v>
      </c>
      <c r="I658" s="4">
        <f>[1]!nefin_factors__1[[#This Row],[Risk_Free]]/H657-1</f>
        <v>0</v>
      </c>
      <c r="J658">
        <v>57609</v>
      </c>
      <c r="K658">
        <v>57951</v>
      </c>
      <c r="L658">
        <v>57290</v>
      </c>
      <c r="M658">
        <v>57661</v>
      </c>
      <c r="N658">
        <v>3354600</v>
      </c>
      <c r="O658">
        <v>57661</v>
      </c>
      <c r="P658">
        <v>1.16331562315519E-3</v>
      </c>
      <c r="Q658">
        <v>1.1626394958511601E-3</v>
      </c>
      <c r="R658" s="8">
        <v>18.692619323730501</v>
      </c>
      <c r="S658" s="8">
        <v>2.0702094930155499E-2</v>
      </c>
      <c r="T658" s="9">
        <v>2.0490718869762701E-2</v>
      </c>
      <c r="U658" s="12">
        <v>5.2531000000000001E-2</v>
      </c>
      <c r="V658" s="16">
        <v>3.2511999999999999</v>
      </c>
      <c r="W658" s="17">
        <f t="shared" si="10"/>
        <v>-8.8107069906405711E-3</v>
      </c>
    </row>
    <row r="659" spans="1:23" x14ac:dyDescent="0.2">
      <c r="A659" s="15">
        <v>42500</v>
      </c>
      <c r="B659" s="5">
        <v>358392736564427</v>
      </c>
      <c r="C659" s="5">
        <f>[1]!nefin_factors__1[[#This Row],[Rm_minus_Rf]]/B658-1</f>
        <v>-3.7616544247348385</v>
      </c>
      <c r="D659" s="5">
        <v>21252349096519</v>
      </c>
      <c r="E659" s="5">
        <f>[1]!nefin_factors__1[[#This Row],[SMB]]/D658-1</f>
        <v>-1.0401192329147726</v>
      </c>
      <c r="F659" s="5">
        <v>19806966833982</v>
      </c>
      <c r="G659" s="5">
        <f>[1]!nefin_factors__1[[#This Row],[HML]]/F658-1</f>
        <v>-1.1093328714456749</v>
      </c>
      <c r="H659" s="5">
        <v>523917790096862</v>
      </c>
      <c r="I659" s="6">
        <f>[1]!nefin_factors__1[[#This Row],[Risk_Free]]/H658-1</f>
        <v>-6.6364040334609964E-4</v>
      </c>
      <c r="J659">
        <v>57655</v>
      </c>
      <c r="K659">
        <v>57917</v>
      </c>
      <c r="L659">
        <v>57504</v>
      </c>
      <c r="M659">
        <v>57635</v>
      </c>
      <c r="N659">
        <v>3153800</v>
      </c>
      <c r="O659">
        <v>57635</v>
      </c>
      <c r="P659">
        <v>-4.50911361231987E-4</v>
      </c>
      <c r="Q659">
        <v>-4.5101305233009398E-4</v>
      </c>
      <c r="R659" s="8">
        <v>18.008541107177699</v>
      </c>
      <c r="S659" s="8">
        <v>-3.6596105168007202E-2</v>
      </c>
      <c r="T659" s="9">
        <v>-3.7282541995773903E-2</v>
      </c>
      <c r="U659" s="12">
        <v>5.2531000000000001E-2</v>
      </c>
      <c r="V659" s="16">
        <v>3.2585000000000002</v>
      </c>
      <c r="W659" s="17">
        <f t="shared" si="10"/>
        <v>2.2453248031497619E-3</v>
      </c>
    </row>
    <row r="660" spans="1:23" x14ac:dyDescent="0.2">
      <c r="A660" s="14">
        <v>42501</v>
      </c>
      <c r="B660" s="3">
        <v>-540471557377621</v>
      </c>
      <c r="C660" s="3">
        <f>[1]!nefin_factors__1[[#This Row],[Rm_minus_Rf]]/B659-1</f>
        <v>-2.5080427202811415</v>
      </c>
      <c r="D660" s="3">
        <v>225928942600007</v>
      </c>
      <c r="E660" s="3">
        <f>[1]!nefin_factors__1[[#This Row],[SMB]]/D659-1</f>
        <v>9.6307750533334087</v>
      </c>
      <c r="F660" s="3">
        <v>163254205970837</v>
      </c>
      <c r="G660" s="3">
        <f>[1]!nefin_factors__1[[#This Row],[HML]]/F659-1</f>
        <v>7.2422617929943947</v>
      </c>
      <c r="H660" s="3">
        <v>523917790096862</v>
      </c>
      <c r="I660" s="4">
        <f>[1]!nefin_factors__1[[#This Row],[Risk_Free]]/H659-1</f>
        <v>0</v>
      </c>
      <c r="J660">
        <v>57637</v>
      </c>
      <c r="K660">
        <v>58095</v>
      </c>
      <c r="L660">
        <v>57615</v>
      </c>
      <c r="M660">
        <v>57689</v>
      </c>
      <c r="N660">
        <v>3049900</v>
      </c>
      <c r="O660">
        <v>57689</v>
      </c>
      <c r="P660">
        <v>9.3693068447997497E-4</v>
      </c>
      <c r="Q660">
        <v>9.3649203889184095E-4</v>
      </c>
      <c r="R660" s="8">
        <v>17.637657165527301</v>
      </c>
      <c r="S660" s="8">
        <v>-2.05950683478088E-2</v>
      </c>
      <c r="T660" s="9">
        <v>-2.0810104345556898E-2</v>
      </c>
      <c r="U660" s="12">
        <v>5.2531000000000001E-2</v>
      </c>
      <c r="V660" s="16">
        <v>3.2854000000000001</v>
      </c>
      <c r="W660" s="17">
        <f t="shared" si="10"/>
        <v>8.2553322080711755E-3</v>
      </c>
    </row>
    <row r="661" spans="1:23" x14ac:dyDescent="0.2">
      <c r="A661" s="15">
        <v>42502</v>
      </c>
      <c r="B661" s="5">
        <v>808180257786962</v>
      </c>
      <c r="C661" s="5">
        <f>[1]!nefin_factors__1[[#This Row],[Rm_minus_Rf]]/B660-1</f>
        <v>-2.4953243084765999</v>
      </c>
      <c r="D661" s="5">
        <v>-5153138262.6691198</v>
      </c>
      <c r="E661" s="5">
        <f>[1]!nefin_factors__1[[#This Row],[SMB]]/D660-1</f>
        <v>-1.0000228086680856</v>
      </c>
      <c r="F661" s="5">
        <v>-978926715906644</v>
      </c>
      <c r="G661" s="5">
        <f>[1]!nefin_factors__1[[#This Row],[HML]]/F660-1</f>
        <v>-6.9963338162418616</v>
      </c>
      <c r="H661" s="5">
        <v>523917790096862</v>
      </c>
      <c r="I661" s="6">
        <f>[1]!nefin_factors__1[[#This Row],[Risk_Free]]/H660-1</f>
        <v>0</v>
      </c>
      <c r="J661">
        <v>57690</v>
      </c>
      <c r="K661">
        <v>57953</v>
      </c>
      <c r="L661">
        <v>56735</v>
      </c>
      <c r="M661">
        <v>56920</v>
      </c>
      <c r="N661">
        <v>3510600</v>
      </c>
      <c r="O661">
        <v>56920</v>
      </c>
      <c r="P661">
        <v>-1.3330097592262001E-2</v>
      </c>
      <c r="Q661">
        <v>-1.34197408702161E-2</v>
      </c>
      <c r="R661" s="8">
        <v>17.555238723754901</v>
      </c>
      <c r="S661" s="8">
        <v>-4.6728835543962096E-3</v>
      </c>
      <c r="T661" s="9">
        <v>-4.6838356065146804E-3</v>
      </c>
      <c r="U661" s="12">
        <v>5.2531000000000001E-2</v>
      </c>
      <c r="V661" s="16">
        <v>3.2818999999999998</v>
      </c>
      <c r="W661" s="17">
        <f t="shared" si="10"/>
        <v>-1.0653192914105158E-3</v>
      </c>
    </row>
    <row r="662" spans="1:23" x14ac:dyDescent="0.2">
      <c r="A662" s="14">
        <v>42503</v>
      </c>
      <c r="B662" s="3">
        <v>-25195530805864</v>
      </c>
      <c r="C662" s="3">
        <f>[1]!nefin_factors__1[[#This Row],[Rm_minus_Rf]]/B661-1</f>
        <v>-1.0311756326179717</v>
      </c>
      <c r="D662" s="3">
        <v>-185372820239326</v>
      </c>
      <c r="E662" s="3">
        <f>[1]!nefin_factors__1[[#This Row],[SMB]]/D661-1</f>
        <v>35971.801580392741</v>
      </c>
      <c r="F662" s="3">
        <v>-993175206907689</v>
      </c>
      <c r="G662" s="3">
        <f>[1]!nefin_factors__1[[#This Row],[HML]]/F661-1</f>
        <v>1.4555217228746864E-2</v>
      </c>
      <c r="H662" s="3">
        <v>523917790096862</v>
      </c>
      <c r="I662" s="4">
        <f>[1]!nefin_factors__1[[#This Row],[Risk_Free]]/H661-1</f>
        <v>0</v>
      </c>
      <c r="J662">
        <v>56925</v>
      </c>
      <c r="K662">
        <v>58308</v>
      </c>
      <c r="L662">
        <v>56923</v>
      </c>
      <c r="M662">
        <v>58300</v>
      </c>
      <c r="N662">
        <v>3905700</v>
      </c>
      <c r="O662">
        <v>58300</v>
      </c>
      <c r="P662">
        <v>2.4244553759662699E-2</v>
      </c>
      <c r="Q662">
        <v>2.3955320134795101E-2</v>
      </c>
      <c r="R662" s="8">
        <v>18.667894363403299</v>
      </c>
      <c r="S662" s="8">
        <v>6.3380377817138497E-2</v>
      </c>
      <c r="T662" s="9">
        <v>6.1452869611233397E-2</v>
      </c>
      <c r="U662" s="12">
        <v>5.2531000000000001E-2</v>
      </c>
      <c r="V662" s="16">
        <v>3.2789999999999999</v>
      </c>
      <c r="W662" s="17">
        <f t="shared" si="10"/>
        <v>-8.836344800268181E-4</v>
      </c>
    </row>
    <row r="663" spans="1:23" x14ac:dyDescent="0.2">
      <c r="A663" s="15">
        <v>42506</v>
      </c>
      <c r="B663" s="5">
        <v>-237021220430345</v>
      </c>
      <c r="C663" s="5">
        <f>[1]!nefin_factors__1[[#This Row],[Rm_minus_Rf]]/B662-1</f>
        <v>8.4072723554282387</v>
      </c>
      <c r="D663" s="5">
        <v>-14891843276815</v>
      </c>
      <c r="E663" s="5">
        <f>[1]!nefin_factors__1[[#This Row],[SMB]]/D662-1</f>
        <v>-0.91966544363090097</v>
      </c>
      <c r="F663" s="5">
        <v>-100950293631316</v>
      </c>
      <c r="G663" s="5">
        <f>[1]!nefin_factors__1[[#This Row],[HML]]/F662-1</f>
        <v>-0.89835600714839547</v>
      </c>
      <c r="H663" s="5">
        <v>524265714006766</v>
      </c>
      <c r="I663" s="6">
        <f>[1]!nefin_factors__1[[#This Row],[Risk_Free]]/H662-1</f>
        <v>6.6408111440474649E-4</v>
      </c>
      <c r="J663">
        <v>58300</v>
      </c>
      <c r="K663">
        <v>58753</v>
      </c>
      <c r="L663">
        <v>57987</v>
      </c>
      <c r="M663">
        <v>58298</v>
      </c>
      <c r="N663">
        <v>3811800</v>
      </c>
      <c r="O663">
        <v>58298</v>
      </c>
      <c r="P663">
        <v>-3.4305317324179199E-5</v>
      </c>
      <c r="Q663">
        <v>-3.4305905765035299E-5</v>
      </c>
      <c r="R663" s="8">
        <v>19.088230133056602</v>
      </c>
      <c r="S663" s="8">
        <v>2.2516520039349602E-2</v>
      </c>
      <c r="T663" s="9">
        <v>2.2266765322005899E-2</v>
      </c>
      <c r="U663" s="12">
        <v>5.2531000000000001E-2</v>
      </c>
      <c r="V663" s="16">
        <v>3.282</v>
      </c>
      <c r="W663" s="17">
        <f t="shared" si="10"/>
        <v>9.1491308325708509E-4</v>
      </c>
    </row>
    <row r="664" spans="1:23" x14ac:dyDescent="0.2">
      <c r="A664" s="14">
        <v>42507</v>
      </c>
      <c r="B664" s="3">
        <v>-17989267757417</v>
      </c>
      <c r="C664" s="3">
        <f>[1]!nefin_factors__1[[#This Row],[Rm_minus_Rf]]/B663-1</f>
        <v>-0.9241027123024893</v>
      </c>
      <c r="D664" s="3">
        <v>-358010981828833</v>
      </c>
      <c r="E664" s="3">
        <f>[1]!nefin_factors__1[[#This Row],[SMB]]/D663-1</f>
        <v>23.040743323307574</v>
      </c>
      <c r="F664" s="3">
        <v>-962187466608257</v>
      </c>
      <c r="G664" s="3">
        <f>[1]!nefin_factors__1[[#This Row],[HML]]/F663-1</f>
        <v>8.5312993355155022</v>
      </c>
      <c r="H664" s="3">
        <v>524265714006766</v>
      </c>
      <c r="I664" s="4">
        <f>[1]!nefin_factors__1[[#This Row],[Risk_Free]]/H663-1</f>
        <v>0</v>
      </c>
      <c r="J664">
        <v>58316</v>
      </c>
      <c r="K664">
        <v>59324</v>
      </c>
      <c r="L664">
        <v>58316</v>
      </c>
      <c r="M664">
        <v>59146</v>
      </c>
      <c r="N664">
        <v>3487200</v>
      </c>
      <c r="O664">
        <v>59146</v>
      </c>
      <c r="P664">
        <v>1.4545953549006899E-2</v>
      </c>
      <c r="Q664">
        <v>1.44411760040529E-2</v>
      </c>
      <c r="R664" s="8">
        <v>18.808006286621101</v>
      </c>
      <c r="S664" s="8">
        <v>-1.46803567267443E-2</v>
      </c>
      <c r="T664" s="9">
        <v>-1.47891795150186E-2</v>
      </c>
      <c r="U664" s="12">
        <v>5.2531000000000001E-2</v>
      </c>
      <c r="V664" s="16">
        <v>3.274</v>
      </c>
      <c r="W664" s="17">
        <f t="shared" si="10"/>
        <v>-2.4375380865325758E-3</v>
      </c>
    </row>
    <row r="665" spans="1:23" x14ac:dyDescent="0.2">
      <c r="A665" s="15">
        <v>42508</v>
      </c>
      <c r="B665" s="5">
        <v>-590467327191875</v>
      </c>
      <c r="C665" s="5">
        <f>[1]!nefin_factors__1[[#This Row],[Rm_minus_Rf]]/B664-1</f>
        <v>31.823310829226195</v>
      </c>
      <c r="D665" s="5">
        <v>-118271262324062</v>
      </c>
      <c r="E665" s="5">
        <f>[1]!nefin_factors__1[[#This Row],[SMB]]/D664-1</f>
        <v>-0.66964347931481016</v>
      </c>
      <c r="F665" s="5">
        <v>-19231683930936</v>
      </c>
      <c r="G665" s="5">
        <f>[1]!nefin_factors__1[[#This Row],[HML]]/F664-1</f>
        <v>-0.98001253955351519</v>
      </c>
      <c r="H665" s="5">
        <v>523917790096862</v>
      </c>
      <c r="I665" s="6">
        <f>[1]!nefin_factors__1[[#This Row],[Risk_Free]]/H664-1</f>
        <v>-6.6364040334609964E-4</v>
      </c>
      <c r="J665">
        <v>59144</v>
      </c>
      <c r="K665">
        <v>59187</v>
      </c>
      <c r="L665">
        <v>58589</v>
      </c>
      <c r="M665">
        <v>58855</v>
      </c>
      <c r="N665">
        <v>3874400</v>
      </c>
      <c r="O665">
        <v>58855</v>
      </c>
      <c r="P665">
        <v>-4.9200284042877403E-3</v>
      </c>
      <c r="Q665">
        <v>-4.9321715902906002E-3</v>
      </c>
      <c r="R665" s="8">
        <v>18.2557983398438</v>
      </c>
      <c r="S665" s="8">
        <v>-2.9360234658649599E-2</v>
      </c>
      <c r="T665" s="9">
        <v>-2.9799872995172699E-2</v>
      </c>
      <c r="U665" s="12">
        <v>5.2531000000000001E-2</v>
      </c>
      <c r="V665" s="16">
        <v>3.2389999999999999</v>
      </c>
      <c r="W665" s="17">
        <f t="shared" si="10"/>
        <v>-1.0690287110568186E-2</v>
      </c>
    </row>
    <row r="666" spans="1:23" x14ac:dyDescent="0.2">
      <c r="A666" s="14">
        <v>42509</v>
      </c>
      <c r="B666" s="3">
        <v>-802730783474032</v>
      </c>
      <c r="C666" s="3">
        <f>[1]!nefin_factors__1[[#This Row],[Rm_minus_Rf]]/B665-1</f>
        <v>0.35948383002262374</v>
      </c>
      <c r="D666" s="3">
        <v>-450791410307651</v>
      </c>
      <c r="E666" s="3">
        <f>[1]!nefin_factors__1[[#This Row],[SMB]]/D665-1</f>
        <v>2.8115041764962934</v>
      </c>
      <c r="F666" s="3">
        <v>-82740940936116</v>
      </c>
      <c r="G666" s="3">
        <f>[1]!nefin_factors__1[[#This Row],[HML]]/F665-1</f>
        <v>3.3023242911672073</v>
      </c>
      <c r="H666" s="3">
        <v>523917790096862</v>
      </c>
      <c r="I666" s="4">
        <f>[1]!nefin_factors__1[[#This Row],[Risk_Free]]/H665-1</f>
        <v>0</v>
      </c>
      <c r="J666">
        <v>58847</v>
      </c>
      <c r="K666">
        <v>59324</v>
      </c>
      <c r="L666">
        <v>58081</v>
      </c>
      <c r="M666">
        <v>59324</v>
      </c>
      <c r="N666">
        <v>4179800</v>
      </c>
      <c r="O666">
        <v>59324</v>
      </c>
      <c r="P666">
        <v>7.9687367258516294E-3</v>
      </c>
      <c r="Q666">
        <v>7.9371540152720996E-3</v>
      </c>
      <c r="R666" s="8">
        <v>18.626684188842798</v>
      </c>
      <c r="S666" s="8">
        <v>2.0315910036174101E-2</v>
      </c>
      <c r="T666" s="9">
        <v>2.0112295065905599E-2</v>
      </c>
      <c r="U666" s="12">
        <v>5.2531000000000001E-2</v>
      </c>
      <c r="V666" s="16">
        <v>3.2662</v>
      </c>
      <c r="W666" s="17">
        <f t="shared" si="10"/>
        <v>8.397653596789123E-3</v>
      </c>
    </row>
    <row r="667" spans="1:23" x14ac:dyDescent="0.2">
      <c r="A667" s="15">
        <v>42510</v>
      </c>
      <c r="B667" s="5">
        <v>-678205950555488</v>
      </c>
      <c r="C667" s="5">
        <f>[1]!nefin_factors__1[[#This Row],[Rm_minus_Rf]]/B666-1</f>
        <v>-0.15512651997675919</v>
      </c>
      <c r="D667" s="5">
        <v>20659253761077</v>
      </c>
      <c r="E667" s="5">
        <f>[1]!nefin_factors__1[[#This Row],[SMB]]/D666-1</f>
        <v>-1.0458288540746101</v>
      </c>
      <c r="F667" s="5">
        <v>273631254601255</v>
      </c>
      <c r="G667" s="5">
        <f>[1]!nefin_factors__1[[#This Row],[HML]]/F666-1</f>
        <v>-4.3070841533277306</v>
      </c>
      <c r="H667" s="5">
        <v>524265714006766</v>
      </c>
      <c r="I667" s="6">
        <f>[1]!nefin_factors__1[[#This Row],[Risk_Free]]/H666-1</f>
        <v>6.6408111440474649E-4</v>
      </c>
      <c r="J667">
        <v>59324</v>
      </c>
      <c r="K667">
        <v>59418</v>
      </c>
      <c r="L667">
        <v>58829</v>
      </c>
      <c r="M667">
        <v>59166</v>
      </c>
      <c r="N667">
        <v>3608700</v>
      </c>
      <c r="O667">
        <v>59166</v>
      </c>
      <c r="P667">
        <v>-2.66334030072146E-3</v>
      </c>
      <c r="Q667">
        <v>-2.6668933014690499E-3</v>
      </c>
      <c r="R667" s="8">
        <v>18.2557983398438</v>
      </c>
      <c r="S667" s="8">
        <v>-1.99113919878539E-2</v>
      </c>
      <c r="T667" s="9">
        <v>-2.0112295065905599E-2</v>
      </c>
      <c r="U667" s="12">
        <v>5.2531000000000001E-2</v>
      </c>
      <c r="V667" s="16">
        <v>3.2490000000000001</v>
      </c>
      <c r="W667" s="17">
        <f t="shared" si="10"/>
        <v>-5.2660584165084012E-3</v>
      </c>
    </row>
    <row r="668" spans="1:23" x14ac:dyDescent="0.2">
      <c r="A668" s="14">
        <v>42513</v>
      </c>
      <c r="B668" s="3">
        <v>-86343362824235</v>
      </c>
      <c r="C668" s="3">
        <f>[1]!nefin_factors__1[[#This Row],[Rm_minus_Rf]]/B667-1</f>
        <v>-0.87268857969542291</v>
      </c>
      <c r="D668" s="3">
        <v>-912545105155532</v>
      </c>
      <c r="E668" s="3">
        <f>[1]!nefin_factors__1[[#This Row],[SMB]]/D667-1</f>
        <v>-45.171252055328814</v>
      </c>
      <c r="F668" s="3">
        <v>148750562183056</v>
      </c>
      <c r="G668" s="3">
        <f>[1]!nefin_factors__1[[#This Row],[HML]]/F667-1</f>
        <v>-0.45638314453580786</v>
      </c>
      <c r="H668" s="3">
        <v>524265714006766</v>
      </c>
      <c r="I668" s="4">
        <f>[1]!nefin_factors__1[[#This Row],[Risk_Free]]/H667-1</f>
        <v>0</v>
      </c>
      <c r="J668">
        <v>59158</v>
      </c>
      <c r="K668">
        <v>59240</v>
      </c>
      <c r="L668">
        <v>58599</v>
      </c>
      <c r="M668">
        <v>59099</v>
      </c>
      <c r="N668">
        <v>2661700</v>
      </c>
      <c r="O668">
        <v>59099</v>
      </c>
      <c r="P668">
        <v>-1.1324071257140501E-3</v>
      </c>
      <c r="Q668">
        <v>-1.1330487831205901E-3</v>
      </c>
      <c r="R668" s="8">
        <v>18.453605651855501</v>
      </c>
      <c r="S668" s="8">
        <v>1.0835202643815E-2</v>
      </c>
      <c r="T668" s="9">
        <v>1.07769224428998E-2</v>
      </c>
      <c r="U668" s="12">
        <v>5.2531000000000001E-2</v>
      </c>
      <c r="V668" s="16">
        <v>3.2732999999999999</v>
      </c>
      <c r="W668" s="17">
        <f t="shared" si="10"/>
        <v>7.4792243767312083E-3</v>
      </c>
    </row>
    <row r="669" spans="1:23" x14ac:dyDescent="0.2">
      <c r="A669" s="15">
        <v>42514</v>
      </c>
      <c r="B669" s="5">
        <v>150080169949112</v>
      </c>
      <c r="C669" s="5">
        <f>[1]!nefin_factors__1[[#This Row],[Rm_minus_Rf]]/B668-1</f>
        <v>-2.7381784197428463</v>
      </c>
      <c r="D669" s="5">
        <v>499635672110834</v>
      </c>
      <c r="E669" s="5">
        <f>[1]!nefin_factors__1[[#This Row],[SMB]]/D668-1</f>
        <v>-1.5475188780128049</v>
      </c>
      <c r="F669" s="5">
        <v>-106987430935235</v>
      </c>
      <c r="G669" s="5">
        <f>[1]!nefin_factors__1[[#This Row],[HML]]/F668-1</f>
        <v>-1.7192405148934746</v>
      </c>
      <c r="H669" s="5">
        <v>524265714006766</v>
      </c>
      <c r="I669" s="6">
        <f>[1]!nefin_factors__1[[#This Row],[Risk_Free]]/H668-1</f>
        <v>0</v>
      </c>
      <c r="J669">
        <v>59080</v>
      </c>
      <c r="K669">
        <v>59099</v>
      </c>
      <c r="L669">
        <v>57631</v>
      </c>
      <c r="M669">
        <v>57781</v>
      </c>
      <c r="N669">
        <v>3133500</v>
      </c>
      <c r="O669">
        <v>57781</v>
      </c>
      <c r="P669">
        <v>-2.2301561786155399E-2</v>
      </c>
      <c r="Q669">
        <v>-2.2554001880149201E-2</v>
      </c>
      <c r="R669" s="8">
        <v>18.1321716308594</v>
      </c>
      <c r="S669" s="8">
        <v>-1.74186191890492E-2</v>
      </c>
      <c r="T669" s="9">
        <v>-1.75721083270294E-2</v>
      </c>
      <c r="U669" s="12">
        <v>5.2531000000000001E-2</v>
      </c>
      <c r="V669" s="16">
        <v>3.2183000000000002</v>
      </c>
      <c r="W669" s="17">
        <f t="shared" si="10"/>
        <v>-1.6802615097913365E-2</v>
      </c>
    </row>
    <row r="670" spans="1:23" x14ac:dyDescent="0.2">
      <c r="A670" s="14">
        <v>42515</v>
      </c>
      <c r="B670" s="3">
        <v>34733135296918</v>
      </c>
      <c r="C670" s="3">
        <f>[1]!nefin_factors__1[[#This Row],[Rm_minus_Rf]]/B669-1</f>
        <v>-0.76856945651983843</v>
      </c>
      <c r="D670" s="3">
        <v>562319493738513</v>
      </c>
      <c r="E670" s="3">
        <f>[1]!nefin_factors__1[[#This Row],[SMB]]/D669-1</f>
        <v>0.12545905972417004</v>
      </c>
      <c r="F670" s="3">
        <v>894652302269164</v>
      </c>
      <c r="G670" s="3">
        <f>[1]!nefin_factors__1[[#This Row],[HML]]/F669-1</f>
        <v>-9.3622187620407775</v>
      </c>
      <c r="H670" s="3">
        <v>524265714006766</v>
      </c>
      <c r="I670" s="4">
        <f>[1]!nefin_factors__1[[#This Row],[Risk_Free]]/H669-1</f>
        <v>0</v>
      </c>
      <c r="J670">
        <v>57781</v>
      </c>
      <c r="K670">
        <v>58596</v>
      </c>
      <c r="L670">
        <v>57781</v>
      </c>
      <c r="M670">
        <v>58020</v>
      </c>
      <c r="N670">
        <v>3635900</v>
      </c>
      <c r="O670">
        <v>58020</v>
      </c>
      <c r="P670">
        <v>4.1363077828351401E-3</v>
      </c>
      <c r="Q670">
        <v>4.1277767782807503E-3</v>
      </c>
      <c r="R670" s="8">
        <v>18.2970085144043</v>
      </c>
      <c r="S670" s="8">
        <v>9.0909915029511196E-3</v>
      </c>
      <c r="T670" s="9">
        <v>9.0499171895057698E-3</v>
      </c>
      <c r="U670" s="12">
        <v>5.2531000000000001E-2</v>
      </c>
      <c r="V670" s="16">
        <v>3.1859000000000002</v>
      </c>
      <c r="W670" s="17">
        <f t="shared" si="10"/>
        <v>-1.0067426902401921E-2</v>
      </c>
    </row>
    <row r="671" spans="1:23" x14ac:dyDescent="0.2">
      <c r="A671" s="15">
        <v>42517</v>
      </c>
      <c r="B671" s="5">
        <v>-623202684259879</v>
      </c>
      <c r="C671" s="5">
        <f>[1]!nefin_factors__1[[#This Row],[Rm_minus_Rf]]/B670-1</f>
        <v>-18.942598010009711</v>
      </c>
      <c r="D671" s="5">
        <v>-522765781109113</v>
      </c>
      <c r="E671" s="5">
        <f>[1]!nefin_factors__1[[#This Row],[SMB]]/D670-1</f>
        <v>-1.9296597164604201</v>
      </c>
      <c r="F671" s="5">
        <v>-198987629163254</v>
      </c>
      <c r="G671" s="5">
        <f>[1]!nefin_factors__1[[#This Row],[HML]]/F670-1</f>
        <v>-1.2224189538869445</v>
      </c>
      <c r="H671" s="5">
        <v>523917790096862</v>
      </c>
      <c r="I671" s="6">
        <f>[1]!nefin_factors__1[[#This Row],[Risk_Free]]/H670-1</f>
        <v>-6.6364040334609964E-4</v>
      </c>
      <c r="J671">
        <v>58019</v>
      </c>
      <c r="K671">
        <v>58332</v>
      </c>
      <c r="L671">
        <v>57456</v>
      </c>
      <c r="M671">
        <v>57718</v>
      </c>
      <c r="N671">
        <v>3221400</v>
      </c>
      <c r="O671">
        <v>57718</v>
      </c>
      <c r="P671">
        <v>-5.2051016890727296E-3</v>
      </c>
      <c r="Q671">
        <v>-5.21869542256419E-3</v>
      </c>
      <c r="R671" s="8">
        <v>17.827220916748001</v>
      </c>
      <c r="S671" s="8">
        <v>-2.5675608685873302E-2</v>
      </c>
      <c r="T671" s="9">
        <v>-2.6010980158131702E-2</v>
      </c>
      <c r="U671" s="12">
        <v>5.2531000000000001E-2</v>
      </c>
      <c r="V671" s="16">
        <v>3.1770999999999998</v>
      </c>
      <c r="W671" s="17">
        <f t="shared" si="10"/>
        <v>-2.7621708151543967E-3</v>
      </c>
    </row>
    <row r="672" spans="1:23" x14ac:dyDescent="0.2">
      <c r="A672" s="14">
        <v>42520</v>
      </c>
      <c r="B672" s="3">
        <v>-221473741328048</v>
      </c>
      <c r="C672" s="3">
        <f>[1]!nefin_factors__1[[#This Row],[Rm_minus_Rf]]/B671-1</f>
        <v>-0.64462004589875577</v>
      </c>
      <c r="D672" s="3">
        <v>-277310425939022</v>
      </c>
      <c r="E672" s="3">
        <f>[1]!nefin_factors__1[[#This Row],[SMB]]/D671-1</f>
        <v>-0.46953217681793702</v>
      </c>
      <c r="F672" s="3">
        <v>387614255550413</v>
      </c>
      <c r="G672" s="3">
        <f>[1]!nefin_factors__1[[#This Row],[HML]]/F671-1</f>
        <v>-2.9479314225730358</v>
      </c>
      <c r="H672" s="3">
        <v>524265714006766</v>
      </c>
      <c r="I672" s="4">
        <f>[1]!nefin_factors__1[[#This Row],[Risk_Free]]/H671-1</f>
        <v>6.6408111440474649E-4</v>
      </c>
      <c r="J672">
        <v>57718</v>
      </c>
      <c r="K672">
        <v>58124</v>
      </c>
      <c r="L672">
        <v>57639</v>
      </c>
      <c r="M672">
        <v>57722</v>
      </c>
      <c r="N672">
        <v>2974200</v>
      </c>
      <c r="O672">
        <v>57722</v>
      </c>
      <c r="P672">
        <v>6.9302470633081397E-5</v>
      </c>
      <c r="Q672">
        <v>6.9300069327807103E-5</v>
      </c>
      <c r="R672" s="8">
        <v>17.884914398193398</v>
      </c>
      <c r="S672" s="8">
        <v>3.2361359441488401E-3</v>
      </c>
      <c r="T672" s="9">
        <v>3.2309109257694598E-3</v>
      </c>
      <c r="U672" s="12">
        <v>5.2531000000000001E-2</v>
      </c>
      <c r="V672" s="16">
        <v>3.1503000000000001</v>
      </c>
      <c r="W672" s="17">
        <f t="shared" si="10"/>
        <v>-8.4353655849673803E-3</v>
      </c>
    </row>
    <row r="673" spans="1:23" x14ac:dyDescent="0.2">
      <c r="A673" s="15">
        <v>42521</v>
      </c>
      <c r="B673" s="5">
        <v>-853127761176345</v>
      </c>
      <c r="C673" s="5">
        <f>[1]!nefin_factors__1[[#This Row],[Rm_minus_Rf]]/B672-1</f>
        <v>2.8520492590256463</v>
      </c>
      <c r="D673" s="5">
        <v>-414033503335518</v>
      </c>
      <c r="E673" s="5">
        <f>[1]!nefin_factors__1[[#This Row],[SMB]]/D672-1</f>
        <v>0.49303258950155793</v>
      </c>
      <c r="F673" s="5">
        <v>-41199021060475</v>
      </c>
      <c r="G673" s="5">
        <f>[1]!nefin_factors__1[[#This Row],[HML]]/F672-1</f>
        <v>-1.1062887147996461</v>
      </c>
      <c r="H673" s="5">
        <v>523917790096862</v>
      </c>
      <c r="I673" s="6">
        <f>[1]!nefin_factors__1[[#This Row],[Risk_Free]]/H672-1</f>
        <v>-6.6364040334609964E-4</v>
      </c>
      <c r="J673">
        <v>57725</v>
      </c>
      <c r="K673">
        <v>58655</v>
      </c>
      <c r="L673">
        <v>57259</v>
      </c>
      <c r="M673">
        <v>57716</v>
      </c>
      <c r="N673">
        <v>3611600</v>
      </c>
      <c r="O673">
        <v>57716</v>
      </c>
      <c r="P673">
        <v>-1.03946502200247E-4</v>
      </c>
      <c r="Q673">
        <v>-1.03951905012313E-4</v>
      </c>
      <c r="R673" s="8">
        <v>18.049751281738299</v>
      </c>
      <c r="S673" s="8">
        <v>9.2165623066364794E-3</v>
      </c>
      <c r="T673" s="9">
        <v>9.1743489725711093E-3</v>
      </c>
      <c r="U673" s="12">
        <v>5.2531000000000001E-2</v>
      </c>
      <c r="V673" s="16">
        <v>3.1301999999999999</v>
      </c>
      <c r="W673" s="17">
        <f t="shared" si="10"/>
        <v>-6.3803447290734505E-3</v>
      </c>
    </row>
    <row r="674" spans="1:23" x14ac:dyDescent="0.2">
      <c r="A674" s="14">
        <v>42522</v>
      </c>
      <c r="B674" s="3">
        <v>921111754429282</v>
      </c>
      <c r="C674" s="3">
        <f>[1]!nefin_factors__1[[#This Row],[Rm_minus_Rf]]/B673-1</f>
        <v>-2.0796879393060621</v>
      </c>
      <c r="D674" s="3">
        <v>276298407216054</v>
      </c>
      <c r="E674" s="3">
        <f>[1]!nefin_factors__1[[#This Row],[SMB]]/D673-1</f>
        <v>-1.6673334524625454</v>
      </c>
      <c r="F674" s="3">
        <v>379843939132422</v>
      </c>
      <c r="G674" s="3">
        <f>[1]!nefin_factors__1[[#This Row],[HML]]/F673-1</f>
        <v>-10.219732152733888</v>
      </c>
      <c r="H674" s="3">
        <v>523917790096862</v>
      </c>
      <c r="I674" s="4">
        <f>[1]!nefin_factors__1[[#This Row],[Risk_Free]]/H673-1</f>
        <v>0</v>
      </c>
      <c r="J674">
        <v>57717</v>
      </c>
      <c r="K674">
        <v>58957</v>
      </c>
      <c r="L674">
        <v>57642</v>
      </c>
      <c r="M674">
        <v>58610</v>
      </c>
      <c r="N674">
        <v>2759700</v>
      </c>
      <c r="O674">
        <v>58610</v>
      </c>
      <c r="P674">
        <v>1.5489638921616099E-2</v>
      </c>
      <c r="Q674">
        <v>1.53708990533285E-2</v>
      </c>
      <c r="R674" s="8">
        <v>18.2145900726318</v>
      </c>
      <c r="S674" s="8">
        <v>9.1325027567024097E-3</v>
      </c>
      <c r="T674" s="9">
        <v>9.0910536185238797E-3</v>
      </c>
      <c r="U674" s="12">
        <v>5.2531000000000001E-2</v>
      </c>
      <c r="V674" s="16">
        <v>3.1364000000000001</v>
      </c>
      <c r="W674" s="17">
        <f t="shared" si="10"/>
        <v>1.9807041083637067E-3</v>
      </c>
    </row>
    <row r="675" spans="1:23" x14ac:dyDescent="0.2">
      <c r="A675" s="15">
        <v>42523</v>
      </c>
      <c r="B675" s="5">
        <v>122560654002645</v>
      </c>
      <c r="C675" s="5">
        <f>[1]!nefin_factors__1[[#This Row],[Rm_minus_Rf]]/B674-1</f>
        <v>-0.86694268810131159</v>
      </c>
      <c r="D675" s="5">
        <v>181477166509861</v>
      </c>
      <c r="E675" s="5">
        <f>[1]!nefin_factors__1[[#This Row],[SMB]]/D674-1</f>
        <v>-0.34318417417457892</v>
      </c>
      <c r="F675" s="5">
        <v>506780336672069</v>
      </c>
      <c r="G675" s="5">
        <f>[1]!nefin_factors__1[[#This Row],[HML]]/F674-1</f>
        <v>0.33418039479470063</v>
      </c>
      <c r="H675" s="5">
        <v>523917790096862</v>
      </c>
      <c r="I675" s="6">
        <f>[1]!nefin_factors__1[[#This Row],[Risk_Free]]/H674-1</f>
        <v>0</v>
      </c>
      <c r="J675">
        <v>58610</v>
      </c>
      <c r="K675">
        <v>58882</v>
      </c>
      <c r="L675">
        <v>58293</v>
      </c>
      <c r="M675">
        <v>58575</v>
      </c>
      <c r="N675">
        <v>2729400</v>
      </c>
      <c r="O675">
        <v>58575</v>
      </c>
      <c r="P675">
        <v>-5.9716771881934705E-4</v>
      </c>
      <c r="Q675">
        <v>-5.9734609447853904E-4</v>
      </c>
      <c r="R675" s="8">
        <v>18.667894363403299</v>
      </c>
      <c r="S675" s="8">
        <v>2.4886856427125799E-2</v>
      </c>
      <c r="T675" s="9">
        <v>2.4582222524076599E-2</v>
      </c>
      <c r="U675" s="12">
        <v>5.2531000000000001E-2</v>
      </c>
      <c r="V675" s="16">
        <v>3.1602000000000001</v>
      </c>
      <c r="W675" s="17">
        <f t="shared" si="10"/>
        <v>7.5883178166049614E-3</v>
      </c>
    </row>
    <row r="676" spans="1:23" x14ac:dyDescent="0.2">
      <c r="A676" s="14">
        <v>42524</v>
      </c>
      <c r="B676" s="3">
        <v>123765501328396</v>
      </c>
      <c r="C676" s="3">
        <f>[1]!nefin_factors__1[[#This Row],[Rm_minus_Rf]]/B675-1</f>
        <v>9.8306208917993132E-3</v>
      </c>
      <c r="D676" s="3">
        <v>-190533048244261</v>
      </c>
      <c r="E676" s="3">
        <f>[1]!nefin_factors__1[[#This Row],[SMB]]/D675-1</f>
        <v>-2.0499009429591677</v>
      </c>
      <c r="F676" s="3">
        <v>253521318809772</v>
      </c>
      <c r="G676" s="3">
        <f>[1]!nefin_factors__1[[#This Row],[HML]]/F675-1</f>
        <v>-0.49974120844032988</v>
      </c>
      <c r="H676" s="3">
        <v>523917790096862</v>
      </c>
      <c r="I676" s="4">
        <f>[1]!nefin_factors__1[[#This Row],[Risk_Free]]/H675-1</f>
        <v>0</v>
      </c>
      <c r="J676">
        <v>58580</v>
      </c>
      <c r="K676">
        <v>58910</v>
      </c>
      <c r="L676">
        <v>57506</v>
      </c>
      <c r="M676">
        <v>57901</v>
      </c>
      <c r="N676">
        <v>4077700</v>
      </c>
      <c r="O676">
        <v>57901</v>
      </c>
      <c r="P676">
        <v>-1.15066154502774E-2</v>
      </c>
      <c r="Q676">
        <v>-1.1573328806887001E-2</v>
      </c>
      <c r="R676" s="8">
        <v>18.503055572509801</v>
      </c>
      <c r="S676" s="8">
        <v>-8.8301014642151506E-3</v>
      </c>
      <c r="T676" s="9">
        <v>-8.8693178371959894E-3</v>
      </c>
      <c r="U676" s="12">
        <v>5.2531000000000001E-2</v>
      </c>
      <c r="V676" s="16">
        <v>3.1671999999999998</v>
      </c>
      <c r="W676" s="17">
        <f t="shared" si="10"/>
        <v>2.215049680399872E-3</v>
      </c>
    </row>
    <row r="677" spans="1:23" x14ac:dyDescent="0.2">
      <c r="A677" s="15">
        <v>42527</v>
      </c>
      <c r="B677" s="5">
        <v>-450349146325512</v>
      </c>
      <c r="C677" s="5">
        <f>[1]!nefin_factors__1[[#This Row],[Rm_minus_Rf]]/B676-1</f>
        <v>-4.6387292217285001</v>
      </c>
      <c r="D677" s="5">
        <v>505064220428441</v>
      </c>
      <c r="E677" s="5">
        <f>[1]!nefin_factors__1[[#This Row],[SMB]]/D676-1</f>
        <v>-3.6507958859764575</v>
      </c>
      <c r="F677" s="5">
        <v>30276116876673</v>
      </c>
      <c r="G677" s="5">
        <f>[1]!nefin_factors__1[[#This Row],[HML]]/F676-1</f>
        <v>-0.88057762945217843</v>
      </c>
      <c r="H677" s="5">
        <v>52356983581614</v>
      </c>
      <c r="I677" s="6">
        <f>[1]!nefin_factors__1[[#This Row],[Risk_Free]]/H676-1</f>
        <v>-0.90006641390830755</v>
      </c>
      <c r="J677">
        <v>57901</v>
      </c>
      <c r="K677">
        <v>58417</v>
      </c>
      <c r="L677">
        <v>57638</v>
      </c>
      <c r="M677">
        <v>58236</v>
      </c>
      <c r="N677">
        <v>3687600</v>
      </c>
      <c r="O677">
        <v>58236</v>
      </c>
      <c r="P677">
        <v>5.78573772473701E-3</v>
      </c>
      <c r="Q677">
        <v>5.7690646241070299E-3</v>
      </c>
      <c r="R677" s="8">
        <v>18.470087051391602</v>
      </c>
      <c r="S677" s="8">
        <v>-1.78175335575859E-3</v>
      </c>
      <c r="T677" s="9">
        <v>-1.78334256627029E-3</v>
      </c>
      <c r="U677" s="12">
        <v>5.2531000000000001E-2</v>
      </c>
      <c r="V677" s="16">
        <v>3.1749000000000001</v>
      </c>
      <c r="W677" s="17">
        <f t="shared" si="10"/>
        <v>2.4311694872443113E-3</v>
      </c>
    </row>
    <row r="678" spans="1:23" x14ac:dyDescent="0.2">
      <c r="A678" s="14">
        <v>42528</v>
      </c>
      <c r="B678" s="3">
        <v>-308388258852696</v>
      </c>
      <c r="C678" s="3">
        <f>[1]!nefin_factors__1[[#This Row],[Rm_minus_Rf]]/B677-1</f>
        <v>-0.31522406255480451</v>
      </c>
      <c r="D678" s="3">
        <v>-153598957325809</v>
      </c>
      <c r="E678" s="3">
        <f>[1]!nefin_factors__1[[#This Row],[SMB]]/D677-1</f>
        <v>-1.304117676749132</v>
      </c>
      <c r="F678" s="3">
        <v>-529090986559915</v>
      </c>
      <c r="G678" s="3">
        <f>[1]!nefin_factors__1[[#This Row],[HML]]/F677-1</f>
        <v>-18.475523321406072</v>
      </c>
      <c r="H678" s="3">
        <v>52356983581614</v>
      </c>
      <c r="I678" s="4">
        <f>[1]!nefin_factors__1[[#This Row],[Risk_Free]]/H677-1</f>
        <v>0</v>
      </c>
      <c r="J678">
        <v>58241</v>
      </c>
      <c r="K678">
        <v>59655</v>
      </c>
      <c r="L678">
        <v>58241</v>
      </c>
      <c r="M678">
        <v>59616</v>
      </c>
      <c r="N678">
        <v>3771500</v>
      </c>
      <c r="O678">
        <v>59616</v>
      </c>
      <c r="P678">
        <v>2.3696682464454898E-2</v>
      </c>
      <c r="Q678">
        <v>2.3420274208098401E-2</v>
      </c>
      <c r="R678" s="8">
        <v>18.7997646331787</v>
      </c>
      <c r="S678" s="8">
        <v>1.78493366731012E-2</v>
      </c>
      <c r="T678" s="9">
        <v>1.7691907836547699E-2</v>
      </c>
      <c r="U678" s="12">
        <v>5.2531000000000001E-2</v>
      </c>
      <c r="V678" s="16">
        <v>3.2248000000000001</v>
      </c>
      <c r="W678" s="17">
        <f t="shared" si="10"/>
        <v>1.5717030457652159E-2</v>
      </c>
    </row>
    <row r="679" spans="1:23" x14ac:dyDescent="0.2">
      <c r="A679" s="15">
        <v>42529</v>
      </c>
      <c r="B679" s="5">
        <v>197950515524357</v>
      </c>
      <c r="C679" s="5">
        <f>[1]!nefin_factors__1[[#This Row],[Rm_minus_Rf]]/B678-1</f>
        <v>-1.641887328203729</v>
      </c>
      <c r="D679" s="5">
        <v>198400109121089</v>
      </c>
      <c r="E679" s="5">
        <f>[1]!nefin_factors__1[[#This Row],[SMB]]/D678-1</f>
        <v>-2.2916761453025316</v>
      </c>
      <c r="F679" s="5">
        <v>179220578616336</v>
      </c>
      <c r="G679" s="5">
        <f>[1]!nefin_factors__1[[#This Row],[HML]]/F678-1</f>
        <v>-1.3387330027706696</v>
      </c>
      <c r="H679" s="5">
        <v>523221851159716</v>
      </c>
      <c r="I679" s="6">
        <f>[1]!nefin_factors__1[[#This Row],[Risk_Free]]/H678-1</f>
        <v>8.9933536152654483</v>
      </c>
      <c r="J679">
        <v>59616</v>
      </c>
      <c r="K679">
        <v>59986</v>
      </c>
      <c r="L679">
        <v>59402</v>
      </c>
      <c r="M679">
        <v>59566</v>
      </c>
      <c r="N679">
        <v>1824900</v>
      </c>
      <c r="O679">
        <v>59566</v>
      </c>
      <c r="P679">
        <v>-8.3870101986038804E-4</v>
      </c>
      <c r="Q679">
        <v>-8.3905292633738502E-4</v>
      </c>
      <c r="R679" s="8">
        <v>18.9563598632812</v>
      </c>
      <c r="S679" s="8">
        <v>8.3295173102078107E-3</v>
      </c>
      <c r="T679" s="9">
        <v>8.2950183217895893E-3</v>
      </c>
      <c r="U679" s="12">
        <v>5.2531000000000001E-2</v>
      </c>
      <c r="V679" s="16">
        <v>3.2214999999999998</v>
      </c>
      <c r="W679" s="17">
        <f t="shared" si="10"/>
        <v>-1.0233192756140541E-3</v>
      </c>
    </row>
    <row r="680" spans="1:23" x14ac:dyDescent="0.2">
      <c r="A680" s="14">
        <v>42530</v>
      </c>
      <c r="B680" s="3">
        <v>-861332566248958</v>
      </c>
      <c r="C680" s="3">
        <f>[1]!nefin_factors__1[[#This Row],[Rm_minus_Rf]]/B679-1</f>
        <v>-5.3512519478282163</v>
      </c>
      <c r="D680" s="3">
        <v>381932750872674</v>
      </c>
      <c r="E680" s="3">
        <f>[1]!nefin_factors__1[[#This Row],[SMB]]/D679-1</f>
        <v>0.92506320971612976</v>
      </c>
      <c r="F680" s="3">
        <v>-748795463769759</v>
      </c>
      <c r="G680" s="3">
        <f>[1]!nefin_factors__1[[#This Row],[HML]]/F679-1</f>
        <v>-5.1780663222426737</v>
      </c>
      <c r="H680" s="3">
        <v>524265714006766</v>
      </c>
      <c r="I680" s="4">
        <f>[1]!nefin_factors__1[[#This Row],[Risk_Free]]/H679-1</f>
        <v>1.9950673786583994E-3</v>
      </c>
      <c r="J680">
        <v>59566</v>
      </c>
      <c r="K680">
        <v>60129</v>
      </c>
      <c r="L680">
        <v>59182</v>
      </c>
      <c r="M680">
        <v>60129</v>
      </c>
      <c r="N680">
        <v>3150500</v>
      </c>
      <c r="O680">
        <v>60129</v>
      </c>
      <c r="P680">
        <v>9.4517006345902193E-3</v>
      </c>
      <c r="Q680">
        <v>9.4073127867191492E-3</v>
      </c>
      <c r="R680" s="8">
        <v>19.442632675170898</v>
      </c>
      <c r="S680" s="8">
        <v>2.56522764773446E-2</v>
      </c>
      <c r="T680" s="9">
        <v>2.53287774895356E-2</v>
      </c>
      <c r="U680" s="12">
        <v>5.2531000000000001E-2</v>
      </c>
      <c r="V680" s="16">
        <v>3.2267000000000001</v>
      </c>
      <c r="W680" s="17">
        <f t="shared" si="10"/>
        <v>1.6141548967874009E-3</v>
      </c>
    </row>
    <row r="681" spans="1:23" x14ac:dyDescent="0.2">
      <c r="A681" s="15">
        <v>42531</v>
      </c>
      <c r="B681" s="5">
        <v>-310706363832913</v>
      </c>
      <c r="C681" s="5">
        <f>[1]!nefin_factors__1[[#This Row],[Rm_minus_Rf]]/B680-1</f>
        <v>-0.63927247615167149</v>
      </c>
      <c r="D681" s="5">
        <v>366136375511952</v>
      </c>
      <c r="E681" s="5">
        <f>[1]!nefin_factors__1[[#This Row],[SMB]]/D680-1</f>
        <v>-4.1359049007001936E-2</v>
      </c>
      <c r="F681" s="5">
        <v>-845563643964045</v>
      </c>
      <c r="G681" s="5">
        <f>[1]!nefin_factors__1[[#This Row],[HML]]/F680-1</f>
        <v>0.12923179276102092</v>
      </c>
      <c r="H681" s="5">
        <v>524265714006766</v>
      </c>
      <c r="I681" s="6">
        <f>[1]!nefin_factors__1[[#This Row],[Risk_Free]]/H680-1</f>
        <v>0</v>
      </c>
      <c r="J681">
        <v>60129</v>
      </c>
      <c r="K681">
        <v>60310</v>
      </c>
      <c r="L681">
        <v>59743</v>
      </c>
      <c r="M681">
        <v>60232</v>
      </c>
      <c r="N681">
        <v>3843900</v>
      </c>
      <c r="O681">
        <v>60232</v>
      </c>
      <c r="P681">
        <v>1.71298375160078E-3</v>
      </c>
      <c r="Q681">
        <v>1.71151826826158E-3</v>
      </c>
      <c r="R681" s="8">
        <v>19.5745029449463</v>
      </c>
      <c r="S681" s="8">
        <v>6.78259594111719E-3</v>
      </c>
      <c r="T681" s="9">
        <v>6.75969761899964E-3</v>
      </c>
      <c r="U681" s="12">
        <v>5.2531000000000001E-2</v>
      </c>
      <c r="V681" s="16">
        <v>3.2162999999999999</v>
      </c>
      <c r="W681" s="17">
        <f t="shared" si="10"/>
        <v>-3.2231071993058524E-3</v>
      </c>
    </row>
    <row r="682" spans="1:23" x14ac:dyDescent="0.2">
      <c r="A682" s="14">
        <v>42534</v>
      </c>
      <c r="B682" s="3">
        <v>439626780668875</v>
      </c>
      <c r="C682" s="3">
        <f>[1]!nefin_factors__1[[#This Row],[Rm_minus_Rf]]/B681-1</f>
        <v>-2.4149268629247995</v>
      </c>
      <c r="D682" s="3">
        <v>-795542845531271</v>
      </c>
      <c r="E682" s="3">
        <f>[1]!nefin_factors__1[[#This Row],[SMB]]/D681-1</f>
        <v>-3.1728047217895226</v>
      </c>
      <c r="F682" s="3">
        <v>-343329280384996</v>
      </c>
      <c r="G682" s="3">
        <f>[1]!nefin_factors__1[[#This Row],[HML]]/F681-1</f>
        <v>-0.59396399923789178</v>
      </c>
      <c r="H682" s="3">
        <v>524265714006766</v>
      </c>
      <c r="I682" s="4">
        <f>[1]!nefin_factors__1[[#This Row],[Risk_Free]]/H681-1</f>
        <v>0</v>
      </c>
      <c r="J682">
        <v>60220</v>
      </c>
      <c r="K682">
        <v>60220</v>
      </c>
      <c r="L682">
        <v>57961</v>
      </c>
      <c r="M682">
        <v>58000</v>
      </c>
      <c r="N682">
        <v>3992900</v>
      </c>
      <c r="O682">
        <v>58000</v>
      </c>
      <c r="P682">
        <v>-3.7056714039048998E-2</v>
      </c>
      <c r="Q682">
        <v>-3.7760762001401799E-2</v>
      </c>
      <c r="R682" s="8">
        <v>19.203617095947301</v>
      </c>
      <c r="S682" s="8">
        <v>-1.8947461713132701E-2</v>
      </c>
      <c r="T682" s="9">
        <v>-1.91292650028583E-2</v>
      </c>
      <c r="U682" s="12">
        <v>5.2531000000000001E-2</v>
      </c>
      <c r="V682" s="16">
        <v>3.2054</v>
      </c>
      <c r="W682" s="17">
        <f t="shared" si="10"/>
        <v>-3.3889873457078057E-3</v>
      </c>
    </row>
    <row r="683" spans="1:23" x14ac:dyDescent="0.2">
      <c r="A683" s="15">
        <v>42535</v>
      </c>
      <c r="B683" s="5">
        <v>-200623348917911</v>
      </c>
      <c r="C683" s="5">
        <f>[1]!nefin_factors__1[[#This Row],[Rm_minus_Rf]]/B682-1</f>
        <v>-1.4563492438123773</v>
      </c>
      <c r="D683" s="5">
        <v>-298233930202081</v>
      </c>
      <c r="E683" s="5">
        <f>[1]!nefin_factors__1[[#This Row],[SMB]]/D682-1</f>
        <v>-0.62511895886271529</v>
      </c>
      <c r="F683" s="5">
        <v>-769851045531459</v>
      </c>
      <c r="G683" s="5">
        <f>[1]!nefin_factors__1[[#This Row],[HML]]/F682-1</f>
        <v>1.2423110684535215</v>
      </c>
      <c r="H683" s="5">
        <v>524265714006766</v>
      </c>
      <c r="I683" s="6">
        <f>[1]!nefin_factors__1[[#This Row],[Risk_Free]]/H682-1</f>
        <v>0</v>
      </c>
      <c r="J683">
        <v>57998</v>
      </c>
      <c r="K683">
        <v>58595</v>
      </c>
      <c r="L683">
        <v>57511</v>
      </c>
      <c r="M683">
        <v>58586</v>
      </c>
      <c r="N683">
        <v>3529200</v>
      </c>
      <c r="O683">
        <v>58586</v>
      </c>
      <c r="P683">
        <v>1.0103448275861999E-2</v>
      </c>
      <c r="Q683">
        <v>1.00527496436916E-2</v>
      </c>
      <c r="R683" s="8">
        <v>19.409664154052699</v>
      </c>
      <c r="S683" s="8">
        <v>1.07295300816044E-2</v>
      </c>
      <c r="T683" s="9">
        <v>1.0672377126495901E-2</v>
      </c>
      <c r="U683" s="12">
        <v>5.2531000000000001E-2</v>
      </c>
      <c r="V683" s="16">
        <v>3.2372000000000001</v>
      </c>
      <c r="W683" s="17">
        <f t="shared" si="10"/>
        <v>9.9207587196605829E-3</v>
      </c>
    </row>
    <row r="684" spans="1:23" x14ac:dyDescent="0.2">
      <c r="A684" s="14">
        <v>42536</v>
      </c>
      <c r="B684" s="3">
        <v>425061692666562</v>
      </c>
      <c r="C684" s="3">
        <f>[1]!nefin_factors__1[[#This Row],[Rm_minus_Rf]]/B683-1</f>
        <v>-3.1187050009841295</v>
      </c>
      <c r="D684" s="3">
        <v>341618057115562</v>
      </c>
      <c r="E684" s="3">
        <f>[1]!nefin_factors__1[[#This Row],[SMB]]/D683-1</f>
        <v>-2.1454701243553482</v>
      </c>
      <c r="F684" s="3">
        <v>455390968034887</v>
      </c>
      <c r="G684" s="3">
        <f>[1]!nefin_factors__1[[#This Row],[HML]]/F683-1</f>
        <v>-1.5915312717676604</v>
      </c>
      <c r="H684" s="3">
        <v>524265714006766</v>
      </c>
      <c r="I684" s="4">
        <f>[1]!nefin_factors__1[[#This Row],[Risk_Free]]/H683-1</f>
        <v>0</v>
      </c>
      <c r="J684">
        <v>58580</v>
      </c>
      <c r="K684">
        <v>58580</v>
      </c>
      <c r="L684">
        <v>56459</v>
      </c>
      <c r="M684">
        <v>56821</v>
      </c>
      <c r="N684">
        <v>4377800</v>
      </c>
      <c r="O684">
        <v>56821</v>
      </c>
      <c r="P684">
        <v>-3.0126651418427599E-2</v>
      </c>
      <c r="Q684">
        <v>-3.0589784482119398E-2</v>
      </c>
      <c r="R684" s="8">
        <v>18.9563598632812</v>
      </c>
      <c r="S684" s="8">
        <v>-2.3354547858794001E-2</v>
      </c>
      <c r="T684" s="9">
        <v>-2.3631587232172801E-2</v>
      </c>
      <c r="U684" s="12">
        <v>5.2531000000000001E-2</v>
      </c>
      <c r="V684" s="16">
        <v>3.2319</v>
      </c>
      <c r="W684" s="17">
        <f t="shared" si="10"/>
        <v>-1.6372173483257813E-3</v>
      </c>
    </row>
    <row r="685" spans="1:23" x14ac:dyDescent="0.2">
      <c r="A685" s="15">
        <v>42537</v>
      </c>
      <c r="B685" s="5">
        <v>807551625167749</v>
      </c>
      <c r="C685" s="5">
        <f>[1]!nefin_factors__1[[#This Row],[Rm_minus_Rf]]/B684-1</f>
        <v>0.8998456908729946</v>
      </c>
      <c r="D685" s="5">
        <v>-508355193427648</v>
      </c>
      <c r="E685" s="5">
        <f>[1]!nefin_factors__1[[#This Row],[SMB]]/D684-1</f>
        <v>-2.4880805707986404</v>
      </c>
      <c r="F685" s="5">
        <v>-83982969382014</v>
      </c>
      <c r="G685" s="5">
        <f>[1]!nefin_factors__1[[#This Row],[HML]]/F684-1</f>
        <v>-1.1844194884769434</v>
      </c>
      <c r="H685" s="5">
        <v>524265714006766</v>
      </c>
      <c r="I685" s="6">
        <f>[1]!nefin_factors__1[[#This Row],[Risk_Free]]/H684-1</f>
        <v>0</v>
      </c>
      <c r="J685">
        <v>56812</v>
      </c>
      <c r="K685">
        <v>57342</v>
      </c>
      <c r="L685">
        <v>56694</v>
      </c>
      <c r="M685">
        <v>57059</v>
      </c>
      <c r="N685">
        <v>3329100</v>
      </c>
      <c r="O685">
        <v>57059</v>
      </c>
      <c r="P685">
        <v>4.1885922458246797E-3</v>
      </c>
      <c r="Q685">
        <v>4.1798445119433899E-3</v>
      </c>
      <c r="R685" s="8">
        <v>18.948118209838899</v>
      </c>
      <c r="S685" s="8">
        <v>-4.3470820642588199E-4</v>
      </c>
      <c r="T685" s="9">
        <v>-4.3480271942962701E-4</v>
      </c>
      <c r="U685" s="12">
        <v>5.2531000000000001E-2</v>
      </c>
      <c r="V685" s="16">
        <v>3.2153</v>
      </c>
      <c r="W685" s="17">
        <f t="shared" si="10"/>
        <v>-5.1362975339583894E-3</v>
      </c>
    </row>
    <row r="686" spans="1:23" x14ac:dyDescent="0.2">
      <c r="A686" s="14">
        <v>42538</v>
      </c>
      <c r="B686" s="3">
        <v>143475907937571</v>
      </c>
      <c r="C686" s="3">
        <f>[1]!nefin_factors__1[[#This Row],[Rm_minus_Rf]]/B685-1</f>
        <v>-0.82233221571714699</v>
      </c>
      <c r="D686" s="3">
        <v>148947436161198</v>
      </c>
      <c r="E686" s="3">
        <f>[1]!nefin_factors__1[[#This Row],[SMB]]/D685-1</f>
        <v>-1.2929987498640496</v>
      </c>
      <c r="F686" s="3">
        <v>571960561582833</v>
      </c>
      <c r="G686" s="3">
        <f>[1]!nefin_factors__1[[#This Row],[HML]]/F685-1</f>
        <v>-7.8104350892994914</v>
      </c>
      <c r="H686" s="3">
        <v>524265714006766</v>
      </c>
      <c r="I686" s="4">
        <f>[1]!nefin_factors__1[[#This Row],[Risk_Free]]/H685-1</f>
        <v>0</v>
      </c>
      <c r="J686">
        <v>57068</v>
      </c>
      <c r="K686">
        <v>58127</v>
      </c>
      <c r="L686">
        <v>57068</v>
      </c>
      <c r="M686">
        <v>57909</v>
      </c>
      <c r="N686">
        <v>2812000</v>
      </c>
      <c r="O686">
        <v>57909</v>
      </c>
      <c r="P686">
        <v>1.4896861143728299E-2</v>
      </c>
      <c r="Q686">
        <v>1.4786992693912799E-2</v>
      </c>
      <c r="R686" s="8">
        <v>19.327245712280298</v>
      </c>
      <c r="S686" s="8">
        <v>2.0008723029393299E-2</v>
      </c>
      <c r="T686" s="9">
        <v>1.9811179249212899E-2</v>
      </c>
      <c r="U686" s="12">
        <v>5.2531000000000001E-2</v>
      </c>
      <c r="V686" s="16">
        <v>3.2612999999999999</v>
      </c>
      <c r="W686" s="17">
        <f t="shared" si="10"/>
        <v>1.4306596585077491E-2</v>
      </c>
    </row>
    <row r="687" spans="1:23" x14ac:dyDescent="0.2">
      <c r="A687" s="15">
        <v>42541</v>
      </c>
      <c r="B687" s="5">
        <v>140245454848155</v>
      </c>
      <c r="C687" s="5">
        <f>[1]!nefin_factors__1[[#This Row],[Rm_minus_Rf]]/B686-1</f>
        <v>-2.2515648347188888E-2</v>
      </c>
      <c r="D687" s="5">
        <v>-707818431891634</v>
      </c>
      <c r="E687" s="5">
        <f>[1]!nefin_factors__1[[#This Row],[SMB]]/D686-1</f>
        <v>-5.7521357207223041</v>
      </c>
      <c r="F687" s="5">
        <v>-233474607318035</v>
      </c>
      <c r="G687" s="5">
        <f>[1]!nefin_factors__1[[#This Row],[HML]]/F686-1</f>
        <v>-1.4082005351416569</v>
      </c>
      <c r="H687" s="5">
        <v>523917790096862</v>
      </c>
      <c r="I687" s="6">
        <f>[1]!nefin_factors__1[[#This Row],[Risk_Free]]/H686-1</f>
        <v>-6.6364040334609964E-4</v>
      </c>
      <c r="J687">
        <v>57909</v>
      </c>
      <c r="K687">
        <v>57909</v>
      </c>
      <c r="L687">
        <v>56794</v>
      </c>
      <c r="M687">
        <v>57080</v>
      </c>
      <c r="N687">
        <v>3710700</v>
      </c>
      <c r="O687">
        <v>57080</v>
      </c>
      <c r="P687">
        <v>-1.43155640746688E-2</v>
      </c>
      <c r="Q687">
        <v>-1.44190203052121E-2</v>
      </c>
      <c r="R687" s="8">
        <v>19.0387783050537</v>
      </c>
      <c r="S687" s="8">
        <v>-1.49254817190233E-2</v>
      </c>
      <c r="T687" s="9">
        <v>-1.5037987594464199E-2</v>
      </c>
      <c r="U687" s="12">
        <v>5.2531000000000001E-2</v>
      </c>
      <c r="V687" s="16">
        <v>3.2524999999999999</v>
      </c>
      <c r="W687" s="17">
        <f t="shared" si="10"/>
        <v>-2.6983104896820542E-3</v>
      </c>
    </row>
    <row r="688" spans="1:23" x14ac:dyDescent="0.2">
      <c r="A688" s="14">
        <v>42542</v>
      </c>
      <c r="B688" s="3">
        <v>907079596215584</v>
      </c>
      <c r="C688" s="3">
        <f>[1]!nefin_factors__1[[#This Row],[Rm_minus_Rf]]/B687-1</f>
        <v>5.4678003090915643</v>
      </c>
      <c r="D688" s="3">
        <v>-555323030193557</v>
      </c>
      <c r="E688" s="3">
        <f>[1]!nefin_factors__1[[#This Row],[SMB]]/D687-1</f>
        <v>-0.21544423658272838</v>
      </c>
      <c r="F688" s="3">
        <v>-114277378706207</v>
      </c>
      <c r="G688" s="3">
        <f>[1]!nefin_factors__1[[#This Row],[HML]]/F687-1</f>
        <v>-0.51053615629154758</v>
      </c>
      <c r="H688" s="3">
        <v>523917790096862</v>
      </c>
      <c r="I688" s="4">
        <f>[1]!nefin_factors__1[[#This Row],[Risk_Free]]/H687-1</f>
        <v>0</v>
      </c>
      <c r="J688">
        <v>57083</v>
      </c>
      <c r="K688">
        <v>58025</v>
      </c>
      <c r="L688">
        <v>57083</v>
      </c>
      <c r="M688">
        <v>57350</v>
      </c>
      <c r="N688">
        <v>2691100</v>
      </c>
      <c r="O688">
        <v>57350</v>
      </c>
      <c r="P688">
        <v>4.7302032235458898E-3</v>
      </c>
      <c r="Q688">
        <v>4.7190509667440197E-3</v>
      </c>
      <c r="R688" s="8">
        <v>18.964601516723601</v>
      </c>
      <c r="S688" s="8">
        <v>-3.8959573227593798E-3</v>
      </c>
      <c r="T688" s="9">
        <v>-3.9035663338410501E-3</v>
      </c>
      <c r="U688" s="12">
        <v>5.2531000000000001E-2</v>
      </c>
      <c r="V688" s="16">
        <v>3.2403</v>
      </c>
      <c r="W688" s="17">
        <f t="shared" si="10"/>
        <v>-3.7509607993850835E-3</v>
      </c>
    </row>
    <row r="689" spans="1:23" x14ac:dyDescent="0.2">
      <c r="A689" s="15">
        <v>42543</v>
      </c>
      <c r="B689" s="5">
        <v>-115804957897497</v>
      </c>
      <c r="C689" s="5">
        <f>[1]!nefin_factors__1[[#This Row],[Rm_minus_Rf]]/B688-1</f>
        <v>-1.1276679118135227</v>
      </c>
      <c r="D689" s="5">
        <v>19597480837905</v>
      </c>
      <c r="E689" s="5">
        <f>[1]!nefin_factors__1[[#This Row],[SMB]]/D688-1</f>
        <v>-1.0352902360830853</v>
      </c>
      <c r="F689" s="5">
        <v>208295743737943</v>
      </c>
      <c r="G689" s="5">
        <f>[1]!nefin_factors__1[[#This Row],[HML]]/F688-1</f>
        <v>-2.8227207002485208</v>
      </c>
      <c r="H689" s="5">
        <v>524265714006766</v>
      </c>
      <c r="I689" s="6">
        <f>[1]!nefin_factors__1[[#This Row],[Risk_Free]]/H688-1</f>
        <v>6.6408111440474649E-4</v>
      </c>
      <c r="J689">
        <v>57356</v>
      </c>
      <c r="K689">
        <v>57902</v>
      </c>
      <c r="L689">
        <v>57356</v>
      </c>
      <c r="M689">
        <v>57736</v>
      </c>
      <c r="N689">
        <v>3001000</v>
      </c>
      <c r="O689">
        <v>57736</v>
      </c>
      <c r="P689">
        <v>6.73060156931116E-3</v>
      </c>
      <c r="Q689">
        <v>6.7080521945923196E-3</v>
      </c>
      <c r="R689" s="8">
        <v>19.129440307617202</v>
      </c>
      <c r="S689" s="8">
        <v>8.6919509307599192E-3</v>
      </c>
      <c r="T689" s="9">
        <v>8.6543934004979905E-3</v>
      </c>
      <c r="U689" s="12">
        <v>5.2531000000000001E-2</v>
      </c>
      <c r="V689" s="16">
        <v>3.2471999999999999</v>
      </c>
      <c r="W689" s="17">
        <f t="shared" si="10"/>
        <v>2.1294324599574477E-3</v>
      </c>
    </row>
    <row r="690" spans="1:23" x14ac:dyDescent="0.2">
      <c r="A690" s="14">
        <v>42544</v>
      </c>
      <c r="B690" s="3">
        <v>25658814981795</v>
      </c>
      <c r="C690" s="3">
        <f>[1]!nefin_factors__1[[#This Row],[Rm_minus_Rf]]/B689-1</f>
        <v>-1.221569226807254</v>
      </c>
      <c r="D690" s="3">
        <v>864980937258104</v>
      </c>
      <c r="E690" s="3">
        <f>[1]!nefin_factors__1[[#This Row],[SMB]]/D689-1</f>
        <v>43.137353388047593</v>
      </c>
      <c r="F690" s="3">
        <v>886712810726748</v>
      </c>
      <c r="G690" s="3">
        <f>[1]!nefin_factors__1[[#This Row],[HML]]/F689-1</f>
        <v>3.2569895803647428</v>
      </c>
      <c r="H690" s="3">
        <v>524265714006766</v>
      </c>
      <c r="I690" s="4">
        <f>[1]!nefin_factors__1[[#This Row],[Risk_Free]]/H689-1</f>
        <v>0</v>
      </c>
      <c r="J690">
        <v>57736</v>
      </c>
      <c r="K690">
        <v>58575</v>
      </c>
      <c r="L690">
        <v>57326</v>
      </c>
      <c r="M690">
        <v>58394</v>
      </c>
      <c r="N690">
        <v>3889700</v>
      </c>
      <c r="O690">
        <v>58394</v>
      </c>
      <c r="P690">
        <v>1.1396702230843899E-2</v>
      </c>
      <c r="Q690">
        <v>1.1332249060094699E-2</v>
      </c>
      <c r="R690" s="8">
        <v>19.607469558715799</v>
      </c>
      <c r="S690" s="8">
        <v>2.49890882768753E-2</v>
      </c>
      <c r="T690" s="9">
        <v>2.4681966950170602E-2</v>
      </c>
      <c r="U690" s="12">
        <v>5.2531000000000001E-2</v>
      </c>
      <c r="V690" s="16">
        <v>3.2431000000000001</v>
      </c>
      <c r="W690" s="17">
        <f t="shared" si="10"/>
        <v>-1.2626262626261875E-3</v>
      </c>
    </row>
    <row r="691" spans="1:23" x14ac:dyDescent="0.2">
      <c r="A691" s="15">
        <v>42545</v>
      </c>
      <c r="B691" s="5">
        <v>-255909604158458</v>
      </c>
      <c r="C691" s="5">
        <f>[1]!nefin_factors__1[[#This Row],[Rm_minus_Rf]]/B690-1</f>
        <v>-10.973555066359323</v>
      </c>
      <c r="D691" s="5">
        <v>884263961282296</v>
      </c>
      <c r="E691" s="5">
        <f>[1]!nefin_factors__1[[#This Row],[SMB]]/D690-1</f>
        <v>2.2293004612699452E-2</v>
      </c>
      <c r="F691" s="5">
        <v>-619762423780935</v>
      </c>
      <c r="G691" s="5">
        <f>[1]!nefin_factors__1[[#This Row],[HML]]/F690-1</f>
        <v>-1.6989438026422321</v>
      </c>
      <c r="H691" s="5">
        <v>523917790096862</v>
      </c>
      <c r="I691" s="6">
        <f>[1]!nefin_factors__1[[#This Row],[Risk_Free]]/H690-1</f>
        <v>-6.6364040334609964E-4</v>
      </c>
      <c r="J691">
        <v>58408</v>
      </c>
      <c r="K691">
        <v>59462</v>
      </c>
      <c r="L691">
        <v>58408</v>
      </c>
      <c r="M691">
        <v>58994</v>
      </c>
      <c r="N691">
        <v>3365300</v>
      </c>
      <c r="O691">
        <v>58994</v>
      </c>
      <c r="P691">
        <v>1.02750282563278E-2</v>
      </c>
      <c r="Q691">
        <v>1.0222598989120001E-2</v>
      </c>
      <c r="R691" s="8">
        <v>19.945388793945298</v>
      </c>
      <c r="S691" s="8">
        <v>1.7234312596040999E-2</v>
      </c>
      <c r="T691" s="9">
        <v>1.70874863956849E-2</v>
      </c>
      <c r="U691" s="12">
        <v>5.2531000000000001E-2</v>
      </c>
      <c r="V691" s="16">
        <v>3.2721</v>
      </c>
      <c r="W691" s="17">
        <f t="shared" si="10"/>
        <v>8.9420616077209303E-3</v>
      </c>
    </row>
    <row r="692" spans="1:23" x14ac:dyDescent="0.2">
      <c r="A692" s="14">
        <v>42548</v>
      </c>
      <c r="B692" s="3">
        <v>-14869064507605</v>
      </c>
      <c r="C692" s="3">
        <f>[1]!nefin_factors__1[[#This Row],[Rm_minus_Rf]]/B691-1</f>
        <v>-0.94189720015979495</v>
      </c>
      <c r="D692" s="3">
        <v>-339821050504412</v>
      </c>
      <c r="E692" s="3">
        <f>[1]!nefin_factors__1[[#This Row],[SMB]]/D691-1</f>
        <v>-1.3842982021020376</v>
      </c>
      <c r="F692" s="3">
        <v>-116630198664804</v>
      </c>
      <c r="G692" s="3">
        <f>[1]!nefin_factors__1[[#This Row],[HML]]/F691-1</f>
        <v>-0.81181466608884179</v>
      </c>
      <c r="H692" s="3">
        <v>523917790096862</v>
      </c>
      <c r="I692" s="4">
        <f>[1]!nefin_factors__1[[#This Row],[Risk_Free]]/H691-1</f>
        <v>0</v>
      </c>
      <c r="J692">
        <v>58992</v>
      </c>
      <c r="K692">
        <v>59131</v>
      </c>
      <c r="L692">
        <v>58409</v>
      </c>
      <c r="M692">
        <v>58697</v>
      </c>
      <c r="N692">
        <v>2809900</v>
      </c>
      <c r="O692">
        <v>58697</v>
      </c>
      <c r="P692">
        <v>-5.0344102790114099E-3</v>
      </c>
      <c r="Q692">
        <v>-5.0471256165431E-3</v>
      </c>
      <c r="R692" s="8">
        <v>19.623954772949201</v>
      </c>
      <c r="S692" s="8">
        <v>-1.6115720778533502E-2</v>
      </c>
      <c r="T692" s="9">
        <v>-1.6246991262799E-2</v>
      </c>
      <c r="U692" s="12">
        <v>5.2531000000000001E-2</v>
      </c>
      <c r="V692" s="16">
        <v>3.2452000000000001</v>
      </c>
      <c r="W692" s="17">
        <f t="shared" si="10"/>
        <v>-8.2210201399712801E-3</v>
      </c>
    </row>
    <row r="693" spans="1:23" x14ac:dyDescent="0.2">
      <c r="A693" s="15">
        <v>42549</v>
      </c>
      <c r="B693" s="5">
        <v>159887510156358</v>
      </c>
      <c r="C693" s="5">
        <f>[1]!nefin_factors__1[[#This Row],[Rm_minus_Rf]]/B692-1</f>
        <v>-11.753030903496397</v>
      </c>
      <c r="D693" s="5">
        <v>824648420513537</v>
      </c>
      <c r="E693" s="5">
        <f>[1]!nefin_factors__1[[#This Row],[SMB]]/D692-1</f>
        <v>-3.4267137638750556</v>
      </c>
      <c r="F693" s="5">
        <v>17289274429493</v>
      </c>
      <c r="G693" s="5">
        <f>[1]!nefin_factors__1[[#This Row],[HML]]/F692-1</f>
        <v>-1.1482401181462658</v>
      </c>
      <c r="H693" s="5">
        <v>524265714006766</v>
      </c>
      <c r="I693" s="6">
        <f>[1]!nefin_factors__1[[#This Row],[Risk_Free]]/H692-1</f>
        <v>6.6408111440474649E-4</v>
      </c>
      <c r="J693">
        <v>58697</v>
      </c>
      <c r="K693">
        <v>58697</v>
      </c>
      <c r="L693">
        <v>57904</v>
      </c>
      <c r="M693">
        <v>58054</v>
      </c>
      <c r="N693">
        <v>2108800</v>
      </c>
      <c r="O693">
        <v>58054</v>
      </c>
      <c r="P693">
        <v>-1.09545632655843E-2</v>
      </c>
      <c r="Q693">
        <v>-1.10150063172427E-2</v>
      </c>
      <c r="R693" s="8">
        <v>19.335487365722699</v>
      </c>
      <c r="S693" s="8">
        <v>-1.46999118683456E-2</v>
      </c>
      <c r="T693" s="9">
        <v>-1.4809026207193999E-2</v>
      </c>
      <c r="U693" s="12">
        <v>5.2531000000000001E-2</v>
      </c>
      <c r="V693" s="16">
        <v>3.1934</v>
      </c>
      <c r="W693" s="17">
        <f t="shared" si="10"/>
        <v>-1.5962036238136301E-2</v>
      </c>
    </row>
    <row r="694" spans="1:23" x14ac:dyDescent="0.2">
      <c r="A694" s="14">
        <v>42550</v>
      </c>
      <c r="B694" s="3">
        <v>180509100210565</v>
      </c>
      <c r="C694" s="3">
        <f>[1]!nefin_factors__1[[#This Row],[Rm_minus_Rf]]/B693-1</f>
        <v>0.12897561563151894</v>
      </c>
      <c r="D694" s="3">
        <v>720801717469597</v>
      </c>
      <c r="E694" s="3">
        <f>[1]!nefin_factors__1[[#This Row],[SMB]]/D693-1</f>
        <v>-0.12592845685591814</v>
      </c>
      <c r="F694" s="3">
        <v>-409199716667132</v>
      </c>
      <c r="G694" s="3">
        <f>[1]!nefin_factors__1[[#This Row],[HML]]/F693-1</f>
        <v>-24.667836284043041</v>
      </c>
      <c r="H694" s="3">
        <v>523917790096862</v>
      </c>
      <c r="I694" s="4">
        <f>[1]!nefin_factors__1[[#This Row],[Risk_Free]]/H693-1</f>
        <v>-6.6364040334609964E-4</v>
      </c>
      <c r="J694">
        <v>58066</v>
      </c>
      <c r="K694">
        <v>58490</v>
      </c>
      <c r="L694">
        <v>57411</v>
      </c>
      <c r="M694">
        <v>58382</v>
      </c>
      <c r="N694">
        <v>2953400</v>
      </c>
      <c r="O694">
        <v>58382</v>
      </c>
      <c r="P694">
        <v>5.6499121507562798E-3</v>
      </c>
      <c r="Q694">
        <v>5.63401126140503E-3</v>
      </c>
      <c r="R694" s="8">
        <v>19.549776077270501</v>
      </c>
      <c r="S694" s="8">
        <v>1.1082538347131399E-2</v>
      </c>
      <c r="T694" s="9">
        <v>1.10215770097358E-2</v>
      </c>
      <c r="U694" s="12">
        <v>5.2531000000000001E-2</v>
      </c>
      <c r="V694" s="16">
        <v>3.2637999999999998</v>
      </c>
      <c r="W694" s="17">
        <f t="shared" si="10"/>
        <v>2.2045468779357424E-2</v>
      </c>
    </row>
    <row r="695" spans="1:23" x14ac:dyDescent="0.2">
      <c r="A695" s="15">
        <v>42551</v>
      </c>
      <c r="B695" s="5">
        <v>755857150827887</v>
      </c>
      <c r="C695" s="5">
        <f>[1]!nefin_factors__1[[#This Row],[Rm_minus_Rf]]/B694-1</f>
        <v>3.1873631298708753</v>
      </c>
      <c r="D695" s="5">
        <v>105317073550188</v>
      </c>
      <c r="E695" s="5">
        <f>[1]!nefin_factors__1[[#This Row],[SMB]]/D694-1</f>
        <v>-0.85388898084218257</v>
      </c>
      <c r="F695" s="5">
        <v>-186931246898399</v>
      </c>
      <c r="G695" s="5">
        <f>[1]!nefin_factors__1[[#This Row],[HML]]/F694-1</f>
        <v>-0.54317845471417991</v>
      </c>
      <c r="H695" s="5">
        <v>524265714006766</v>
      </c>
      <c r="I695" s="6">
        <f>[1]!nefin_factors__1[[#This Row],[Risk_Free]]/H694-1</f>
        <v>6.6408111440474649E-4</v>
      </c>
      <c r="J695">
        <v>58383</v>
      </c>
      <c r="K695">
        <v>59415</v>
      </c>
      <c r="L695">
        <v>58353</v>
      </c>
      <c r="M695">
        <v>59356</v>
      </c>
      <c r="N695">
        <v>3233400</v>
      </c>
      <c r="O695">
        <v>59356</v>
      </c>
      <c r="P695">
        <v>1.66832242814565E-2</v>
      </c>
      <c r="Q695">
        <v>1.6545587997074E-2</v>
      </c>
      <c r="R695" s="8">
        <v>19.7805500030518</v>
      </c>
      <c r="S695" s="8">
        <v>1.18046959048095E-2</v>
      </c>
      <c r="T695" s="9">
        <v>1.1735564004293601E-2</v>
      </c>
      <c r="U695" s="12">
        <v>5.2531000000000001E-2</v>
      </c>
      <c r="V695" s="16">
        <v>3.2854000000000001</v>
      </c>
      <c r="W695" s="17">
        <f t="shared" si="10"/>
        <v>6.6180525767511877E-3</v>
      </c>
    </row>
    <row r="696" spans="1:23" x14ac:dyDescent="0.2">
      <c r="A696" s="14">
        <v>42552</v>
      </c>
      <c r="B696" s="3">
        <v>106964956309319</v>
      </c>
      <c r="C696" s="3">
        <f>[1]!nefin_factors__1[[#This Row],[Rm_minus_Rf]]/B695-1</f>
        <v>-0.85848522278030881</v>
      </c>
      <c r="D696" s="3">
        <v>-535102140150113</v>
      </c>
      <c r="E696" s="3">
        <f>[1]!nefin_factors__1[[#This Row],[SMB]]/D695-1</f>
        <v>-6.0808679173478399</v>
      </c>
      <c r="F696" s="3">
        <v>108424820761968</v>
      </c>
      <c r="G696" s="3">
        <f>[1]!nefin_factors__1[[#This Row],[HML]]/F695-1</f>
        <v>-1.5800251298858512</v>
      </c>
      <c r="H696" s="3">
        <v>524265714006766</v>
      </c>
      <c r="I696" s="4">
        <f>[1]!nefin_factors__1[[#This Row],[Risk_Free]]/H695-1</f>
        <v>0</v>
      </c>
      <c r="J696">
        <v>59346</v>
      </c>
      <c r="K696">
        <v>59621</v>
      </c>
      <c r="L696">
        <v>58292</v>
      </c>
      <c r="M696">
        <v>58351</v>
      </c>
      <c r="N696">
        <v>3200300</v>
      </c>
      <c r="O696">
        <v>58351</v>
      </c>
      <c r="P696">
        <v>-1.6931733944335899E-2</v>
      </c>
      <c r="Q696">
        <v>-1.7076714597585502E-2</v>
      </c>
      <c r="R696" s="8">
        <v>20.036048889160199</v>
      </c>
      <c r="S696" s="8">
        <v>1.29166566130472E-2</v>
      </c>
      <c r="T696" s="9">
        <v>1.28339480546701E-2</v>
      </c>
      <c r="U696" s="12">
        <v>5.2531000000000001E-2</v>
      </c>
      <c r="V696" s="16">
        <v>3.2972000000000001</v>
      </c>
      <c r="W696" s="17">
        <f t="shared" si="10"/>
        <v>3.5916478967552568E-3</v>
      </c>
    </row>
    <row r="697" spans="1:23" x14ac:dyDescent="0.2">
      <c r="A697" s="15">
        <v>42555</v>
      </c>
      <c r="B697" s="5">
        <v>467334387025285</v>
      </c>
      <c r="C697" s="5">
        <f>[1]!nefin_factors__1[[#This Row],[Rm_minus_Rf]]/B696-1</f>
        <v>3.3690420035685076</v>
      </c>
      <c r="D697" s="5">
        <v>352236865617216</v>
      </c>
      <c r="E697" s="5">
        <f>[1]!nefin_factors__1[[#This Row],[SMB]]/D696-1</f>
        <v>-1.6582609920386462</v>
      </c>
      <c r="F697" s="5">
        <v>523911056451261</v>
      </c>
      <c r="G697" s="5">
        <f>[1]!nefin_factors__1[[#This Row],[HML]]/F696-1</f>
        <v>3.8320214206434953</v>
      </c>
      <c r="H697" s="5">
        <v>524265714006766</v>
      </c>
      <c r="I697" s="6">
        <f>[1]!nefin_factors__1[[#This Row],[Risk_Free]]/H696-1</f>
        <v>0</v>
      </c>
      <c r="J697">
        <v>58350</v>
      </c>
      <c r="K697">
        <v>58900</v>
      </c>
      <c r="L697">
        <v>58271</v>
      </c>
      <c r="M697">
        <v>58367</v>
      </c>
      <c r="N697">
        <v>2858200</v>
      </c>
      <c r="O697">
        <v>58367</v>
      </c>
      <c r="P697">
        <v>2.7420267004840698E-4</v>
      </c>
      <c r="Q697">
        <v>2.7416508336703099E-4</v>
      </c>
      <c r="R697" s="8">
        <v>19.8217582702637</v>
      </c>
      <c r="S697" s="8">
        <v>-1.0695331993558699E-2</v>
      </c>
      <c r="T697" s="9">
        <v>-1.07529381697615E-2</v>
      </c>
      <c r="U697" s="12">
        <v>5.2531000000000001E-2</v>
      </c>
      <c r="V697" s="16">
        <v>3.3262</v>
      </c>
      <c r="W697" s="17">
        <f t="shared" si="10"/>
        <v>8.7953415018804382E-3</v>
      </c>
    </row>
    <row r="698" spans="1:23" x14ac:dyDescent="0.2">
      <c r="A698" s="14">
        <v>42556</v>
      </c>
      <c r="B698" s="3">
        <v>-103867961840682</v>
      </c>
      <c r="C698" s="3">
        <f>[1]!nefin_factors__1[[#This Row],[Rm_minus_Rf]]/B697-1</f>
        <v>-1.2222561932620255</v>
      </c>
      <c r="D698" s="3">
        <v>755885758772153</v>
      </c>
      <c r="E698" s="3">
        <f>[1]!nefin_factors__1[[#This Row],[SMB]]/D697-1</f>
        <v>1.1459586788215166</v>
      </c>
      <c r="F698" s="3">
        <v>666882441546599</v>
      </c>
      <c r="G698" s="3">
        <f>[1]!nefin_factors__1[[#This Row],[HML]]/F697-1</f>
        <v>0.27289247542085127</v>
      </c>
      <c r="H698" s="3">
        <v>524265714006766</v>
      </c>
      <c r="I698" s="4">
        <f>[1]!nefin_factors__1[[#This Row],[Risk_Free]]/H697-1</f>
        <v>0</v>
      </c>
      <c r="J698">
        <v>58370</v>
      </c>
      <c r="K698">
        <v>59549</v>
      </c>
      <c r="L698">
        <v>58367</v>
      </c>
      <c r="M698">
        <v>59461</v>
      </c>
      <c r="N698">
        <v>2774100</v>
      </c>
      <c r="O698">
        <v>59461</v>
      </c>
      <c r="P698">
        <v>1.8743468055579401E-2</v>
      </c>
      <c r="Q698">
        <v>1.8569973827795499E-2</v>
      </c>
      <c r="R698" s="8">
        <v>20.489353179931602</v>
      </c>
      <c r="S698" s="8">
        <v>3.3680064118818902E-2</v>
      </c>
      <c r="T698" s="9">
        <v>3.3125312461485798E-2</v>
      </c>
      <c r="U698" s="12">
        <v>5.2531000000000001E-2</v>
      </c>
      <c r="V698" s="16">
        <v>3.3325999999999998</v>
      </c>
      <c r="W698" s="17">
        <f t="shared" si="10"/>
        <v>1.9241176116888692E-3</v>
      </c>
    </row>
    <row r="699" spans="1:23" x14ac:dyDescent="0.2">
      <c r="A699" s="15">
        <v>42557</v>
      </c>
      <c r="B699" s="5">
        <v>-4125968179</v>
      </c>
      <c r="C699" s="5">
        <f>[1]!nefin_factors__1[[#This Row],[Rm_minus_Rf]]/B698-1</f>
        <v>-0.99996027679656097</v>
      </c>
      <c r="D699" s="5">
        <v>479595567368226</v>
      </c>
      <c r="E699" s="5">
        <f>[1]!nefin_factors__1[[#This Row],[SMB]]/D698-1</f>
        <v>-0.3655184506356195</v>
      </c>
      <c r="F699" s="5">
        <v>610562558007282</v>
      </c>
      <c r="G699" s="5">
        <f>[1]!nefin_factors__1[[#This Row],[HML]]/F698-1</f>
        <v>-8.4452491219746073E-2</v>
      </c>
      <c r="H699" s="5">
        <v>523917790096862</v>
      </c>
      <c r="I699" s="6">
        <f>[1]!nefin_factors__1[[#This Row],[Risk_Free]]/H698-1</f>
        <v>-6.6364040334609964E-4</v>
      </c>
      <c r="J699">
        <v>59461</v>
      </c>
      <c r="K699">
        <v>59580</v>
      </c>
      <c r="L699">
        <v>58892</v>
      </c>
      <c r="M699">
        <v>59339</v>
      </c>
      <c r="N699">
        <v>3894600</v>
      </c>
      <c r="O699">
        <v>59339</v>
      </c>
      <c r="P699">
        <v>-2.0517650224517502E-3</v>
      </c>
      <c r="Q699">
        <v>-2.0538727758754099E-3</v>
      </c>
      <c r="R699" s="8">
        <v>20.340999603271499</v>
      </c>
      <c r="S699" s="8">
        <v>-7.2406594265871397E-3</v>
      </c>
      <c r="T699" s="9">
        <v>-7.2670002279190899E-3</v>
      </c>
      <c r="U699" s="12">
        <v>5.2531000000000001E-2</v>
      </c>
      <c r="V699" s="16">
        <v>3.3003999999999998</v>
      </c>
      <c r="W699" s="17">
        <f t="shared" si="10"/>
        <v>-9.6621256676469036E-3</v>
      </c>
    </row>
    <row r="700" spans="1:23" x14ac:dyDescent="0.2">
      <c r="A700" s="14">
        <v>42558</v>
      </c>
      <c r="B700" s="3">
        <v>142822011897785</v>
      </c>
      <c r="C700" s="3">
        <f>[1]!nefin_factors__1[[#This Row],[Rm_minus_Rf]]/B699-1</f>
        <v>-34616.393454731005</v>
      </c>
      <c r="D700" s="3">
        <v>21086103202021</v>
      </c>
      <c r="E700" s="3">
        <f>[1]!nefin_factors__1[[#This Row],[SMB]]/D699-1</f>
        <v>-0.95603357362593921</v>
      </c>
      <c r="F700" s="3">
        <v>-362926813326336</v>
      </c>
      <c r="G700" s="3">
        <f>[1]!nefin_factors__1[[#This Row],[HML]]/F699-1</f>
        <v>-1.5944138050502721</v>
      </c>
      <c r="H700" s="3">
        <v>523917790096862</v>
      </c>
      <c r="I700" s="4">
        <f>[1]!nefin_factors__1[[#This Row],[Risk_Free]]/H699-1</f>
        <v>0</v>
      </c>
      <c r="J700">
        <v>59340</v>
      </c>
      <c r="K700">
        <v>60477</v>
      </c>
      <c r="L700">
        <v>59340</v>
      </c>
      <c r="M700">
        <v>60254</v>
      </c>
      <c r="N700">
        <v>3378900</v>
      </c>
      <c r="O700">
        <v>60254</v>
      </c>
      <c r="P700">
        <v>1.54198756298556E-2</v>
      </c>
      <c r="Q700">
        <v>1.5302197526955099E-2</v>
      </c>
      <c r="R700" s="8">
        <v>20.522321701049801</v>
      </c>
      <c r="S700" s="8">
        <v>8.9142290115369303E-3</v>
      </c>
      <c r="T700" s="9">
        <v>8.8747318232150103E-3</v>
      </c>
      <c r="U700" s="12">
        <v>5.2531000000000001E-2</v>
      </c>
      <c r="V700" s="16">
        <v>3.2635999999999998</v>
      </c>
      <c r="W700" s="17">
        <f t="shared" si="10"/>
        <v>-1.1150163616531317E-2</v>
      </c>
    </row>
    <row r="701" spans="1:23" x14ac:dyDescent="0.2">
      <c r="A701" s="15">
        <v>42559</v>
      </c>
      <c r="B701" s="5">
        <v>202356559898076</v>
      </c>
      <c r="C701" s="5">
        <f>[1]!nefin_factors__1[[#This Row],[Rm_minus_Rf]]/B700-1</f>
        <v>0.41684434499423473</v>
      </c>
      <c r="D701" s="5">
        <v>584144792683442</v>
      </c>
      <c r="E701" s="5">
        <f>[1]!nefin_factors__1[[#This Row],[SMB]]/D700-1</f>
        <v>26.702832860433624</v>
      </c>
      <c r="F701" s="5">
        <v>106558388614633</v>
      </c>
      <c r="G701" s="5">
        <f>[1]!nefin_factors__1[[#This Row],[HML]]/F700-1</f>
        <v>-1.2936084761497575</v>
      </c>
      <c r="H701" s="5">
        <v>524265714006766</v>
      </c>
      <c r="I701" s="6">
        <f>[1]!nefin_factors__1[[#This Row],[Risk_Free]]/H700-1</f>
        <v>6.6408111440474649E-4</v>
      </c>
      <c r="J701">
        <v>60254</v>
      </c>
      <c r="K701">
        <v>60724</v>
      </c>
      <c r="L701">
        <v>60070</v>
      </c>
      <c r="M701">
        <v>60644</v>
      </c>
      <c r="N701">
        <v>3507200</v>
      </c>
      <c r="O701">
        <v>60644</v>
      </c>
      <c r="P701">
        <v>6.4725993295051704E-3</v>
      </c>
      <c r="Q701">
        <v>6.4517420107984003E-3</v>
      </c>
      <c r="R701" s="8">
        <v>20.464626312255898</v>
      </c>
      <c r="S701" s="8">
        <v>-2.8114386780390098E-3</v>
      </c>
      <c r="T701" s="9">
        <v>-2.8153981947928899E-3</v>
      </c>
      <c r="U701" s="12">
        <v>5.2531000000000001E-2</v>
      </c>
      <c r="V701" s="16">
        <v>3.254</v>
      </c>
      <c r="W701" s="17">
        <f t="shared" si="10"/>
        <v>-2.9415369530578772E-3</v>
      </c>
    </row>
    <row r="702" spans="1:23" x14ac:dyDescent="0.2">
      <c r="A702" s="14">
        <v>42562</v>
      </c>
      <c r="B702" s="3">
        <v>154425884267069</v>
      </c>
      <c r="C702" s="3">
        <f>[1]!nefin_factors__1[[#This Row],[Rm_minus_Rf]]/B701-1</f>
        <v>-0.23686247510408842</v>
      </c>
      <c r="D702" s="3">
        <v>104594337356048</v>
      </c>
      <c r="E702" s="3">
        <f>[1]!nefin_factors__1[[#This Row],[SMB]]/D701-1</f>
        <v>-0.82094450097626837</v>
      </c>
      <c r="F702" s="3">
        <v>208820399220189</v>
      </c>
      <c r="G702" s="3">
        <f>[1]!nefin_factors__1[[#This Row],[HML]]/F701-1</f>
        <v>0.95968052759680145</v>
      </c>
      <c r="H702" s="3">
        <v>523917790096862</v>
      </c>
      <c r="I702" s="4">
        <f>[1]!nefin_factors__1[[#This Row],[Risk_Free]]/H701-1</f>
        <v>-6.6364040334609964E-4</v>
      </c>
      <c r="J702">
        <v>60645</v>
      </c>
      <c r="K702">
        <v>61275</v>
      </c>
      <c r="L702">
        <v>60479</v>
      </c>
      <c r="M702">
        <v>61109</v>
      </c>
      <c r="N702">
        <v>4243800</v>
      </c>
      <c r="O702">
        <v>61109</v>
      </c>
      <c r="P702">
        <v>7.66770001978756E-3</v>
      </c>
      <c r="Q702">
        <v>7.6384526197085401E-3</v>
      </c>
      <c r="R702" s="8">
        <v>20.4399013519287</v>
      </c>
      <c r="S702" s="8">
        <v>-1.2081058054497201E-3</v>
      </c>
      <c r="T702" s="9">
        <v>-1.20883615355275E-3</v>
      </c>
      <c r="U702" s="12">
        <v>5.2531000000000001E-2</v>
      </c>
      <c r="V702" s="16">
        <v>3.2408000000000001</v>
      </c>
      <c r="W702" s="17">
        <f t="shared" si="10"/>
        <v>-4.0565457897970836E-3</v>
      </c>
    </row>
    <row r="703" spans="1:23" x14ac:dyDescent="0.2">
      <c r="A703" s="15">
        <v>42563</v>
      </c>
      <c r="B703" s="5">
        <v>317988230503913</v>
      </c>
      <c r="C703" s="5">
        <f>[1]!nefin_factors__1[[#This Row],[Rm_minus_Rf]]/B702-1</f>
        <v>1.05916405797602</v>
      </c>
      <c r="D703" s="5">
        <v>13785285961423</v>
      </c>
      <c r="E703" s="5">
        <f>[1]!nefin_factors__1[[#This Row],[SMB]]/D702-1</f>
        <v>-0.8682023682171558</v>
      </c>
      <c r="F703" s="5">
        <v>313481625689895</v>
      </c>
      <c r="G703" s="5">
        <f>[1]!nefin_factors__1[[#This Row],[HML]]/F702-1</f>
        <v>0.50120211847381246</v>
      </c>
      <c r="H703" s="5">
        <v>523917790096862</v>
      </c>
      <c r="I703" s="6">
        <f>[1]!nefin_factors__1[[#This Row],[Risk_Free]]/H702-1</f>
        <v>0</v>
      </c>
      <c r="J703">
        <v>61130</v>
      </c>
      <c r="K703">
        <v>61756</v>
      </c>
      <c r="L703">
        <v>61130</v>
      </c>
      <c r="M703">
        <v>61668</v>
      </c>
      <c r="N703">
        <v>2936900</v>
      </c>
      <c r="O703">
        <v>61668</v>
      </c>
      <c r="P703">
        <v>9.1475887348835307E-3</v>
      </c>
      <c r="Q703">
        <v>9.1060029590490105E-3</v>
      </c>
      <c r="R703" s="8">
        <v>20.505836486816399</v>
      </c>
      <c r="S703" s="8">
        <v>3.2256414271107899E-3</v>
      </c>
      <c r="T703" s="9">
        <v>3.2204502061519702E-3</v>
      </c>
      <c r="U703" s="12">
        <v>5.2531000000000001E-2</v>
      </c>
      <c r="V703" s="16">
        <v>3.2014999999999998</v>
      </c>
      <c r="W703" s="17">
        <f t="shared" si="10"/>
        <v>-1.2126635398667096E-2</v>
      </c>
    </row>
    <row r="704" spans="1:23" x14ac:dyDescent="0.2">
      <c r="A704" s="14">
        <v>42564</v>
      </c>
      <c r="B704" s="3">
        <v>539176334360257</v>
      </c>
      <c r="C704" s="3">
        <f>[1]!nefin_factors__1[[#This Row],[Rm_minus_Rf]]/B703-1</f>
        <v>0.69558581934252484</v>
      </c>
      <c r="D704" s="3">
        <v>682386918339671</v>
      </c>
      <c r="E704" s="3">
        <f>[1]!nefin_factors__1[[#This Row],[SMB]]/D703-1</f>
        <v>48.501107213102088</v>
      </c>
      <c r="F704" s="3">
        <v>479338137849053</v>
      </c>
      <c r="G704" s="3">
        <f>[1]!nefin_factors__1[[#This Row],[HML]]/F703-1</f>
        <v>0.52907889511593909</v>
      </c>
      <c r="H704" s="3">
        <v>523917790096862</v>
      </c>
      <c r="I704" s="4">
        <f>[1]!nefin_factors__1[[#This Row],[Risk_Free]]/H703-1</f>
        <v>0</v>
      </c>
      <c r="J704">
        <v>61668</v>
      </c>
      <c r="K704">
        <v>61668</v>
      </c>
      <c r="L704">
        <v>60885</v>
      </c>
      <c r="M704">
        <v>61022</v>
      </c>
      <c r="N704">
        <v>3568000</v>
      </c>
      <c r="O704">
        <v>61022</v>
      </c>
      <c r="P704">
        <v>-1.04754491794772E-2</v>
      </c>
      <c r="Q704">
        <v>-1.05307029077243E-2</v>
      </c>
      <c r="R704" s="8">
        <v>20.176160812377901</v>
      </c>
      <c r="S704" s="8">
        <v>-1.6077123215965401E-2</v>
      </c>
      <c r="T704" s="9">
        <v>-1.6207762253538299E-2</v>
      </c>
      <c r="U704" s="12">
        <v>5.2531000000000001E-2</v>
      </c>
      <c r="V704" s="16">
        <v>3.2242000000000002</v>
      </c>
      <c r="W704" s="17">
        <f t="shared" si="10"/>
        <v>7.0904263626425656E-3</v>
      </c>
    </row>
    <row r="705" spans="1:23" x14ac:dyDescent="0.2">
      <c r="A705" s="15">
        <v>42565</v>
      </c>
      <c r="B705" s="5">
        <v>144886795311804</v>
      </c>
      <c r="C705" s="5">
        <f>[1]!nefin_factors__1[[#This Row],[Rm_minus_Rf]]/B704-1</f>
        <v>-0.73128124125901239</v>
      </c>
      <c r="D705" s="5">
        <v>214480168385289</v>
      </c>
      <c r="E705" s="5">
        <f>[1]!nefin_factors__1[[#This Row],[SMB]]/D704-1</f>
        <v>-0.68569126602376129</v>
      </c>
      <c r="F705" s="5">
        <v>217341225499072</v>
      </c>
      <c r="G705" s="5">
        <f>[1]!nefin_factors__1[[#This Row],[HML]]/F704-1</f>
        <v>-0.54658056946114664</v>
      </c>
      <c r="H705" s="5">
        <v>523917790096862</v>
      </c>
      <c r="I705" s="6">
        <f>[1]!nefin_factors__1[[#This Row],[Risk_Free]]/H704-1</f>
        <v>0</v>
      </c>
      <c r="J705">
        <v>61020</v>
      </c>
      <c r="K705">
        <v>61329</v>
      </c>
      <c r="L705">
        <v>60243</v>
      </c>
      <c r="M705">
        <v>61119</v>
      </c>
      <c r="N705">
        <v>4952700</v>
      </c>
      <c r="O705">
        <v>61119</v>
      </c>
      <c r="P705">
        <v>1.5895906394414201E-3</v>
      </c>
      <c r="Q705">
        <v>1.5883285775051301E-3</v>
      </c>
      <c r="R705" s="8">
        <v>19.986597061157202</v>
      </c>
      <c r="S705" s="8">
        <v>-9.3953869856236993E-3</v>
      </c>
      <c r="T705" s="9">
        <v>-9.4398020506572897E-3</v>
      </c>
      <c r="U705" s="12">
        <v>5.2531000000000001E-2</v>
      </c>
      <c r="V705" s="16">
        <v>3.24</v>
      </c>
      <c r="W705" s="17">
        <f t="shared" si="10"/>
        <v>4.9004404193289108E-3</v>
      </c>
    </row>
    <row r="706" spans="1:23" x14ac:dyDescent="0.2">
      <c r="A706" s="14">
        <v>42566</v>
      </c>
      <c r="B706" s="3">
        <v>727801057050551</v>
      </c>
      <c r="C706" s="3">
        <f>[1]!nefin_factors__1[[#This Row],[Rm_minus_Rf]]/B705-1</f>
        <v>4.0232393882705795</v>
      </c>
      <c r="D706" s="3">
        <v>989514519694335</v>
      </c>
      <c r="E706" s="3">
        <f>[1]!nefin_factors__1[[#This Row],[SMB]]/D705-1</f>
        <v>3.6135478498729343</v>
      </c>
      <c r="F706" s="3">
        <v>401349519840103</v>
      </c>
      <c r="G706" s="3">
        <f>[1]!nefin_factors__1[[#This Row],[HML]]/F705-1</f>
        <v>0.84663318667914966</v>
      </c>
      <c r="H706" s="3">
        <v>523917790096862</v>
      </c>
      <c r="I706" s="4">
        <f>[1]!nefin_factors__1[[#This Row],[Risk_Free]]/H705-1</f>
        <v>0</v>
      </c>
      <c r="J706">
        <v>61120</v>
      </c>
      <c r="K706">
        <v>62039</v>
      </c>
      <c r="L706">
        <v>61120</v>
      </c>
      <c r="M706">
        <v>61767</v>
      </c>
      <c r="N706">
        <v>3691200</v>
      </c>
      <c r="O706">
        <v>61767</v>
      </c>
      <c r="P706">
        <v>1.0602267707259701E-2</v>
      </c>
      <c r="Q706">
        <v>1.0546457794843299E-2</v>
      </c>
      <c r="R706" s="8">
        <v>19.8876953125</v>
      </c>
      <c r="S706" s="8">
        <v>-4.9483990185246202E-3</v>
      </c>
      <c r="T706" s="9">
        <v>-4.9606828853524304E-3</v>
      </c>
      <c r="U706" s="12">
        <v>5.2531000000000001E-2</v>
      </c>
      <c r="V706" s="16">
        <v>3.2357999999999998</v>
      </c>
      <c r="W706" s="17">
        <f t="shared" si="10"/>
        <v>-1.2962962962964619E-3</v>
      </c>
    </row>
    <row r="707" spans="1:23" x14ac:dyDescent="0.2">
      <c r="A707" s="15">
        <v>42569</v>
      </c>
      <c r="B707" s="5">
        <v>149166621423818</v>
      </c>
      <c r="C707" s="5">
        <f>[1]!nefin_factors__1[[#This Row],[Rm_minus_Rf]]/B706-1</f>
        <v>-0.79504478596345685</v>
      </c>
      <c r="D707" s="5">
        <v>169481136896387</v>
      </c>
      <c r="E707" s="5">
        <f>[1]!nefin_factors__1[[#This Row],[SMB]]/D706-1</f>
        <v>-0.8287229408733281</v>
      </c>
      <c r="F707" s="5">
        <v>226672453212991</v>
      </c>
      <c r="G707" s="5">
        <f>[1]!nefin_factors__1[[#This Row],[HML]]/F706-1</f>
        <v>-0.43522430697488579</v>
      </c>
      <c r="H707" s="5">
        <v>523917790096862</v>
      </c>
      <c r="I707" s="6">
        <f>[1]!nefin_factors__1[[#This Row],[Risk_Free]]/H706-1</f>
        <v>0</v>
      </c>
      <c r="J707">
        <v>61768</v>
      </c>
      <c r="K707">
        <v>62696</v>
      </c>
      <c r="L707">
        <v>61719</v>
      </c>
      <c r="M707">
        <v>62696</v>
      </c>
      <c r="N707">
        <v>3340700</v>
      </c>
      <c r="O707">
        <v>62696</v>
      </c>
      <c r="P707">
        <v>1.50403937377563E-2</v>
      </c>
      <c r="Q707">
        <v>1.4928408487846399E-2</v>
      </c>
      <c r="R707" s="8">
        <v>19.862968444824201</v>
      </c>
      <c r="S707" s="8">
        <v>-1.24335144056398E-3</v>
      </c>
      <c r="T707" s="9">
        <v>-1.2441250432728701E-3</v>
      </c>
      <c r="U707" s="12">
        <v>5.2531000000000001E-2</v>
      </c>
      <c r="V707" s="16">
        <v>3.2475999999999998</v>
      </c>
      <c r="W707" s="17">
        <f t="shared" si="10"/>
        <v>3.6467025156066146E-3</v>
      </c>
    </row>
    <row r="708" spans="1:23" x14ac:dyDescent="0.2">
      <c r="A708" s="14">
        <v>42570</v>
      </c>
      <c r="B708" s="3">
        <v>469581867019005</v>
      </c>
      <c r="C708" s="3">
        <f>[1]!nefin_factors__1[[#This Row],[Rm_minus_Rf]]/B707-1</f>
        <v>2.1480358175091379</v>
      </c>
      <c r="D708" s="3">
        <v>757795042870712</v>
      </c>
      <c r="E708" s="3">
        <f>[1]!nefin_factors__1[[#This Row],[SMB]]/D707-1</f>
        <v>3.4712648070917362</v>
      </c>
      <c r="F708" s="3">
        <v>-101705707802614</v>
      </c>
      <c r="G708" s="3">
        <f>[1]!nefin_factors__1[[#This Row],[HML]]/F707-1</f>
        <v>-1.4486901975117683</v>
      </c>
      <c r="H708" s="3">
        <v>523917790096862</v>
      </c>
      <c r="I708" s="4">
        <f>[1]!nefin_factors__1[[#This Row],[Risk_Free]]/H707-1</f>
        <v>0</v>
      </c>
      <c r="J708">
        <v>62701</v>
      </c>
      <c r="K708">
        <v>63937</v>
      </c>
      <c r="L708">
        <v>62701</v>
      </c>
      <c r="M708">
        <v>63782</v>
      </c>
      <c r="N708">
        <v>4390300</v>
      </c>
      <c r="O708">
        <v>63782</v>
      </c>
      <c r="P708">
        <v>1.7321679213984999E-2</v>
      </c>
      <c r="Q708">
        <v>1.7173369132114199E-2</v>
      </c>
      <c r="R708" s="8">
        <v>20.3574829101562</v>
      </c>
      <c r="S708" s="8">
        <v>2.4896390499960799E-2</v>
      </c>
      <c r="T708" s="9">
        <v>2.4591525042134899E-2</v>
      </c>
      <c r="U708" s="12">
        <v>5.2531000000000001E-2</v>
      </c>
      <c r="V708" s="16">
        <v>3.2235</v>
      </c>
      <c r="W708" s="17">
        <f t="shared" ref="W708:W771" si="11">V708/V707-1</f>
        <v>-7.4208646385022226E-3</v>
      </c>
    </row>
    <row r="709" spans="1:23" x14ac:dyDescent="0.2">
      <c r="A709" s="15">
        <v>42571</v>
      </c>
      <c r="B709" s="5">
        <v>-232434331134801</v>
      </c>
      <c r="C709" s="5">
        <f>[1]!nefin_factors__1[[#This Row],[Rm_minus_Rf]]/B708-1</f>
        <v>-1.4949814877016832</v>
      </c>
      <c r="D709" s="5">
        <v>13155828223859</v>
      </c>
      <c r="E709" s="5">
        <f>[1]!nefin_factors__1[[#This Row],[SMB]]/D708-1</f>
        <v>-0.98263933190428177</v>
      </c>
      <c r="F709" s="5">
        <v>354683014057521</v>
      </c>
      <c r="G709" s="5">
        <f>[1]!nefin_factors__1[[#This Row],[HML]]/F708-1</f>
        <v>-4.4873462042649006</v>
      </c>
      <c r="H709" s="5">
        <v>523917790096862</v>
      </c>
      <c r="I709" s="6">
        <f>[1]!nefin_factors__1[[#This Row],[Risk_Free]]/H708-1</f>
        <v>0</v>
      </c>
      <c r="J709">
        <v>63784</v>
      </c>
      <c r="K709">
        <v>64089</v>
      </c>
      <c r="L709">
        <v>63309</v>
      </c>
      <c r="M709">
        <v>63506</v>
      </c>
      <c r="N709">
        <v>3614000</v>
      </c>
      <c r="O709">
        <v>63506</v>
      </c>
      <c r="P709">
        <v>-4.3272396600921902E-3</v>
      </c>
      <c r="Q709">
        <v>-4.3366292587830903E-3</v>
      </c>
      <c r="R709" s="8">
        <v>19.9701137542725</v>
      </c>
      <c r="S709" s="8">
        <v>-1.902838785532E-2</v>
      </c>
      <c r="T709" s="9">
        <v>-1.92117575065468E-2</v>
      </c>
      <c r="U709" s="12">
        <v>5.2531000000000001E-2</v>
      </c>
      <c r="V709" s="16">
        <v>3.2462</v>
      </c>
      <c r="W709" s="17">
        <f t="shared" si="11"/>
        <v>7.0420350550643995E-3</v>
      </c>
    </row>
    <row r="710" spans="1:23" x14ac:dyDescent="0.2">
      <c r="A710" s="14">
        <v>42572</v>
      </c>
      <c r="B710" s="3">
        <v>42031770977698</v>
      </c>
      <c r="C710" s="3">
        <f>[1]!nefin_factors__1[[#This Row],[Rm_minus_Rf]]/B709-1</f>
        <v>-1.1808328863145503</v>
      </c>
      <c r="D710" s="3">
        <v>197539000637185</v>
      </c>
      <c r="E710" s="3">
        <f>[1]!nefin_factors__1[[#This Row],[SMB]]/D709-1</f>
        <v>14.015322279667229</v>
      </c>
      <c r="F710" s="3">
        <v>844060295203222</v>
      </c>
      <c r="G710" s="3">
        <f>[1]!nefin_factors__1[[#This Row],[HML]]/F709-1</f>
        <v>1.3797595648782206</v>
      </c>
      <c r="H710" s="3">
        <v>524265714006766</v>
      </c>
      <c r="I710" s="4">
        <f>[1]!nefin_factors__1[[#This Row],[Risk_Free]]/H709-1</f>
        <v>6.6408111440474649E-4</v>
      </c>
      <c r="J710">
        <v>63495</v>
      </c>
      <c r="K710">
        <v>63927</v>
      </c>
      <c r="L710">
        <v>62729</v>
      </c>
      <c r="M710">
        <v>63838</v>
      </c>
      <c r="N710">
        <v>3421500</v>
      </c>
      <c r="O710">
        <v>63838</v>
      </c>
      <c r="P710">
        <v>5.2278524863791399E-3</v>
      </c>
      <c r="Q710">
        <v>5.21423470611454E-3</v>
      </c>
      <c r="R710" s="8">
        <v>19.6157112121582</v>
      </c>
      <c r="S710" s="8">
        <v>-1.7746828338042201E-2</v>
      </c>
      <c r="T710" s="9">
        <v>-1.7906191572494099E-2</v>
      </c>
      <c r="U710" s="12">
        <v>5.2531000000000001E-2</v>
      </c>
      <c r="V710" s="16">
        <v>3.2338</v>
      </c>
      <c r="W710" s="17">
        <f t="shared" si="11"/>
        <v>-3.8198509025938465E-3</v>
      </c>
    </row>
    <row r="711" spans="1:23" x14ac:dyDescent="0.2">
      <c r="A711" s="15">
        <v>42573</v>
      </c>
      <c r="B711" s="5">
        <v>642255224299381</v>
      </c>
      <c r="C711" s="5">
        <f>[1]!nefin_factors__1[[#This Row],[Rm_minus_Rf]]/B710-1</f>
        <v>14.280232294760093</v>
      </c>
      <c r="D711" s="5">
        <v>-131614876836163</v>
      </c>
      <c r="E711" s="5">
        <f>[1]!nefin_factors__1[[#This Row],[SMB]]/D710-1</f>
        <v>-1.6662728697200246</v>
      </c>
      <c r="F711" s="5">
        <v>420731760421264</v>
      </c>
      <c r="G711" s="5">
        <f>[1]!nefin_factors__1[[#This Row],[HML]]/F710-1</f>
        <v>-0.50153826354316833</v>
      </c>
      <c r="H711" s="5">
        <v>524613607551627</v>
      </c>
      <c r="I711" s="6">
        <f>[1]!nefin_factors__1[[#This Row],[Risk_Free]]/H710-1</f>
        <v>6.6358248416098498E-4</v>
      </c>
      <c r="J711">
        <v>63838</v>
      </c>
      <c r="K711">
        <v>64372</v>
      </c>
      <c r="L711">
        <v>63379</v>
      </c>
      <c r="M711">
        <v>64108</v>
      </c>
      <c r="N711">
        <v>3662900</v>
      </c>
      <c r="O711">
        <v>64108</v>
      </c>
      <c r="P711">
        <v>4.2294558100191004E-3</v>
      </c>
      <c r="Q711">
        <v>4.2205368013197003E-3</v>
      </c>
      <c r="R711" s="8">
        <v>19.7805500030518</v>
      </c>
      <c r="S711" s="8">
        <v>8.4036404703380398E-3</v>
      </c>
      <c r="T711" s="9">
        <v>8.3685264702301893E-3</v>
      </c>
      <c r="U711" s="12">
        <v>5.2531000000000001E-2</v>
      </c>
      <c r="V711" s="16">
        <v>3.2202999999999999</v>
      </c>
      <c r="W711" s="17">
        <f t="shared" si="11"/>
        <v>-4.1746552044035212E-3</v>
      </c>
    </row>
    <row r="712" spans="1:23" x14ac:dyDescent="0.2">
      <c r="A712" s="14">
        <v>42576</v>
      </c>
      <c r="B712" s="3">
        <v>-186720211893332</v>
      </c>
      <c r="C712" s="3">
        <f>[1]!nefin_factors__1[[#This Row],[Rm_minus_Rf]]/B711-1</f>
        <v>-1.2907258747439854</v>
      </c>
      <c r="D712" s="3">
        <v>-342781974769334</v>
      </c>
      <c r="E712" s="3">
        <f>[1]!nefin_factors__1[[#This Row],[SMB]]/D711-1</f>
        <v>1.6044318317908415</v>
      </c>
      <c r="F712" s="3">
        <v>348636198726987</v>
      </c>
      <c r="G712" s="3">
        <f>[1]!nefin_factors__1[[#This Row],[HML]]/F711-1</f>
        <v>-0.17135754529700875</v>
      </c>
      <c r="H712" s="3">
        <v>524613607551627</v>
      </c>
      <c r="I712" s="4">
        <f>[1]!nefin_factors__1[[#This Row],[Risk_Free]]/H711-1</f>
        <v>0</v>
      </c>
      <c r="J712">
        <v>64141</v>
      </c>
      <c r="K712">
        <v>64691</v>
      </c>
      <c r="L712">
        <v>63914</v>
      </c>
      <c r="M712">
        <v>64060</v>
      </c>
      <c r="N712">
        <v>3663900</v>
      </c>
      <c r="O712">
        <v>64060</v>
      </c>
      <c r="P712">
        <v>-7.48736507144243E-4</v>
      </c>
      <c r="Q712">
        <v>-7.4901695031690701E-4</v>
      </c>
      <c r="R712" s="8">
        <v>19.5415344238281</v>
      </c>
      <c r="S712" s="8">
        <v>-1.20833659137348E-2</v>
      </c>
      <c r="T712" s="9">
        <v>-1.21569632495285E-2</v>
      </c>
      <c r="U712" s="12">
        <v>5.2531000000000001E-2</v>
      </c>
      <c r="V712" s="16">
        <v>3.2359</v>
      </c>
      <c r="W712" s="17">
        <f t="shared" si="11"/>
        <v>4.8442691674688287E-3</v>
      </c>
    </row>
    <row r="713" spans="1:23" x14ac:dyDescent="0.2">
      <c r="A713" s="15">
        <v>42577</v>
      </c>
      <c r="B713" s="5">
        <v>-361379188069038</v>
      </c>
      <c r="C713" s="5">
        <f>[1]!nefin_factors__1[[#This Row],[Rm_minus_Rf]]/B712-1</f>
        <v>0.93540476633286906</v>
      </c>
      <c r="D713" s="5">
        <v>-404959801427991</v>
      </c>
      <c r="E713" s="5">
        <f>[1]!nefin_factors__1[[#This Row],[SMB]]/D712-1</f>
        <v>0.18139176279761471</v>
      </c>
      <c r="F713" s="5">
        <v>-262595228619027</v>
      </c>
      <c r="G713" s="5">
        <f>[1]!nefin_factors__1[[#This Row],[HML]]/F712-1</f>
        <v>-1.7532070094209073</v>
      </c>
      <c r="H713" s="5">
        <v>524961470736551</v>
      </c>
      <c r="I713" s="6">
        <f>[1]!nefin_factors__1[[#This Row],[Risk_Free]]/H712-1</f>
        <v>6.6308456341324096E-4</v>
      </c>
      <c r="J713">
        <v>64059</v>
      </c>
      <c r="K713">
        <v>64266</v>
      </c>
      <c r="L713">
        <v>63248</v>
      </c>
      <c r="M713">
        <v>63866</v>
      </c>
      <c r="N713">
        <v>3918100</v>
      </c>
      <c r="O713">
        <v>63866</v>
      </c>
      <c r="P713">
        <v>-3.0284108648141999E-3</v>
      </c>
      <c r="Q713">
        <v>-3.0330057802033599E-3</v>
      </c>
      <c r="R713" s="8">
        <v>19.566261291503899</v>
      </c>
      <c r="S713" s="8">
        <v>1.2652748879367101E-3</v>
      </c>
      <c r="T713" s="9">
        <v>1.2644751022271199E-3</v>
      </c>
      <c r="U713" s="12">
        <v>5.2531000000000001E-2</v>
      </c>
      <c r="V713" s="16">
        <v>3.2309999999999999</v>
      </c>
      <c r="W713" s="17">
        <f t="shared" si="11"/>
        <v>-1.5142618745944691E-3</v>
      </c>
    </row>
    <row r="714" spans="1:23" x14ac:dyDescent="0.2">
      <c r="A714" s="14">
        <v>42578</v>
      </c>
      <c r="B714" s="3">
        <v>606733207066206</v>
      </c>
      <c r="C714" s="3">
        <f>[1]!nefin_factors__1[[#This Row],[Rm_minus_Rf]]/B713-1</f>
        <v>-2.6789378777128015</v>
      </c>
      <c r="D714" s="3">
        <v>-119207900718976</v>
      </c>
      <c r="E714" s="3">
        <f>[1]!nefin_factors__1[[#This Row],[SMB]]/D713-1</f>
        <v>-0.70563028651580062</v>
      </c>
      <c r="F714" s="3">
        <v>580143009729728</v>
      </c>
      <c r="G714" s="3">
        <f>[1]!nefin_factors__1[[#This Row],[HML]]/F713-1</f>
        <v>-3.2092671400796817</v>
      </c>
      <c r="H714" s="3">
        <v>524613607551627</v>
      </c>
      <c r="I714" s="4">
        <f>[1]!nefin_factors__1[[#This Row],[Risk_Free]]/H713-1</f>
        <v>-6.6264517362757402E-4</v>
      </c>
      <c r="J714">
        <v>63860</v>
      </c>
      <c r="K714">
        <v>63924</v>
      </c>
      <c r="L714">
        <v>63084</v>
      </c>
      <c r="M714">
        <v>63826</v>
      </c>
      <c r="N714">
        <v>4299200</v>
      </c>
      <c r="O714">
        <v>63826</v>
      </c>
      <c r="P714">
        <v>-6.26311339366747E-4</v>
      </c>
      <c r="Q714">
        <v>-6.2650755424566997E-4</v>
      </c>
      <c r="R714" s="8">
        <v>19.4920845031738</v>
      </c>
      <c r="S714" s="8">
        <v>-3.7911291868566498E-3</v>
      </c>
      <c r="T714" s="9">
        <v>-3.79833373178375E-3</v>
      </c>
      <c r="U714" s="12">
        <v>5.2531000000000001E-2</v>
      </c>
      <c r="V714" s="16">
        <v>3.2134</v>
      </c>
      <c r="W714" s="17">
        <f t="shared" si="11"/>
        <v>-5.4472299597647655E-3</v>
      </c>
    </row>
    <row r="715" spans="1:23" x14ac:dyDescent="0.2">
      <c r="A715" s="15">
        <v>42579</v>
      </c>
      <c r="B715" s="5">
        <v>-324057890794606</v>
      </c>
      <c r="C715" s="5">
        <f>[1]!nefin_factors__1[[#This Row],[Rm_minus_Rf]]/B714-1</f>
        <v>-1.5341027770040041</v>
      </c>
      <c r="D715" s="5">
        <v>-830083261765721</v>
      </c>
      <c r="E715" s="5">
        <f>[1]!nefin_factors__1[[#This Row],[SMB]]/D714-1</f>
        <v>5.9633242155868693</v>
      </c>
      <c r="F715" s="5">
        <v>-832115508701674</v>
      </c>
      <c r="G715" s="5">
        <f>[1]!nefin_factors__1[[#This Row],[HML]]/F714-1</f>
        <v>-2.4343282513898301</v>
      </c>
      <c r="H715" s="5">
        <v>524613607551627</v>
      </c>
      <c r="I715" s="6">
        <f>[1]!nefin_factors__1[[#This Row],[Risk_Free]]/H714-1</f>
        <v>0</v>
      </c>
      <c r="J715">
        <v>63827</v>
      </c>
      <c r="K715">
        <v>64609</v>
      </c>
      <c r="L715">
        <v>63827</v>
      </c>
      <c r="M715">
        <v>64250</v>
      </c>
      <c r="N715">
        <v>3587500</v>
      </c>
      <c r="O715">
        <v>64250</v>
      </c>
      <c r="P715">
        <v>6.6430608216088097E-3</v>
      </c>
      <c r="Q715">
        <v>6.6210929287662699E-3</v>
      </c>
      <c r="R715" s="8">
        <v>19.7805500030518</v>
      </c>
      <c r="S715" s="8">
        <v>1.47992623787776E-2</v>
      </c>
      <c r="T715" s="9">
        <v>1.46908218790851E-2</v>
      </c>
      <c r="U715" s="12">
        <v>5.2531000000000001E-2</v>
      </c>
      <c r="V715" s="16">
        <v>3.2124999999999999</v>
      </c>
      <c r="W715" s="17">
        <f t="shared" si="11"/>
        <v>-2.800771768221022E-4</v>
      </c>
    </row>
    <row r="716" spans="1:23" x14ac:dyDescent="0.2">
      <c r="A716" s="14">
        <v>42580</v>
      </c>
      <c r="B716" s="3">
        <v>929170855443083</v>
      </c>
      <c r="C716" s="3">
        <f>[1]!nefin_factors__1[[#This Row],[Rm_minus_Rf]]/B715-1</f>
        <v>-3.8672989667516195</v>
      </c>
      <c r="D716" s="3">
        <v>204007312324968</v>
      </c>
      <c r="E716" s="3">
        <f>[1]!nefin_factors__1[[#This Row],[SMB]]/D715-1</f>
        <v>-1.2457672883211879</v>
      </c>
      <c r="F716" s="3">
        <v>-909803262156558</v>
      </c>
      <c r="G716" s="3">
        <f>[1]!nefin_factors__1[[#This Row],[HML]]/F715-1</f>
        <v>9.3361742020765748E-2</v>
      </c>
      <c r="H716" s="3">
        <v>524613607551627</v>
      </c>
      <c r="I716" s="4">
        <f>[1]!nefin_factors__1[[#This Row],[Risk_Free]]/H715-1</f>
        <v>0</v>
      </c>
      <c r="J716">
        <v>64251</v>
      </c>
      <c r="K716">
        <v>64728</v>
      </c>
      <c r="L716">
        <v>63778</v>
      </c>
      <c r="M716">
        <v>64308</v>
      </c>
      <c r="N716">
        <v>3788500</v>
      </c>
      <c r="O716">
        <v>64308</v>
      </c>
      <c r="P716">
        <v>9.0272373540844998E-4</v>
      </c>
      <c r="Q716">
        <v>9.0231652538422496E-4</v>
      </c>
      <c r="R716" s="8">
        <v>19.945388793945298</v>
      </c>
      <c r="S716" s="8">
        <v>8.3334075882817195E-3</v>
      </c>
      <c r="T716" s="9">
        <v>8.2988764559634998E-3</v>
      </c>
      <c r="U716" s="12">
        <v>5.2531000000000001E-2</v>
      </c>
      <c r="V716" s="16">
        <v>3.2136</v>
      </c>
      <c r="W716" s="17">
        <f t="shared" si="11"/>
        <v>3.4241245136179543E-4</v>
      </c>
    </row>
    <row r="717" spans="1:23" x14ac:dyDescent="0.2">
      <c r="A717" s="15">
        <v>42583</v>
      </c>
      <c r="B717" s="5">
        <v>-637173941710333</v>
      </c>
      <c r="C717" s="5">
        <f>[1]!nefin_factors__1[[#This Row],[Rm_minus_Rf]]/B716-1</f>
        <v>-1.685744648551736</v>
      </c>
      <c r="D717" s="5">
        <v>548058252782739</v>
      </c>
      <c r="E717" s="5">
        <f>[1]!nefin_factors__1[[#This Row],[SMB]]/D716-1</f>
        <v>1.6864637670914671</v>
      </c>
      <c r="F717" s="5">
        <v>-690548711157285</v>
      </c>
      <c r="G717" s="5">
        <f>[1]!nefin_factors__1[[#This Row],[HML]]/F716-1</f>
        <v>-0.2409911682219753</v>
      </c>
      <c r="H717" s="5">
        <v>524265714006766</v>
      </c>
      <c r="I717" s="6">
        <f>[1]!nefin_factors__1[[#This Row],[Risk_Free]]/H716-1</f>
        <v>-6.6314243445686483E-4</v>
      </c>
      <c r="J717">
        <v>64312</v>
      </c>
      <c r="K717">
        <v>65054</v>
      </c>
      <c r="L717">
        <v>64312</v>
      </c>
      <c r="M717">
        <v>64925</v>
      </c>
      <c r="N717">
        <v>3816900</v>
      </c>
      <c r="O717">
        <v>64925</v>
      </c>
      <c r="P717">
        <v>9.5944517011881097E-3</v>
      </c>
      <c r="Q717">
        <v>9.5487172480986995E-3</v>
      </c>
      <c r="R717" s="8">
        <v>20.192644119262699</v>
      </c>
      <c r="S717" s="8">
        <v>1.2396555534880799E-2</v>
      </c>
      <c r="T717" s="9">
        <v>1.2320347406158399E-2</v>
      </c>
      <c r="U717" s="12">
        <v>5.2531000000000001E-2</v>
      </c>
      <c r="V717" s="16">
        <v>3.2086999999999999</v>
      </c>
      <c r="W717" s="17">
        <f t="shared" si="11"/>
        <v>-1.5247697286532302E-3</v>
      </c>
    </row>
    <row r="718" spans="1:23" x14ac:dyDescent="0.2">
      <c r="A718" s="14">
        <v>42584</v>
      </c>
      <c r="B718" s="3">
        <v>-990371876120741</v>
      </c>
      <c r="C718" s="3">
        <f>[1]!nefin_factors__1[[#This Row],[Rm_minus_Rf]]/B717-1</f>
        <v>0.55431949000038694</v>
      </c>
      <c r="D718" s="3">
        <v>381255654359751</v>
      </c>
      <c r="E718" s="3">
        <f>[1]!nefin_factors__1[[#This Row],[SMB]]/D717-1</f>
        <v>-0.30435195086663869</v>
      </c>
      <c r="F718" s="3">
        <v>-918103025024827</v>
      </c>
      <c r="G718" s="3">
        <f>[1]!nefin_factors__1[[#This Row],[HML]]/F717-1</f>
        <v>0.32952680989902294</v>
      </c>
      <c r="H718" s="3">
        <v>524265714006766</v>
      </c>
      <c r="I718" s="4">
        <f>[1]!nefin_factors__1[[#This Row],[Risk_Free]]/H717-1</f>
        <v>0</v>
      </c>
      <c r="J718">
        <v>64922</v>
      </c>
      <c r="K718">
        <v>65291</v>
      </c>
      <c r="L718">
        <v>63019</v>
      </c>
      <c r="M718">
        <v>63326</v>
      </c>
      <c r="N718">
        <v>4505600</v>
      </c>
      <c r="O718">
        <v>63326</v>
      </c>
      <c r="P718">
        <v>-2.4628417404697699E-2</v>
      </c>
      <c r="Q718">
        <v>-2.4936770234238501E-2</v>
      </c>
      <c r="R718" s="8">
        <v>19.7805500030518</v>
      </c>
      <c r="S718" s="8">
        <v>-2.0408101217355899E-2</v>
      </c>
      <c r="T718" s="9">
        <v>-2.0619223862121901E-2</v>
      </c>
      <c r="U718" s="12">
        <v>5.2531000000000001E-2</v>
      </c>
      <c r="V718" s="16">
        <v>3.1863999999999999</v>
      </c>
      <c r="W718" s="17">
        <f t="shared" si="11"/>
        <v>-6.9498550814971471E-3</v>
      </c>
    </row>
    <row r="719" spans="1:23" x14ac:dyDescent="0.2">
      <c r="A719" s="15">
        <v>42585</v>
      </c>
      <c r="B719" s="5">
        <v>13695344958359</v>
      </c>
      <c r="C719" s="5">
        <f>[1]!nefin_factors__1[[#This Row],[Rm_minus_Rf]]/B718-1</f>
        <v>-1.0138284873476044</v>
      </c>
      <c r="D719" s="5">
        <v>13094947691971</v>
      </c>
      <c r="E719" s="5">
        <f>[1]!nefin_factors__1[[#This Row],[SMB]]/D718-1</f>
        <v>-0.9656531056202653</v>
      </c>
      <c r="F719" s="5">
        <v>189017055150562</v>
      </c>
      <c r="G719" s="5">
        <f>[1]!nefin_factors__1[[#This Row],[HML]]/F718-1</f>
        <v>-1.2058778263424748</v>
      </c>
      <c r="H719" s="5">
        <v>524265714006766</v>
      </c>
      <c r="I719" s="6">
        <f>[1]!nefin_factors__1[[#This Row],[Risk_Free]]/H718-1</f>
        <v>0</v>
      </c>
      <c r="J719">
        <v>63325</v>
      </c>
      <c r="K719">
        <v>63524</v>
      </c>
      <c r="L719">
        <v>61750</v>
      </c>
      <c r="M719">
        <v>61750</v>
      </c>
      <c r="N719">
        <v>4124000</v>
      </c>
      <c r="O719">
        <v>61750</v>
      </c>
      <c r="P719">
        <v>-2.4887092189621901E-2</v>
      </c>
      <c r="Q719">
        <v>-2.5202011806486999E-2</v>
      </c>
      <c r="R719" s="8">
        <v>19.681646347045898</v>
      </c>
      <c r="S719" s="8">
        <v>-5.0000445529689904E-3</v>
      </c>
      <c r="T719" s="9">
        <v>-5.0125866003985402E-3</v>
      </c>
      <c r="U719" s="12">
        <v>5.2531000000000001E-2</v>
      </c>
      <c r="V719" s="16">
        <v>3.1962999999999999</v>
      </c>
      <c r="W719" s="17">
        <f t="shared" si="11"/>
        <v>3.1069545568667145E-3</v>
      </c>
    </row>
    <row r="720" spans="1:23" x14ac:dyDescent="0.2">
      <c r="A720" s="14">
        <v>42586</v>
      </c>
      <c r="B720" s="3">
        <v>851366019206232</v>
      </c>
      <c r="C720" s="3">
        <f>[1]!nefin_factors__1[[#This Row],[Rm_minus_Rf]]/B719-1</f>
        <v>61.164627601190716</v>
      </c>
      <c r="D720" s="3">
        <v>151931022601781</v>
      </c>
      <c r="E720" s="3">
        <f>[1]!nefin_factors__1[[#This Row],[SMB]]/D719-1</f>
        <v>10.602262656989121</v>
      </c>
      <c r="F720" s="3">
        <v>16077499547694</v>
      </c>
      <c r="G720" s="3">
        <f>[1]!nefin_factors__1[[#This Row],[HML]]/F719-1</f>
        <v>-0.91494154040815301</v>
      </c>
      <c r="H720" s="3">
        <v>524265714006766</v>
      </c>
      <c r="I720" s="4">
        <f>[1]!nefin_factors__1[[#This Row],[Risk_Free]]/H719-1</f>
        <v>0</v>
      </c>
      <c r="J720">
        <v>61749</v>
      </c>
      <c r="K720">
        <v>62699</v>
      </c>
      <c r="L720">
        <v>61491</v>
      </c>
      <c r="M720">
        <v>61598</v>
      </c>
      <c r="N720">
        <v>3972500</v>
      </c>
      <c r="O720">
        <v>61598</v>
      </c>
      <c r="P720">
        <v>-2.4615384615385102E-3</v>
      </c>
      <c r="Q720">
        <v>-2.46457302816181E-3</v>
      </c>
      <c r="R720" s="8">
        <v>20.027807235717798</v>
      </c>
      <c r="S720" s="8">
        <v>1.75878456496519E-2</v>
      </c>
      <c r="T720" s="9">
        <v>1.7434969398792102E-2</v>
      </c>
      <c r="U720" s="12">
        <v>5.2531000000000001E-2</v>
      </c>
      <c r="V720" s="16">
        <v>3.1873999999999998</v>
      </c>
      <c r="W720" s="17">
        <f t="shared" si="11"/>
        <v>-2.7844695429090072E-3</v>
      </c>
    </row>
    <row r="721" spans="1:23" x14ac:dyDescent="0.2">
      <c r="A721" s="15">
        <v>42587</v>
      </c>
      <c r="B721" s="5">
        <v>195400494601744</v>
      </c>
      <c r="C721" s="5">
        <f>[1]!nefin_factors__1[[#This Row],[Rm_minus_Rf]]/B720-1</f>
        <v>-0.77048591299905889</v>
      </c>
      <c r="D721" s="5">
        <v>626246910363836</v>
      </c>
      <c r="E721" s="5">
        <f>[1]!nefin_factors__1[[#This Row],[SMB]]/D720-1</f>
        <v>3.1219159829211529</v>
      </c>
      <c r="F721" s="5">
        <v>574422086095505</v>
      </c>
      <c r="G721" s="5">
        <f>[1]!nefin_factors__1[[#This Row],[HML]]/F720-1</f>
        <v>34.728322329693022</v>
      </c>
      <c r="H721" s="5">
        <v>524265714006766</v>
      </c>
      <c r="I721" s="6">
        <f>[1]!nefin_factors__1[[#This Row],[Risk_Free]]/H720-1</f>
        <v>0</v>
      </c>
      <c r="J721">
        <v>61601</v>
      </c>
      <c r="K721">
        <v>64193</v>
      </c>
      <c r="L721">
        <v>61601</v>
      </c>
      <c r="M721">
        <v>64052</v>
      </c>
      <c r="N721">
        <v>3325900</v>
      </c>
      <c r="O721">
        <v>64052</v>
      </c>
      <c r="P721">
        <v>3.98389558102537E-2</v>
      </c>
      <c r="Q721">
        <v>3.9065850980305503E-2</v>
      </c>
      <c r="R721" s="8">
        <v>20.687158584594702</v>
      </c>
      <c r="S721" s="8">
        <v>3.2921910803373998E-2</v>
      </c>
      <c r="T721" s="9">
        <v>3.2391592704457399E-2</v>
      </c>
      <c r="U721" s="12">
        <v>5.2531000000000001E-2</v>
      </c>
      <c r="V721" s="16">
        <v>3.18</v>
      </c>
      <c r="W721" s="17">
        <f t="shared" si="11"/>
        <v>-2.3216414632615257E-3</v>
      </c>
    </row>
    <row r="722" spans="1:23" x14ac:dyDescent="0.2">
      <c r="A722" s="14">
        <v>42590</v>
      </c>
      <c r="B722" s="3">
        <v>-250502966165621</v>
      </c>
      <c r="C722" s="3">
        <f>[1]!nefin_factors__1[[#This Row],[Rm_minus_Rf]]/B721-1</f>
        <v>-2.281997605360131</v>
      </c>
      <c r="D722" s="3">
        <v>-217569566219161</v>
      </c>
      <c r="E722" s="3">
        <f>[1]!nefin_factors__1[[#This Row],[SMB]]/D721-1</f>
        <v>-1.3474181870099091</v>
      </c>
      <c r="F722" s="3">
        <v>-935624541623347</v>
      </c>
      <c r="G722" s="3">
        <f>[1]!nefin_factors__1[[#This Row],[HML]]/F721-1</f>
        <v>-2.6288101803031778</v>
      </c>
      <c r="H722" s="3">
        <v>524265714006766</v>
      </c>
      <c r="I722" s="4">
        <f>[1]!nefin_factors__1[[#This Row],[Risk_Free]]/H721-1</f>
        <v>0</v>
      </c>
      <c r="J722">
        <v>64052</v>
      </c>
      <c r="K722">
        <v>64767</v>
      </c>
      <c r="L722">
        <v>63381</v>
      </c>
      <c r="M722">
        <v>64158</v>
      </c>
      <c r="N722">
        <v>3265100</v>
      </c>
      <c r="O722">
        <v>64158</v>
      </c>
      <c r="P722">
        <v>1.65490538937108E-3</v>
      </c>
      <c r="Q722">
        <v>1.6535375423442E-3</v>
      </c>
      <c r="R722" s="8">
        <v>21.346509933471701</v>
      </c>
      <c r="S722" s="8">
        <v>3.1872508053160303E-2</v>
      </c>
      <c r="T722" s="9">
        <v>3.1375120719658298E-2</v>
      </c>
      <c r="U722" s="12">
        <v>5.1659999999999998E-2</v>
      </c>
      <c r="V722" s="16">
        <v>3.1604999999999999</v>
      </c>
      <c r="W722" s="17">
        <f t="shared" si="11"/>
        <v>-6.1320754716982506E-3</v>
      </c>
    </row>
    <row r="723" spans="1:23" x14ac:dyDescent="0.2">
      <c r="A723" s="15">
        <v>42591</v>
      </c>
      <c r="B723" s="5">
        <v>197701216759778</v>
      </c>
      <c r="C723" s="5">
        <f>[1]!nefin_factors__1[[#This Row],[Rm_minus_Rf]]/B722-1</f>
        <v>-1.7892170691067468</v>
      </c>
      <c r="D723" s="5">
        <v>766044273637108</v>
      </c>
      <c r="E723" s="5">
        <f>[1]!nefin_factors__1[[#This Row],[SMB]]/D722-1</f>
        <v>-4.5209164909832129</v>
      </c>
      <c r="F723" s="5">
        <v>707795851811781</v>
      </c>
      <c r="G723" s="5">
        <f>[1]!nefin_factors__1[[#This Row],[HML]]/F722-1</f>
        <v>-1.7564956030158489</v>
      </c>
      <c r="H723" s="5">
        <v>524265714006766</v>
      </c>
      <c r="I723" s="6">
        <f>[1]!nefin_factors__1[[#This Row],[Risk_Free]]/H722-1</f>
        <v>0</v>
      </c>
      <c r="J723">
        <v>64157</v>
      </c>
      <c r="K723">
        <v>64358</v>
      </c>
      <c r="L723">
        <v>61794</v>
      </c>
      <c r="M723">
        <v>63258</v>
      </c>
      <c r="N723">
        <v>5630100</v>
      </c>
      <c r="O723">
        <v>63258</v>
      </c>
      <c r="P723">
        <v>-1.4027868699149E-2</v>
      </c>
      <c r="Q723">
        <v>-1.41271891797069E-2</v>
      </c>
      <c r="R723" s="8">
        <v>21.0580444335938</v>
      </c>
      <c r="S723" s="8">
        <v>-1.3513518528345699E-2</v>
      </c>
      <c r="T723" s="9">
        <v>-1.36056571393072E-2</v>
      </c>
      <c r="U723" s="12">
        <v>5.1659999999999998E-2</v>
      </c>
      <c r="V723" s="16">
        <v>3.1593</v>
      </c>
      <c r="W723" s="17">
        <f t="shared" si="11"/>
        <v>-3.7968675842425803E-4</v>
      </c>
    </row>
    <row r="724" spans="1:23" x14ac:dyDescent="0.2">
      <c r="A724" s="14">
        <v>42592</v>
      </c>
      <c r="B724" s="3">
        <v>-113625059696815</v>
      </c>
      <c r="C724" s="3">
        <f>[1]!nefin_factors__1[[#This Row],[Rm_minus_Rf]]/B723-1</f>
        <v>-1.5747312108598606</v>
      </c>
      <c r="D724" s="3">
        <v>-249046645779511</v>
      </c>
      <c r="E724" s="3">
        <f>[1]!nefin_factors__1[[#This Row],[SMB]]/D723-1</f>
        <v>-1.3251073787120167</v>
      </c>
      <c r="F724" s="3">
        <v>-61667194218254</v>
      </c>
      <c r="G724" s="3">
        <f>[1]!nefin_factors__1[[#This Row],[HML]]/F723-1</f>
        <v>-1.0871256790505361</v>
      </c>
      <c r="H724" s="3">
        <v>524265714006766</v>
      </c>
      <c r="I724" s="4">
        <f>[1]!nefin_factors__1[[#This Row],[Risk_Free]]/H723-1</f>
        <v>0</v>
      </c>
      <c r="J724">
        <v>63261</v>
      </c>
      <c r="K724">
        <v>63903</v>
      </c>
      <c r="L724">
        <v>60553</v>
      </c>
      <c r="M724">
        <v>61201</v>
      </c>
      <c r="N724">
        <v>7623700</v>
      </c>
      <c r="O724">
        <v>61201</v>
      </c>
      <c r="P724">
        <v>-3.2517626229093599E-2</v>
      </c>
      <c r="Q724">
        <v>-3.3058072568800403E-2</v>
      </c>
      <c r="R724" s="8">
        <v>20.3162727355957</v>
      </c>
      <c r="S724" s="8">
        <v>-3.5225129349876302E-2</v>
      </c>
      <c r="T724" s="9">
        <v>-3.5860499523668501E-2</v>
      </c>
      <c r="U724" s="12">
        <v>5.1659999999999998E-2</v>
      </c>
      <c r="V724" s="16">
        <v>3.1311</v>
      </c>
      <c r="W724" s="17">
        <f t="shared" si="11"/>
        <v>-8.9260279175766843E-3</v>
      </c>
    </row>
    <row r="725" spans="1:23" x14ac:dyDescent="0.2">
      <c r="A725" s="15">
        <v>42593</v>
      </c>
      <c r="B725" s="5">
        <v>227681229631712</v>
      </c>
      <c r="C725" s="5">
        <f>[1]!nefin_factors__1[[#This Row],[Rm_minus_Rf]]/B724-1</f>
        <v>-3.0037941475166861</v>
      </c>
      <c r="D725" s="5">
        <v>-514209339628725</v>
      </c>
      <c r="E725" s="5">
        <f>[1]!nefin_factors__1[[#This Row],[SMB]]/D724-1</f>
        <v>1.0647109621543391</v>
      </c>
      <c r="F725" s="5">
        <v>614746616500278</v>
      </c>
      <c r="G725" s="5">
        <f>[1]!nefin_factors__1[[#This Row],[HML]]/F724-1</f>
        <v>-10.968778769544016</v>
      </c>
      <c r="H725" s="5">
        <v>524265714006766</v>
      </c>
      <c r="I725" s="6">
        <f>[1]!nefin_factors__1[[#This Row],[Risk_Free]]/H724-1</f>
        <v>0</v>
      </c>
      <c r="J725">
        <v>61199</v>
      </c>
      <c r="K725">
        <v>61626</v>
      </c>
      <c r="L725">
        <v>58921</v>
      </c>
      <c r="M725">
        <v>59184</v>
      </c>
      <c r="N725">
        <v>7572800</v>
      </c>
      <c r="O725">
        <v>59184</v>
      </c>
      <c r="P725">
        <v>-3.29569778271597E-2</v>
      </c>
      <c r="Q725">
        <v>-3.3512294163969003E-2</v>
      </c>
      <c r="R725" s="8">
        <v>19.665163040161101</v>
      </c>
      <c r="S725" s="8">
        <v>-3.2048751971634398E-2</v>
      </c>
      <c r="T725" s="9">
        <v>-3.25735565809094E-2</v>
      </c>
      <c r="U725" s="12">
        <v>5.1659999999999998E-2</v>
      </c>
      <c r="V725" s="16">
        <v>3.1193</v>
      </c>
      <c r="W725" s="17">
        <f t="shared" si="11"/>
        <v>-3.7686436076778129E-3</v>
      </c>
    </row>
    <row r="726" spans="1:23" x14ac:dyDescent="0.2">
      <c r="A726" s="14">
        <v>42594</v>
      </c>
      <c r="B726" s="3">
        <v>-192451843731695</v>
      </c>
      <c r="C726" s="3">
        <f>[1]!nefin_factors__1[[#This Row],[Rm_minus_Rf]]/B725-1</f>
        <v>-1.845268817473436</v>
      </c>
      <c r="D726" s="3">
        <v>-900597177532167</v>
      </c>
      <c r="E726" s="3">
        <f>[1]!nefin_factors__1[[#This Row],[SMB]]/D725-1</f>
        <v>0.75142127558870464</v>
      </c>
      <c r="F726" s="3">
        <v>-901569649931506</v>
      </c>
      <c r="G726" s="3">
        <f>[1]!nefin_factors__1[[#This Row],[HML]]/F725-1</f>
        <v>-2.4665711461156099</v>
      </c>
      <c r="H726" s="3">
        <v>524265714006766</v>
      </c>
      <c r="I726" s="4">
        <f>[1]!nefin_factors__1[[#This Row],[Risk_Free]]/H725-1</f>
        <v>0</v>
      </c>
      <c r="J726">
        <v>59183</v>
      </c>
      <c r="K726">
        <v>59961</v>
      </c>
      <c r="L726">
        <v>58322</v>
      </c>
      <c r="M726">
        <v>59657</v>
      </c>
      <c r="N726">
        <v>5408500</v>
      </c>
      <c r="O726">
        <v>59657</v>
      </c>
      <c r="P726">
        <v>7.9920248715870095E-3</v>
      </c>
      <c r="Q726">
        <v>7.9602577841351094E-3</v>
      </c>
      <c r="R726" s="8">
        <v>19.483842849731399</v>
      </c>
      <c r="S726" s="8">
        <v>-9.2201842022709996E-3</v>
      </c>
      <c r="T726" s="9">
        <v>-9.2629531956227602E-3</v>
      </c>
      <c r="U726" s="12">
        <v>5.1659999999999998E-2</v>
      </c>
      <c r="V726" s="16">
        <v>3.1219000000000001</v>
      </c>
      <c r="W726" s="17">
        <f t="shared" si="11"/>
        <v>8.3352034110228956E-4</v>
      </c>
    </row>
    <row r="727" spans="1:23" x14ac:dyDescent="0.2">
      <c r="A727" s="15">
        <v>42597</v>
      </c>
      <c r="B727" s="5">
        <v>130924422338296</v>
      </c>
      <c r="C727" s="5">
        <f>[1]!nefin_factors__1[[#This Row],[Rm_minus_Rf]]/B726-1</f>
        <v>-1.6802970540558868</v>
      </c>
      <c r="D727" s="5">
        <v>-158443841750296</v>
      </c>
      <c r="E727" s="5">
        <f>[1]!nefin_factors__1[[#This Row],[SMB]]/D726-1</f>
        <v>-0.82406802319271444</v>
      </c>
      <c r="F727" s="5">
        <v>380099994945572</v>
      </c>
      <c r="G727" s="5">
        <f>[1]!nefin_factors__1[[#This Row],[HML]]/F726-1</f>
        <v>-1.4215980373501358</v>
      </c>
      <c r="H727" s="5">
        <v>524265714006766</v>
      </c>
      <c r="I727" s="6">
        <f>[1]!nefin_factors__1[[#This Row],[Risk_Free]]/H726-1</f>
        <v>0</v>
      </c>
      <c r="J727">
        <v>59658</v>
      </c>
      <c r="K727">
        <v>60915</v>
      </c>
      <c r="L727">
        <v>59364</v>
      </c>
      <c r="M727">
        <v>60759</v>
      </c>
      <c r="N727">
        <v>4582900</v>
      </c>
      <c r="O727">
        <v>60759</v>
      </c>
      <c r="P727">
        <v>1.8472266456576798E-2</v>
      </c>
      <c r="Q727">
        <v>1.8303726521719701E-2</v>
      </c>
      <c r="R727" s="8">
        <v>19.673404693603501</v>
      </c>
      <c r="S727" s="8">
        <v>9.7291297573054401E-3</v>
      </c>
      <c r="T727" s="9">
        <v>9.6821065251354692E-3</v>
      </c>
      <c r="U727" s="12">
        <v>5.1659999999999998E-2</v>
      </c>
      <c r="V727" s="16">
        <v>3.1429</v>
      </c>
      <c r="W727" s="17">
        <f t="shared" si="11"/>
        <v>6.7266728594765901E-3</v>
      </c>
    </row>
    <row r="728" spans="1:23" x14ac:dyDescent="0.2">
      <c r="A728" s="14">
        <v>42598</v>
      </c>
      <c r="B728" s="3">
        <v>-430142203990553</v>
      </c>
      <c r="C728" s="3">
        <f>[1]!nefin_factors__1[[#This Row],[Rm_minus_Rf]]/B727-1</f>
        <v>-4.2854237300288194</v>
      </c>
      <c r="D728" s="3">
        <v>614659023721338</v>
      </c>
      <c r="E728" s="3">
        <f>[1]!nefin_factors__1[[#This Row],[SMB]]/D727-1</f>
        <v>-4.8793494081646109</v>
      </c>
      <c r="F728" s="3">
        <v>563872660593737</v>
      </c>
      <c r="G728" s="3">
        <f>[1]!nefin_factors__1[[#This Row],[HML]]/F727-1</f>
        <v>0.48348505154408161</v>
      </c>
      <c r="H728" s="3">
        <v>524265714006766</v>
      </c>
      <c r="I728" s="4">
        <f>[1]!nefin_factors__1[[#This Row],[Risk_Free]]/H727-1</f>
        <v>0</v>
      </c>
      <c r="J728">
        <v>60763</v>
      </c>
      <c r="K728">
        <v>61493</v>
      </c>
      <c r="L728">
        <v>59746</v>
      </c>
      <c r="M728">
        <v>59770</v>
      </c>
      <c r="N728">
        <v>3531300</v>
      </c>
      <c r="O728">
        <v>59770</v>
      </c>
      <c r="P728">
        <v>-1.6277423920736101E-2</v>
      </c>
      <c r="Q728">
        <v>-1.6411356559790001E-2</v>
      </c>
      <c r="R728" s="8">
        <v>19.912420272827099</v>
      </c>
      <c r="S728" s="8">
        <v>1.21491748345683E-2</v>
      </c>
      <c r="T728" s="9">
        <v>1.2075965965094601E-2</v>
      </c>
      <c r="U728" s="12">
        <v>5.1659999999999998E-2</v>
      </c>
      <c r="V728" s="16">
        <v>3.1815000000000002</v>
      </c>
      <c r="W728" s="17">
        <f t="shared" si="11"/>
        <v>1.228165070476317E-2</v>
      </c>
    </row>
    <row r="729" spans="1:23" x14ac:dyDescent="0.2">
      <c r="A729" s="15">
        <v>42599</v>
      </c>
      <c r="B729" s="5">
        <v>639624035330432</v>
      </c>
      <c r="C729" s="5">
        <f>[1]!nefin_factors__1[[#This Row],[Rm_minus_Rf]]/B728-1</f>
        <v>-2.4870059933586051</v>
      </c>
      <c r="D729" s="5">
        <v>-240657686369844</v>
      </c>
      <c r="E729" s="5">
        <f>[1]!nefin_factors__1[[#This Row],[SMB]]/D728-1</f>
        <v>-1.3915303885279795</v>
      </c>
      <c r="F729" s="5">
        <v>-60630823675907</v>
      </c>
      <c r="G729" s="5">
        <f>[1]!nefin_factors__1[[#This Row],[HML]]/F728-1</f>
        <v>-1.1075257374813401</v>
      </c>
      <c r="H729" s="5">
        <v>524613607551627</v>
      </c>
      <c r="I729" s="6">
        <f>[1]!nefin_factors__1[[#This Row],[Risk_Free]]/H728-1</f>
        <v>6.6358248416098498E-4</v>
      </c>
      <c r="J729">
        <v>59770</v>
      </c>
      <c r="K729">
        <v>60193</v>
      </c>
      <c r="L729">
        <v>59327</v>
      </c>
      <c r="M729">
        <v>59962</v>
      </c>
      <c r="N729">
        <v>3462400</v>
      </c>
      <c r="O729">
        <v>59962</v>
      </c>
      <c r="P729">
        <v>3.21231386983434E-3</v>
      </c>
      <c r="Q729">
        <v>3.2071654123297E-3</v>
      </c>
      <c r="R729" s="8">
        <v>19.755823135376001</v>
      </c>
      <c r="S729" s="8">
        <v>-7.8643833957021698E-3</v>
      </c>
      <c r="T729" s="9">
        <v>-7.8954707546733307E-3</v>
      </c>
      <c r="U729" s="12">
        <v>5.1659999999999998E-2</v>
      </c>
      <c r="V729" s="16">
        <v>3.1810999999999998</v>
      </c>
      <c r="W729" s="17">
        <f t="shared" si="11"/>
        <v>-1.2572685840028797E-4</v>
      </c>
    </row>
    <row r="730" spans="1:23" x14ac:dyDescent="0.2">
      <c r="A730" s="14">
        <v>42600</v>
      </c>
      <c r="B730" s="3">
        <v>-233059211035261</v>
      </c>
      <c r="C730" s="3">
        <f>[1]!nefin_factors__1[[#This Row],[Rm_minus_Rf]]/B729-1</f>
        <v>-1.3643690639531108</v>
      </c>
      <c r="D730" s="3">
        <v>100410657285493</v>
      </c>
      <c r="E730" s="3">
        <f>[1]!nefin_factors__1[[#This Row],[SMB]]/D729-1</f>
        <v>-1.4172343663737437</v>
      </c>
      <c r="F730" s="3">
        <v>964265706570713</v>
      </c>
      <c r="G730" s="3">
        <f>[1]!nefin_factors__1[[#This Row],[HML]]/F729-1</f>
        <v>-16.903885979267759</v>
      </c>
      <c r="H730" s="3">
        <v>524265714006766</v>
      </c>
      <c r="I730" s="4">
        <f>[1]!nefin_factors__1[[#This Row],[Risk_Free]]/H729-1</f>
        <v>-6.6314243445686483E-4</v>
      </c>
      <c r="J730">
        <v>59963</v>
      </c>
      <c r="K730">
        <v>61070</v>
      </c>
      <c r="L730">
        <v>59963</v>
      </c>
      <c r="M730">
        <v>61070</v>
      </c>
      <c r="N730">
        <v>3520100</v>
      </c>
      <c r="O730">
        <v>61070</v>
      </c>
      <c r="P730">
        <v>1.8478369634101498E-2</v>
      </c>
      <c r="Q730">
        <v>1.8309718986550799E-2</v>
      </c>
      <c r="R730" s="8">
        <v>20.110225677490199</v>
      </c>
      <c r="S730" s="8">
        <v>1.79391284194352E-2</v>
      </c>
      <c r="T730" s="9">
        <v>1.7780121074742101E-2</v>
      </c>
      <c r="U730" s="12">
        <v>5.1659999999999998E-2</v>
      </c>
      <c r="V730" s="16">
        <v>3.2052999999999998</v>
      </c>
      <c r="W730" s="17">
        <f t="shared" si="11"/>
        <v>7.6074313916569825E-3</v>
      </c>
    </row>
    <row r="731" spans="1:23" x14ac:dyDescent="0.2">
      <c r="A731" s="15">
        <v>42601</v>
      </c>
      <c r="B731" s="5">
        <v>-252020051210792</v>
      </c>
      <c r="C731" s="5">
        <f>[1]!nefin_factors__1[[#This Row],[Rm_minus_Rf]]/B730-1</f>
        <v>8.1356321817558586E-2</v>
      </c>
      <c r="D731" s="5">
        <v>634185575395102</v>
      </c>
      <c r="E731" s="5">
        <f>[1]!nefin_factors__1[[#This Row],[SMB]]/D730-1</f>
        <v>5.3159189725444316</v>
      </c>
      <c r="F731" s="5">
        <v>462949967647382</v>
      </c>
      <c r="G731" s="5">
        <f>[1]!nefin_factors__1[[#This Row],[HML]]/F730-1</f>
        <v>-0.51989377565463357</v>
      </c>
      <c r="H731" s="5">
        <v>524265714006766</v>
      </c>
      <c r="I731" s="6">
        <f>[1]!nefin_factors__1[[#This Row],[Risk_Free]]/H730-1</f>
        <v>0</v>
      </c>
      <c r="J731">
        <v>61072</v>
      </c>
      <c r="K731">
        <v>62550</v>
      </c>
      <c r="L731">
        <v>61072</v>
      </c>
      <c r="M731">
        <v>61954</v>
      </c>
      <c r="N731">
        <v>3987100</v>
      </c>
      <c r="O731">
        <v>61954</v>
      </c>
      <c r="P731">
        <v>1.44751924021616E-2</v>
      </c>
      <c r="Q731">
        <v>1.43714269558331E-2</v>
      </c>
      <c r="R731" s="8">
        <v>19.623954772949201</v>
      </c>
      <c r="S731" s="8">
        <v>-2.4180128411047701E-2</v>
      </c>
      <c r="T731" s="9">
        <v>-2.44772674001353E-2</v>
      </c>
      <c r="U731" s="12">
        <v>5.1659999999999998E-2</v>
      </c>
      <c r="V731" s="16">
        <v>3.2309999999999999</v>
      </c>
      <c r="W731" s="17">
        <f t="shared" si="11"/>
        <v>8.017970236795291E-3</v>
      </c>
    </row>
    <row r="732" spans="1:23" x14ac:dyDescent="0.2">
      <c r="A732" s="14">
        <v>42604</v>
      </c>
      <c r="B732" s="3">
        <v>-218858709511041</v>
      </c>
      <c r="C732" s="3">
        <f>[1]!nefin_factors__1[[#This Row],[Rm_minus_Rf]]/B731-1</f>
        <v>-0.13158215602461942</v>
      </c>
      <c r="D732" s="3">
        <v>288125895090011</v>
      </c>
      <c r="E732" s="3">
        <f>[1]!nefin_factors__1[[#This Row],[SMB]]/D731-1</f>
        <v>-0.54567573551242221</v>
      </c>
      <c r="F732" s="3">
        <v>-468719688906603</v>
      </c>
      <c r="G732" s="3">
        <f>[1]!nefin_factors__1[[#This Row],[HML]]/F731-1</f>
        <v>-2.0124629477533862</v>
      </c>
      <c r="H732" s="3">
        <v>524265714006766</v>
      </c>
      <c r="I732" s="4">
        <f>[1]!nefin_factors__1[[#This Row],[Risk_Free]]/H731-1</f>
        <v>0</v>
      </c>
      <c r="J732">
        <v>61956</v>
      </c>
      <c r="K732">
        <v>62046</v>
      </c>
      <c r="L732">
        <v>61234</v>
      </c>
      <c r="M732">
        <v>61986</v>
      </c>
      <c r="N732">
        <v>3489700</v>
      </c>
      <c r="O732">
        <v>61986</v>
      </c>
      <c r="P732">
        <v>5.1651225102489196E-4</v>
      </c>
      <c r="Q732">
        <v>5.1637890448693398E-4</v>
      </c>
      <c r="R732" s="8">
        <v>19.162408828735401</v>
      </c>
      <c r="S732" s="8">
        <v>-2.35195360518815E-2</v>
      </c>
      <c r="T732" s="9">
        <v>-2.38005350630534E-2</v>
      </c>
      <c r="U732" s="12">
        <v>5.1659999999999998E-2</v>
      </c>
      <c r="V732" s="16">
        <v>3.2448999999999999</v>
      </c>
      <c r="W732" s="17">
        <f t="shared" si="11"/>
        <v>4.3020736614052257E-3</v>
      </c>
    </row>
    <row r="733" spans="1:23" x14ac:dyDescent="0.2">
      <c r="A733" s="15">
        <v>42605</v>
      </c>
      <c r="B733" s="5">
        <v>350515416355391</v>
      </c>
      <c r="C733" s="5">
        <f>[1]!nefin_factors__1[[#This Row],[Rm_minus_Rf]]/B732-1</f>
        <v>-2.6015602812357264</v>
      </c>
      <c r="D733" s="5">
        <v>-794272325623967</v>
      </c>
      <c r="E733" s="5">
        <f>[1]!nefin_factors__1[[#This Row],[SMB]]/D732-1</f>
        <v>-3.7566849740313519</v>
      </c>
      <c r="F733" s="5">
        <v>-553966795960006</v>
      </c>
      <c r="G733" s="5">
        <f>[1]!nefin_factors__1[[#This Row],[HML]]/F732-1</f>
        <v>0.18187225557403308</v>
      </c>
      <c r="H733" s="5">
        <v>524265714006766</v>
      </c>
      <c r="I733" s="6">
        <f>[1]!nefin_factors__1[[#This Row],[Risk_Free]]/H732-1</f>
        <v>0</v>
      </c>
      <c r="J733">
        <v>61999</v>
      </c>
      <c r="K733">
        <v>62105</v>
      </c>
      <c r="L733">
        <v>61392</v>
      </c>
      <c r="M733">
        <v>61396</v>
      </c>
      <c r="N733">
        <v>1647100</v>
      </c>
      <c r="O733">
        <v>61396</v>
      </c>
      <c r="P733">
        <v>-9.5182783209111204E-3</v>
      </c>
      <c r="Q733">
        <v>-9.5638666442016892E-3</v>
      </c>
      <c r="R733" s="8">
        <v>19.286035537719702</v>
      </c>
      <c r="S733" s="8">
        <v>6.4514375438651196E-3</v>
      </c>
      <c r="T733" s="9">
        <v>6.4307160950130299E-3</v>
      </c>
      <c r="U733" s="12">
        <v>5.1659999999999998E-2</v>
      </c>
      <c r="V733" s="16">
        <v>3.2023999999999999</v>
      </c>
      <c r="W733" s="17">
        <f t="shared" si="11"/>
        <v>-1.3097476039323208E-2</v>
      </c>
    </row>
    <row r="734" spans="1:23" x14ac:dyDescent="0.2">
      <c r="A734" s="14">
        <v>42606</v>
      </c>
      <c r="B734" s="3">
        <v>-530111842420949</v>
      </c>
      <c r="C734" s="3">
        <f>[1]!nefin_factors__1[[#This Row],[Rm_minus_Rf]]/B733-1</f>
        <v>-2.5123781085949823</v>
      </c>
      <c r="D734" s="3">
        <v>-108173136341461</v>
      </c>
      <c r="E734" s="3">
        <f>[1]!nefin_factors__1[[#This Row],[SMB]]/D733-1</f>
        <v>-0.86380850389508157</v>
      </c>
      <c r="F734" s="3">
        <v>-802921554469495</v>
      </c>
      <c r="G734" s="3">
        <f>[1]!nefin_factors__1[[#This Row],[HML]]/F733-1</f>
        <v>0.44940375546887923</v>
      </c>
      <c r="H734" s="3">
        <v>524265714006766</v>
      </c>
      <c r="I734" s="4">
        <f>[1]!nefin_factors__1[[#This Row],[Risk_Free]]/H733-1</f>
        <v>0</v>
      </c>
      <c r="J734">
        <v>61394</v>
      </c>
      <c r="K734">
        <v>61559</v>
      </c>
      <c r="L734">
        <v>60573</v>
      </c>
      <c r="M734">
        <v>61559</v>
      </c>
      <c r="N734">
        <v>2653700</v>
      </c>
      <c r="O734">
        <v>61559</v>
      </c>
      <c r="P734">
        <v>2.6548960844354802E-3</v>
      </c>
      <c r="Q734">
        <v>2.6513780730866299E-3</v>
      </c>
      <c r="R734" s="8">
        <v>19.4591159820557</v>
      </c>
      <c r="S734" s="8">
        <v>8.9743630554770509E-3</v>
      </c>
      <c r="T734" s="9">
        <v>8.9343327785842194E-3</v>
      </c>
      <c r="U734" s="12">
        <v>5.1659999999999998E-2</v>
      </c>
      <c r="V734" s="16">
        <v>3.2023999999999999</v>
      </c>
      <c r="W734" s="17">
        <f t="shared" si="11"/>
        <v>0</v>
      </c>
    </row>
    <row r="735" spans="1:23" x14ac:dyDescent="0.2">
      <c r="A735" s="15">
        <v>42607</v>
      </c>
      <c r="B735" s="5">
        <v>-147045768318731</v>
      </c>
      <c r="C735" s="5">
        <f>[1]!nefin_factors__1[[#This Row],[Rm_minus_Rf]]/B734-1</f>
        <v>-0.72261368912795287</v>
      </c>
      <c r="D735" s="5">
        <v>-552650122442951</v>
      </c>
      <c r="E735" s="5">
        <f>[1]!nefin_factors__1[[#This Row],[SMB]]/D734-1</f>
        <v>4.1089405478495795</v>
      </c>
      <c r="F735" s="5">
        <v>-106341689031927</v>
      </c>
      <c r="G735" s="5">
        <f>[1]!nefin_factors__1[[#This Row],[HML]]/F734-1</f>
        <v>-0.86755656459840724</v>
      </c>
      <c r="H735" s="5">
        <v>524265714006766</v>
      </c>
      <c r="I735" s="6">
        <f>[1]!nefin_factors__1[[#This Row],[Risk_Free]]/H734-1</f>
        <v>0</v>
      </c>
      <c r="J735">
        <v>61559</v>
      </c>
      <c r="K735">
        <v>62934</v>
      </c>
      <c r="L735">
        <v>61240</v>
      </c>
      <c r="M735">
        <v>62855</v>
      </c>
      <c r="N735">
        <v>2752000</v>
      </c>
      <c r="O735">
        <v>62855</v>
      </c>
      <c r="P735">
        <v>2.1052973570071101E-2</v>
      </c>
      <c r="Q735">
        <v>2.0834421842546198E-2</v>
      </c>
      <c r="R735" s="8">
        <v>19.368455886840799</v>
      </c>
      <c r="S735" s="8">
        <v>-4.6589576444795401E-3</v>
      </c>
      <c r="T735" s="9">
        <v>-4.6698444148081898E-3</v>
      </c>
      <c r="U735" s="12">
        <v>5.1659999999999998E-2</v>
      </c>
      <c r="V735" s="16">
        <v>3.2258</v>
      </c>
      <c r="W735" s="17">
        <f t="shared" si="11"/>
        <v>7.3070197351985389E-3</v>
      </c>
    </row>
    <row r="736" spans="1:23" x14ac:dyDescent="0.2">
      <c r="A736" s="14">
        <v>42608</v>
      </c>
      <c r="B736" s="3">
        <v>623923298659386</v>
      </c>
      <c r="C736" s="3">
        <f>[1]!nefin_factors__1[[#This Row],[Rm_minus_Rf]]/B735-1</f>
        <v>-5.2430551099368792</v>
      </c>
      <c r="D736" s="3">
        <v>810704493710022</v>
      </c>
      <c r="E736" s="3">
        <f>[1]!nefin_factors__1[[#This Row],[SMB]]/D735-1</f>
        <v>-2.4669398608406343</v>
      </c>
      <c r="F736" s="3">
        <v>821653496733442</v>
      </c>
      <c r="G736" s="3">
        <f>[1]!nefin_factors__1[[#This Row],[HML]]/F735-1</f>
        <v>-8.726541718617586</v>
      </c>
      <c r="H736" s="3">
        <v>524265714006766</v>
      </c>
      <c r="I736" s="4">
        <f>[1]!nefin_factors__1[[#This Row],[Risk_Free]]/H735-1</f>
        <v>0</v>
      </c>
      <c r="J736">
        <v>62859</v>
      </c>
      <c r="K736">
        <v>62859</v>
      </c>
      <c r="L736">
        <v>60980</v>
      </c>
      <c r="M736">
        <v>60987</v>
      </c>
      <c r="N736">
        <v>3423900</v>
      </c>
      <c r="O736">
        <v>60987</v>
      </c>
      <c r="P736">
        <v>-2.9719194972555901E-2</v>
      </c>
      <c r="Q736">
        <v>-3.0169759659757701E-2</v>
      </c>
      <c r="R736" s="8">
        <v>19.335487365722699</v>
      </c>
      <c r="S736" s="8">
        <v>-1.7022451374101299E-3</v>
      </c>
      <c r="T736" s="9">
        <v>-1.70369560292967E-3</v>
      </c>
      <c r="U736" s="12">
        <v>5.1659999999999998E-2</v>
      </c>
      <c r="V736" s="16">
        <v>3.3104</v>
      </c>
      <c r="W736" s="17">
        <f t="shared" si="11"/>
        <v>2.6226052452104964E-2</v>
      </c>
    </row>
    <row r="737" spans="1:23" x14ac:dyDescent="0.2">
      <c r="A737" s="15">
        <v>42611</v>
      </c>
      <c r="B737" s="5">
        <v>140974638776083</v>
      </c>
      <c r="C737" s="5">
        <f>[1]!nefin_factors__1[[#This Row],[Rm_minus_Rf]]/B736-1</f>
        <v>-0.77405133118286662</v>
      </c>
      <c r="D737" s="5">
        <v>-742171312929516</v>
      </c>
      <c r="E737" s="5">
        <f>[1]!nefin_factors__1[[#This Row],[SMB]]/D736-1</f>
        <v>-1.9154646590561279</v>
      </c>
      <c r="F737" s="5">
        <v>-860185104419301</v>
      </c>
      <c r="G737" s="5">
        <f>[1]!nefin_factors__1[[#This Row],[HML]]/F736-1</f>
        <v>-2.0468952031958056</v>
      </c>
      <c r="H737" s="5">
        <v>524265714006766</v>
      </c>
      <c r="I737" s="6">
        <f>[1]!nefin_factors__1[[#This Row],[Risk_Free]]/H736-1</f>
        <v>0</v>
      </c>
      <c r="J737">
        <v>60994</v>
      </c>
      <c r="K737">
        <v>62590</v>
      </c>
      <c r="L737">
        <v>60994</v>
      </c>
      <c r="M737">
        <v>61906</v>
      </c>
      <c r="N737">
        <v>4587300</v>
      </c>
      <c r="O737">
        <v>61906</v>
      </c>
      <c r="P737">
        <v>1.50687851509339E-2</v>
      </c>
      <c r="Q737">
        <v>1.49563788191711E-2</v>
      </c>
      <c r="R737" s="8">
        <v>19.607469558715799</v>
      </c>
      <c r="S737" s="8">
        <v>1.4066546851565701E-2</v>
      </c>
      <c r="T737" s="9">
        <v>1.3968531074307899E-2</v>
      </c>
      <c r="U737" s="12">
        <v>5.1659999999999998E-2</v>
      </c>
      <c r="V737" s="16">
        <v>3.4377</v>
      </c>
      <c r="W737" s="17">
        <f t="shared" si="11"/>
        <v>3.8454567423876318E-2</v>
      </c>
    </row>
    <row r="738" spans="1:23" x14ac:dyDescent="0.2">
      <c r="A738" s="14">
        <v>42612</v>
      </c>
      <c r="B738" s="3">
        <v>622066260417981</v>
      </c>
      <c r="C738" s="3">
        <f>[1]!nefin_factors__1[[#This Row],[Rm_minus_Rf]]/B737-1</f>
        <v>3.4126111321770409</v>
      </c>
      <c r="D738" s="3">
        <v>-506893728973715</v>
      </c>
      <c r="E738" s="3">
        <f>[1]!nefin_factors__1[[#This Row],[SMB]]/D737-1</f>
        <v>-0.31701250082963706</v>
      </c>
      <c r="F738" s="3">
        <v>-35269032400648</v>
      </c>
      <c r="G738" s="3">
        <f>[1]!nefin_factors__1[[#This Row],[HML]]/F737-1</f>
        <v>-0.9589983223152212</v>
      </c>
      <c r="H738" s="3">
        <v>524265714006766</v>
      </c>
      <c r="I738" s="4">
        <f>[1]!nefin_factors__1[[#This Row],[Risk_Free]]/H737-1</f>
        <v>0</v>
      </c>
      <c r="J738">
        <v>61906</v>
      </c>
      <c r="K738">
        <v>61911</v>
      </c>
      <c r="L738">
        <v>59058</v>
      </c>
      <c r="M738">
        <v>59507</v>
      </c>
      <c r="N738">
        <v>5352800</v>
      </c>
      <c r="O738">
        <v>59507</v>
      </c>
      <c r="P738">
        <v>-3.8752301877039402E-2</v>
      </c>
      <c r="Q738">
        <v>-3.9523152835672697E-2</v>
      </c>
      <c r="R738" s="8">
        <v>18.700860977172901</v>
      </c>
      <c r="S738" s="8">
        <v>-4.62379783922654E-2</v>
      </c>
      <c r="T738" s="9">
        <v>-4.7341091893853902E-2</v>
      </c>
      <c r="U738" s="12">
        <v>5.1659999999999998E-2</v>
      </c>
      <c r="V738" s="16">
        <v>3.4445999999999999</v>
      </c>
      <c r="W738" s="17">
        <f t="shared" si="11"/>
        <v>2.0071559472902845E-3</v>
      </c>
    </row>
    <row r="739" spans="1:23" x14ac:dyDescent="0.2">
      <c r="A739" s="15">
        <v>42613</v>
      </c>
      <c r="B739" s="5">
        <v>-97881434773052</v>
      </c>
      <c r="C739" s="5">
        <f>[1]!nefin_factors__1[[#This Row],[Rm_minus_Rf]]/B738-1</f>
        <v>-1.1573488886976175</v>
      </c>
      <c r="D739" s="5">
        <v>817168022829581</v>
      </c>
      <c r="E739" s="5">
        <f>[1]!nefin_factors__1[[#This Row],[SMB]]/D738-1</f>
        <v>-2.6121091584306328</v>
      </c>
      <c r="F739" s="5">
        <v>537239013563351</v>
      </c>
      <c r="G739" s="5">
        <f>[1]!nefin_factors__1[[#This Row],[HML]]/F738-1</f>
        <v>-16.232598599826638</v>
      </c>
      <c r="H739" s="5">
        <v>524265714006766</v>
      </c>
      <c r="I739" s="6">
        <f>[1]!nefin_factors__1[[#This Row],[Risk_Free]]/H738-1</f>
        <v>0</v>
      </c>
      <c r="J739">
        <v>59499</v>
      </c>
      <c r="K739">
        <v>60379</v>
      </c>
      <c r="L739">
        <v>58092</v>
      </c>
      <c r="M739">
        <v>60316</v>
      </c>
      <c r="N739">
        <v>4344200</v>
      </c>
      <c r="O739">
        <v>60316</v>
      </c>
      <c r="P739">
        <v>1.35950392390811E-2</v>
      </c>
      <c r="Q739">
        <v>1.3503455813013999E-2</v>
      </c>
      <c r="R739" s="8">
        <v>18.560749053955099</v>
      </c>
      <c r="S739" s="8">
        <v>-7.4922759632211101E-3</v>
      </c>
      <c r="T739" s="9">
        <v>-7.5204840462593202E-3</v>
      </c>
      <c r="U739" s="12">
        <v>5.1659999999999998E-2</v>
      </c>
      <c r="V739" s="16">
        <v>3.4182999999999999</v>
      </c>
      <c r="W739" s="17">
        <f t="shared" si="11"/>
        <v>-7.6351390582360956E-3</v>
      </c>
    </row>
    <row r="740" spans="1:23" x14ac:dyDescent="0.2">
      <c r="A740" s="14">
        <v>42614</v>
      </c>
      <c r="B740" s="3">
        <v>791364283377242</v>
      </c>
      <c r="C740" s="3">
        <f>[1]!nefin_factors__1[[#This Row],[Rm_minus_Rf]]/B739-1</f>
        <v>-9.0849272920048634</v>
      </c>
      <c r="D740" s="3">
        <v>-551246811227151</v>
      </c>
      <c r="E740" s="3">
        <f>[1]!nefin_factors__1[[#This Row],[SMB]]/D739-1</f>
        <v>-1.674581965797397</v>
      </c>
      <c r="F740" s="3">
        <v>-226946059442268</v>
      </c>
      <c r="G740" s="3">
        <f>[1]!nefin_factors__1[[#This Row],[HML]]/F739-1</f>
        <v>-1.4224303405238581</v>
      </c>
      <c r="H740" s="3">
        <v>524613607551627</v>
      </c>
      <c r="I740" s="4">
        <f>[1]!nefin_factors__1[[#This Row],[Risk_Free]]/H739-1</f>
        <v>6.6358248416098498E-4</v>
      </c>
      <c r="J740">
        <v>60322</v>
      </c>
      <c r="K740">
        <v>60720</v>
      </c>
      <c r="L740">
        <v>59635</v>
      </c>
      <c r="M740">
        <v>59832</v>
      </c>
      <c r="N740">
        <v>2861200</v>
      </c>
      <c r="O740">
        <v>59832</v>
      </c>
      <c r="P740">
        <v>-8.0244048013794495E-3</v>
      </c>
      <c r="Q740">
        <v>-8.0567736141827304E-3</v>
      </c>
      <c r="R740" s="8">
        <v>18.6761360168457</v>
      </c>
      <c r="S740" s="8">
        <v>6.2168060010823201E-3</v>
      </c>
      <c r="T740" s="9">
        <v>6.1975613815144501E-3</v>
      </c>
      <c r="U740" s="12">
        <v>5.1659999999999998E-2</v>
      </c>
      <c r="V740" s="16">
        <v>3.4051999999999998</v>
      </c>
      <c r="W740" s="17">
        <f t="shared" si="11"/>
        <v>-3.8323143082819033E-3</v>
      </c>
    </row>
    <row r="741" spans="1:23" x14ac:dyDescent="0.2">
      <c r="A741" s="15">
        <v>42615</v>
      </c>
      <c r="B741" s="5">
        <v>214412518079891</v>
      </c>
      <c r="C741" s="5">
        <f>[1]!nefin_factors__1[[#This Row],[Rm_minus_Rf]]/B740-1</f>
        <v>-0.72905964726527728</v>
      </c>
      <c r="D741" s="5">
        <v>958547664284571</v>
      </c>
      <c r="E741" s="5">
        <f>[1]!nefin_factors__1[[#This Row],[SMB]]/D740-1</f>
        <v>-2.7388720347437703</v>
      </c>
      <c r="F741" s="5">
        <v>123079810660525</v>
      </c>
      <c r="G741" s="5">
        <f>[1]!nefin_factors__1[[#This Row],[HML]]/F740-1</f>
        <v>-1.5423306796469618</v>
      </c>
      <c r="H741" s="5">
        <v>524613607551627</v>
      </c>
      <c r="I741" s="6">
        <f>[1]!nefin_factors__1[[#This Row],[Risk_Free]]/H740-1</f>
        <v>0</v>
      </c>
      <c r="J741">
        <v>59828</v>
      </c>
      <c r="K741">
        <v>61235</v>
      </c>
      <c r="L741">
        <v>59396</v>
      </c>
      <c r="M741">
        <v>61088</v>
      </c>
      <c r="N741">
        <v>3606500</v>
      </c>
      <c r="O741">
        <v>61088</v>
      </c>
      <c r="P741">
        <v>2.0992111244818801E-2</v>
      </c>
      <c r="Q741">
        <v>2.07748126539706E-2</v>
      </c>
      <c r="R741" s="8">
        <v>18.9975700378418</v>
      </c>
      <c r="S741" s="8">
        <v>1.7210966061926399E-2</v>
      </c>
      <c r="T741" s="9">
        <v>1.7064535142721202E-2</v>
      </c>
      <c r="U741" s="12">
        <v>5.1659999999999998E-2</v>
      </c>
      <c r="V741" s="16">
        <v>3.3917000000000002</v>
      </c>
      <c r="W741" s="17">
        <f t="shared" si="11"/>
        <v>-3.9645248443556103E-3</v>
      </c>
    </row>
    <row r="742" spans="1:23" x14ac:dyDescent="0.2">
      <c r="A742" s="14">
        <v>42618</v>
      </c>
      <c r="B742" s="3">
        <v>-126272625676021</v>
      </c>
      <c r="C742" s="3">
        <f>[1]!nefin_factors__1[[#This Row],[Rm_minus_Rf]]/B741-1</f>
        <v>-1.5889237569094323</v>
      </c>
      <c r="D742" s="3">
        <v>142840228813491</v>
      </c>
      <c r="E742" s="3">
        <f>[1]!nefin_factors__1[[#This Row],[SMB]]/D741-1</f>
        <v>-0.8509826541384331</v>
      </c>
      <c r="F742" s="3">
        <v>551742112024124</v>
      </c>
      <c r="G742" s="3">
        <f>[1]!nefin_factors__1[[#This Row],[HML]]/F741-1</f>
        <v>3.4827994864724188</v>
      </c>
      <c r="H742" s="3">
        <v>524613607551627</v>
      </c>
      <c r="I742" s="4">
        <f>[1]!nefin_factors__1[[#This Row],[Risk_Free]]/H741-1</f>
        <v>0</v>
      </c>
      <c r="J742">
        <v>61111</v>
      </c>
      <c r="K742">
        <v>61918</v>
      </c>
      <c r="L742">
        <v>61062</v>
      </c>
      <c r="M742">
        <v>61414</v>
      </c>
      <c r="N742">
        <v>3841700</v>
      </c>
      <c r="O742">
        <v>61414</v>
      </c>
      <c r="P742">
        <v>5.3365636458879697E-3</v>
      </c>
      <c r="Q742">
        <v>5.3223746480557197E-3</v>
      </c>
      <c r="R742" s="8">
        <v>19.0387783050537</v>
      </c>
      <c r="S742" s="8">
        <v>2.1690343580380599E-3</v>
      </c>
      <c r="T742" s="9">
        <v>2.1666853990501399E-3</v>
      </c>
      <c r="U742" s="12">
        <v>5.1659999999999998E-2</v>
      </c>
      <c r="V742" s="16">
        <v>3.3517000000000001</v>
      </c>
      <c r="W742" s="17">
        <f t="shared" si="11"/>
        <v>-1.1793495887018279E-2</v>
      </c>
    </row>
    <row r="743" spans="1:23" x14ac:dyDescent="0.2">
      <c r="A743" s="15">
        <v>42619</v>
      </c>
      <c r="B743" s="5">
        <v>950195392854381</v>
      </c>
      <c r="C743" s="5">
        <f>[1]!nefin_factors__1[[#This Row],[Rm_minus_Rf]]/B742-1</f>
        <v>-8.5249515702026137</v>
      </c>
      <c r="D743" s="5">
        <v>-872772688994374</v>
      </c>
      <c r="E743" s="5">
        <f>[1]!nefin_factors__1[[#This Row],[SMB]]/D742-1</f>
        <v>-7.1101322522660517</v>
      </c>
      <c r="F743" s="5">
        <v>-119218383056094</v>
      </c>
      <c r="G743" s="5">
        <f>[1]!nefin_factors__1[[#This Row],[HML]]/F742-1</f>
        <v>-1.2160762799466744</v>
      </c>
      <c r="H743" s="5">
        <v>524265714006766</v>
      </c>
      <c r="I743" s="6">
        <f>[1]!nefin_factors__1[[#This Row],[Risk_Free]]/H742-1</f>
        <v>-6.6314243445686483E-4</v>
      </c>
      <c r="J743">
        <v>61430</v>
      </c>
      <c r="K743">
        <v>61936</v>
      </c>
      <c r="L743">
        <v>60499</v>
      </c>
      <c r="M743">
        <v>60677</v>
      </c>
      <c r="N743">
        <v>2936600</v>
      </c>
      <c r="O743">
        <v>60677</v>
      </c>
      <c r="P743">
        <v>-1.20005210538314E-2</v>
      </c>
      <c r="Q743">
        <v>-1.2073108616828801E-2</v>
      </c>
      <c r="R743" s="8">
        <v>19.319004058837901</v>
      </c>
      <c r="S743" s="8">
        <v>1.4718696673603E-2</v>
      </c>
      <c r="T743" s="9">
        <v>1.46114279472822E-2</v>
      </c>
      <c r="U743" s="12">
        <v>5.1659999999999998E-2</v>
      </c>
      <c r="V743" s="16">
        <v>3.3475999999999999</v>
      </c>
      <c r="W743" s="17">
        <f t="shared" si="11"/>
        <v>-1.2232598382910798E-3</v>
      </c>
    </row>
    <row r="744" spans="1:23" x14ac:dyDescent="0.2">
      <c r="A744" s="14">
        <v>42621</v>
      </c>
      <c r="B744" s="3">
        <v>747276621494716</v>
      </c>
      <c r="C744" s="3">
        <f>[1]!nefin_factors__1[[#This Row],[Rm_minus_Rf]]/B743-1</f>
        <v>-0.21355478345364132</v>
      </c>
      <c r="D744" s="3">
        <v>73896997038715</v>
      </c>
      <c r="E744" s="3">
        <f>[1]!nefin_factors__1[[#This Row],[SMB]]/D743-1</f>
        <v>-1.0846692362977817</v>
      </c>
      <c r="F744" s="3">
        <v>-160650967819139</v>
      </c>
      <c r="G744" s="3">
        <f>[1]!nefin_factors__1[[#This Row],[HML]]/F743-1</f>
        <v>0.34753520137536476</v>
      </c>
      <c r="H744" s="3">
        <v>524265714006766</v>
      </c>
      <c r="I744" s="4">
        <f>[1]!nefin_factors__1[[#This Row],[Risk_Free]]/H743-1</f>
        <v>0</v>
      </c>
      <c r="J744">
        <v>60688</v>
      </c>
      <c r="K744">
        <v>61129</v>
      </c>
      <c r="L744">
        <v>60316</v>
      </c>
      <c r="M744">
        <v>60501</v>
      </c>
      <c r="N744">
        <v>3339800</v>
      </c>
      <c r="O744">
        <v>60501</v>
      </c>
      <c r="P744">
        <v>-2.9006048420323598E-3</v>
      </c>
      <c r="Q744">
        <v>-2.90481974874957E-3</v>
      </c>
      <c r="R744" s="8">
        <v>19.0387783050537</v>
      </c>
      <c r="S744" s="8">
        <v>-7.4277395081564501E-3</v>
      </c>
      <c r="T744" s="9">
        <v>-7.4554625301588304E-3</v>
      </c>
      <c r="U744" s="12">
        <v>5.1659999999999998E-2</v>
      </c>
      <c r="V744" s="16">
        <v>3.3927</v>
      </c>
      <c r="W744" s="17">
        <f t="shared" si="11"/>
        <v>1.3472338391683714E-2</v>
      </c>
    </row>
    <row r="745" spans="1:23" x14ac:dyDescent="0.2">
      <c r="A745" s="15">
        <v>42622</v>
      </c>
      <c r="B745" s="5">
        <v>-337062915477763</v>
      </c>
      <c r="C745" s="5">
        <f>[1]!nefin_factors__1[[#This Row],[Rm_minus_Rf]]/B744-1</f>
        <v>-1.4510550789124967</v>
      </c>
      <c r="D745" s="5">
        <v>123454448433239</v>
      </c>
      <c r="E745" s="5">
        <f>[1]!nefin_factors__1[[#This Row],[SMB]]/D744-1</f>
        <v>0.67062875868366634</v>
      </c>
      <c r="F745" s="5">
        <v>-101071329353433</v>
      </c>
      <c r="G745" s="5">
        <f>[1]!nefin_factors__1[[#This Row],[HML]]/F744-1</f>
        <v>-0.37086386266144877</v>
      </c>
      <c r="H745" s="5">
        <v>524265714006766</v>
      </c>
      <c r="I745" s="6">
        <f>[1]!nefin_factors__1[[#This Row],[Risk_Free]]/H744-1</f>
        <v>0</v>
      </c>
      <c r="J745">
        <v>60517</v>
      </c>
      <c r="K745">
        <v>60517</v>
      </c>
      <c r="L745">
        <v>59035</v>
      </c>
      <c r="M745">
        <v>59179</v>
      </c>
      <c r="N745">
        <v>3244400</v>
      </c>
      <c r="O745">
        <v>59179</v>
      </c>
      <c r="P745">
        <v>-2.1850878497876002E-2</v>
      </c>
      <c r="Q745">
        <v>-2.20931445970576E-2</v>
      </c>
      <c r="R745" s="8">
        <v>18.865699768066399</v>
      </c>
      <c r="S745" s="8">
        <v>-9.0906405678807794E-3</v>
      </c>
      <c r="T745" s="9">
        <v>-9.1322125767669092E-3</v>
      </c>
      <c r="U745" s="12">
        <v>5.1659999999999998E-2</v>
      </c>
      <c r="V745" s="16">
        <v>3.3986999999999998</v>
      </c>
      <c r="W745" s="17">
        <f t="shared" si="11"/>
        <v>1.768502962242291E-3</v>
      </c>
    </row>
    <row r="746" spans="1:23" x14ac:dyDescent="0.2">
      <c r="A746" s="14">
        <v>42625</v>
      </c>
      <c r="B746" s="3">
        <v>741779660388193</v>
      </c>
      <c r="C746" s="3">
        <f>[1]!nefin_factors__1[[#This Row],[Rm_minus_Rf]]/B745-1</f>
        <v>-3.2007157308800123</v>
      </c>
      <c r="D746" s="3">
        <v>-580521739105418</v>
      </c>
      <c r="E746" s="3">
        <f>[1]!nefin_factors__1[[#This Row],[SMB]]/D745-1</f>
        <v>-5.7023152788159699</v>
      </c>
      <c r="F746" s="3">
        <v>-991895305229264</v>
      </c>
      <c r="G746" s="3">
        <f>[1]!nefin_factors__1[[#This Row],[HML]]/F745-1</f>
        <v>8.8138147739280051</v>
      </c>
      <c r="H746" s="3">
        <v>524265714006766</v>
      </c>
      <c r="I746" s="4">
        <f>[1]!nefin_factors__1[[#This Row],[Risk_Free]]/H745-1</f>
        <v>0</v>
      </c>
      <c r="J746">
        <v>59178</v>
      </c>
      <c r="K746">
        <v>59946</v>
      </c>
      <c r="L746">
        <v>58758</v>
      </c>
      <c r="M746">
        <v>59281</v>
      </c>
      <c r="N746">
        <v>3589100</v>
      </c>
      <c r="O746">
        <v>59281</v>
      </c>
      <c r="P746">
        <v>1.7235843795941901E-3</v>
      </c>
      <c r="Q746">
        <v>1.7221007126095799E-3</v>
      </c>
      <c r="R746" s="8">
        <v>18.8821830749512</v>
      </c>
      <c r="S746" s="8">
        <v>8.7372291112419698E-4</v>
      </c>
      <c r="T746" s="9">
        <v>8.7334143744684299E-4</v>
      </c>
      <c r="U746" s="12">
        <v>5.1659999999999998E-2</v>
      </c>
      <c r="V746" s="16">
        <v>3.4279000000000002</v>
      </c>
      <c r="W746" s="17">
        <f t="shared" si="11"/>
        <v>8.5915202871686969E-3</v>
      </c>
    </row>
    <row r="747" spans="1:23" x14ac:dyDescent="0.2">
      <c r="A747" s="15">
        <v>42626</v>
      </c>
      <c r="B747" s="5">
        <v>-280591134910748</v>
      </c>
      <c r="C747" s="5">
        <f>[1]!nefin_factors__1[[#This Row],[Rm_minus_Rf]]/B746-1</f>
        <v>-1.3782674962588044</v>
      </c>
      <c r="D747" s="5">
        <v>-121126667976566</v>
      </c>
      <c r="E747" s="5">
        <f>[1]!nefin_factors__1[[#This Row],[SMB]]/D746-1</f>
        <v>-0.79134860967787046</v>
      </c>
      <c r="F747" s="5">
        <v>-140031152980255</v>
      </c>
      <c r="G747" s="5">
        <f>[1]!nefin_factors__1[[#This Row],[HML]]/F746-1</f>
        <v>-0.85882466401240953</v>
      </c>
      <c r="H747" s="5">
        <v>524265714006766</v>
      </c>
      <c r="I747" s="6">
        <f>[1]!nefin_factors__1[[#This Row],[Risk_Free]]/H746-1</f>
        <v>0</v>
      </c>
      <c r="J747">
        <v>59280</v>
      </c>
      <c r="K747">
        <v>59338</v>
      </c>
      <c r="L747">
        <v>58212</v>
      </c>
      <c r="M747">
        <v>58212</v>
      </c>
      <c r="N747">
        <v>3857000</v>
      </c>
      <c r="O747">
        <v>58212</v>
      </c>
      <c r="P747">
        <v>-1.8032759231456998E-2</v>
      </c>
      <c r="Q747">
        <v>-1.8197330890286498E-2</v>
      </c>
      <c r="R747" s="8">
        <v>19.1871337890625</v>
      </c>
      <c r="S747" s="8">
        <v>1.6150127908504799E-2</v>
      </c>
      <c r="T747" s="9">
        <v>1.60211019297847E-2</v>
      </c>
      <c r="U747" s="12">
        <v>5.1659999999999998E-2</v>
      </c>
      <c r="V747" s="16">
        <v>3.3996</v>
      </c>
      <c r="W747" s="17">
        <f t="shared" si="11"/>
        <v>-8.2557834242539263E-3</v>
      </c>
    </row>
    <row r="748" spans="1:23" x14ac:dyDescent="0.2">
      <c r="A748" s="14">
        <v>42627</v>
      </c>
      <c r="B748" s="3">
        <v>388673048145618</v>
      </c>
      <c r="C748" s="3">
        <f>[1]!nefin_factors__1[[#This Row],[Rm_minus_Rf]]/B747-1</f>
        <v>-2.3851936137228615</v>
      </c>
      <c r="D748" s="3">
        <v>274664602544105</v>
      </c>
      <c r="E748" s="3">
        <f>[1]!nefin_factors__1[[#This Row],[SMB]]/D747-1</f>
        <v>-3.267581591505873</v>
      </c>
      <c r="F748" s="3">
        <v>697439171878036</v>
      </c>
      <c r="G748" s="3">
        <f>[1]!nefin_factors__1[[#This Row],[HML]]/F747-1</f>
        <v>-5.9806000810146722</v>
      </c>
      <c r="H748" s="3">
        <v>524265714006766</v>
      </c>
      <c r="I748" s="4">
        <f>[1]!nefin_factors__1[[#This Row],[Risk_Free]]/H747-1</f>
        <v>0</v>
      </c>
      <c r="J748">
        <v>58214</v>
      </c>
      <c r="K748">
        <v>58635</v>
      </c>
      <c r="L748">
        <v>57575</v>
      </c>
      <c r="M748">
        <v>58396</v>
      </c>
      <c r="N748">
        <v>3569400</v>
      </c>
      <c r="O748">
        <v>58396</v>
      </c>
      <c r="P748">
        <v>3.1608603037174298E-3</v>
      </c>
      <c r="Q748">
        <v>3.1558752866536698E-3</v>
      </c>
      <c r="R748" s="8">
        <v>18.791521072387699</v>
      </c>
      <c r="S748" s="8">
        <v>-2.06186750279026E-2</v>
      </c>
      <c r="T748" s="9">
        <v>-2.0834207720813E-2</v>
      </c>
      <c r="U748" s="12">
        <v>5.1659999999999998E-2</v>
      </c>
      <c r="V748" s="16">
        <v>3.4060000000000001</v>
      </c>
      <c r="W748" s="17">
        <f t="shared" si="11"/>
        <v>1.8825744205202E-3</v>
      </c>
    </row>
    <row r="749" spans="1:23" x14ac:dyDescent="0.2">
      <c r="A749" s="15">
        <v>42628</v>
      </c>
      <c r="B749" s="5">
        <v>136206518019953</v>
      </c>
      <c r="C749" s="5">
        <f>[1]!nefin_factors__1[[#This Row],[Rm_minus_Rf]]/B748-1</f>
        <v>-0.649560167164144</v>
      </c>
      <c r="D749" s="5">
        <v>218359175264669</v>
      </c>
      <c r="E749" s="5">
        <f>[1]!nefin_factors__1[[#This Row],[SMB]]/D748-1</f>
        <v>-0.20499702822242849</v>
      </c>
      <c r="F749" s="5">
        <v>316577823322921</v>
      </c>
      <c r="G749" s="5">
        <f>[1]!nefin_factors__1[[#This Row],[HML]]/F748-1</f>
        <v>-0.54608539914606025</v>
      </c>
      <c r="H749" s="5">
        <v>524265714006766</v>
      </c>
      <c r="I749" s="6">
        <f>[1]!nefin_factors__1[[#This Row],[Risk_Free]]/H748-1</f>
        <v>0</v>
      </c>
      <c r="J749">
        <v>58398</v>
      </c>
      <c r="K749">
        <v>59312</v>
      </c>
      <c r="L749">
        <v>58365</v>
      </c>
      <c r="M749">
        <v>58389</v>
      </c>
      <c r="N749">
        <v>3683900</v>
      </c>
      <c r="O749">
        <v>58389</v>
      </c>
      <c r="P749">
        <v>-1.19871224056434E-4</v>
      </c>
      <c r="Q749">
        <v>-1.19878409185811E-4</v>
      </c>
      <c r="R749" s="8">
        <v>19.286035537719702</v>
      </c>
      <c r="S749" s="8">
        <v>2.6315786720079001E-2</v>
      </c>
      <c r="T749" s="9">
        <v>2.5975483720260699E-2</v>
      </c>
      <c r="U749" s="12">
        <v>5.1659999999999998E-2</v>
      </c>
      <c r="V749" s="16">
        <v>3.3967000000000001</v>
      </c>
      <c r="W749" s="17">
        <f t="shared" si="11"/>
        <v>-2.73047563123896E-3</v>
      </c>
    </row>
    <row r="750" spans="1:23" x14ac:dyDescent="0.2">
      <c r="A750" s="14">
        <v>42629</v>
      </c>
      <c r="B750" s="3">
        <v>-154445162963791</v>
      </c>
      <c r="C750" s="3">
        <f>[1]!nefin_factors__1[[#This Row],[Rm_minus_Rf]]/B749-1</f>
        <v>-2.1339043476698096</v>
      </c>
      <c r="D750" s="3">
        <v>-52714001273179</v>
      </c>
      <c r="E750" s="3">
        <f>[1]!nefin_factors__1[[#This Row],[SMB]]/D749-1</f>
        <v>-1.2414096005321753</v>
      </c>
      <c r="F750" s="3">
        <v>-148447830400137</v>
      </c>
      <c r="G750" s="3">
        <f>[1]!nefin_factors__1[[#This Row],[HML]]/F749-1</f>
        <v>-1.4689141799067673</v>
      </c>
      <c r="H750" s="3">
        <v>523917790096862</v>
      </c>
      <c r="I750" s="4">
        <f>[1]!nefin_factors__1[[#This Row],[Risk_Free]]/H749-1</f>
        <v>-6.6364040334609964E-4</v>
      </c>
      <c r="J750">
        <v>58390</v>
      </c>
      <c r="K750">
        <v>58600</v>
      </c>
      <c r="L750">
        <v>57109</v>
      </c>
      <c r="M750">
        <v>57111</v>
      </c>
      <c r="N750">
        <v>3396500</v>
      </c>
      <c r="O750">
        <v>57111</v>
      </c>
      <c r="P750">
        <v>-2.1887684324102201E-2</v>
      </c>
      <c r="Q750">
        <v>-2.21307733367863E-2</v>
      </c>
      <c r="R750" s="8">
        <v>18.700860977172901</v>
      </c>
      <c r="S750" s="8">
        <v>-3.0341918030004099E-2</v>
      </c>
      <c r="T750" s="9">
        <v>-3.08117624393409E-2</v>
      </c>
      <c r="U750" s="12">
        <v>5.0788E-2</v>
      </c>
      <c r="V750" s="16">
        <v>3.4361999999999999</v>
      </c>
      <c r="W750" s="17">
        <f t="shared" si="11"/>
        <v>1.1628933965319277E-2</v>
      </c>
    </row>
    <row r="751" spans="1:23" x14ac:dyDescent="0.2">
      <c r="A751" s="15">
        <v>42632</v>
      </c>
      <c r="B751" s="5">
        <v>319665496736482</v>
      </c>
      <c r="C751" s="5">
        <f>[1]!nefin_factors__1[[#This Row],[Rm_minus_Rf]]/B750-1</f>
        <v>-3.0697669684315474</v>
      </c>
      <c r="D751" s="5">
        <v>-769523536845526</v>
      </c>
      <c r="E751" s="5">
        <f>[1]!nefin_factors__1[[#This Row],[SMB]]/D750-1</f>
        <v>13.598086243873528</v>
      </c>
      <c r="F751" s="5">
        <v>-773051183229923</v>
      </c>
      <c r="G751" s="5">
        <f>[1]!nefin_factors__1[[#This Row],[HML]]/F750-1</f>
        <v>4.2075613442526238</v>
      </c>
      <c r="H751" s="5">
        <v>523917790096862</v>
      </c>
      <c r="I751" s="6">
        <f>[1]!nefin_factors__1[[#This Row],[Risk_Free]]/H750-1</f>
        <v>0</v>
      </c>
      <c r="J751">
        <v>57116</v>
      </c>
      <c r="K751">
        <v>57918</v>
      </c>
      <c r="L751">
        <v>57038</v>
      </c>
      <c r="M751">
        <v>57583</v>
      </c>
      <c r="N751">
        <v>2673400</v>
      </c>
      <c r="O751">
        <v>57583</v>
      </c>
      <c r="P751">
        <v>8.2646075186916194E-3</v>
      </c>
      <c r="Q751">
        <v>8.2306426591419492E-3</v>
      </c>
      <c r="R751" s="8">
        <v>18.272283554077099</v>
      </c>
      <c r="S751" s="8">
        <v>-2.2917352075931801E-2</v>
      </c>
      <c r="T751" s="9">
        <v>-2.3184036940865502E-2</v>
      </c>
      <c r="U751" s="12">
        <v>5.0788E-2</v>
      </c>
      <c r="V751" s="16">
        <v>3.4649999999999999</v>
      </c>
      <c r="W751" s="17">
        <f t="shared" si="11"/>
        <v>8.3813514929282906E-3</v>
      </c>
    </row>
    <row r="752" spans="1:23" x14ac:dyDescent="0.2">
      <c r="A752" s="14">
        <v>42633</v>
      </c>
      <c r="B752" s="3">
        <v>687177971499458</v>
      </c>
      <c r="C752" s="3">
        <f>[1]!nefin_factors__1[[#This Row],[Rm_minus_Rf]]/B751-1</f>
        <v>1.1496782684242488</v>
      </c>
      <c r="D752" s="3">
        <v>-454748084258959</v>
      </c>
      <c r="E752" s="3">
        <f>[1]!nefin_factors__1[[#This Row],[SMB]]/D751-1</f>
        <v>-0.4090524038769654</v>
      </c>
      <c r="F752" s="3">
        <v>-888513145140828</v>
      </c>
      <c r="G752" s="3">
        <f>[1]!nefin_factors__1[[#This Row],[HML]]/F751-1</f>
        <v>0.14935875452449054</v>
      </c>
      <c r="H752" s="3">
        <v>52356983581614</v>
      </c>
      <c r="I752" s="4">
        <f>[1]!nefin_factors__1[[#This Row],[Risk_Free]]/H751-1</f>
        <v>-0.90006641390830755</v>
      </c>
      <c r="J752">
        <v>57583</v>
      </c>
      <c r="K752">
        <v>58049</v>
      </c>
      <c r="L752">
        <v>57221</v>
      </c>
      <c r="M752">
        <v>57647</v>
      </c>
      <c r="N752">
        <v>2461900</v>
      </c>
      <c r="O752">
        <v>57647</v>
      </c>
      <c r="P752">
        <v>1.1114391400239799E-3</v>
      </c>
      <c r="Q752">
        <v>1.11082194881431E-3</v>
      </c>
      <c r="R752" s="8">
        <v>18.346460342407202</v>
      </c>
      <c r="S752" s="8">
        <v>4.0594956514628001E-3</v>
      </c>
      <c r="T752" s="9">
        <v>4.0512781308097903E-3</v>
      </c>
      <c r="U752" s="12">
        <v>5.0788E-2</v>
      </c>
      <c r="V752" s="16">
        <v>3.4598</v>
      </c>
      <c r="W752" s="17">
        <f t="shared" si="11"/>
        <v>-1.5007215007214469E-3</v>
      </c>
    </row>
    <row r="753" spans="1:23" x14ac:dyDescent="0.2">
      <c r="A753" s="15">
        <v>42634</v>
      </c>
      <c r="B753" s="5">
        <v>848248357572448</v>
      </c>
      <c r="C753" s="5">
        <f>[1]!nefin_factors__1[[#This Row],[Rm_minus_Rf]]/B752-1</f>
        <v>0.23439398926238297</v>
      </c>
      <c r="D753" s="5">
        <v>549449070071406</v>
      </c>
      <c r="E753" s="5">
        <f>[1]!nefin_factors__1[[#This Row],[SMB]]/D752-1</f>
        <v>-2.2082493342809091</v>
      </c>
      <c r="F753" s="5">
        <v>993328385571901</v>
      </c>
      <c r="G753" s="5">
        <f>[1]!nefin_factors__1[[#This Row],[HML]]/F752-1</f>
        <v>-2.1179670115228966</v>
      </c>
      <c r="H753" s="5">
        <v>523221851159716</v>
      </c>
      <c r="I753" s="6">
        <f>[1]!nefin_factors__1[[#This Row],[Risk_Free]]/H752-1</f>
        <v>8.9933536152654483</v>
      </c>
      <c r="J753">
        <v>57646</v>
      </c>
      <c r="K753">
        <v>57646</v>
      </c>
      <c r="L753">
        <v>56829</v>
      </c>
      <c r="M753">
        <v>57255</v>
      </c>
      <c r="N753">
        <v>2809800</v>
      </c>
      <c r="O753">
        <v>57255</v>
      </c>
      <c r="P753">
        <v>-6.8000069387825803E-3</v>
      </c>
      <c r="Q753">
        <v>-6.8232323344148797E-3</v>
      </c>
      <c r="R753" s="8">
        <v>18.222831726074201</v>
      </c>
      <c r="S753" s="8">
        <v>-6.73854274109953E-3</v>
      </c>
      <c r="T753" s="9">
        <v>-6.7613492329907298E-3</v>
      </c>
      <c r="U753" s="12">
        <v>5.0788E-2</v>
      </c>
      <c r="V753" s="16">
        <v>3.4354</v>
      </c>
      <c r="W753" s="17">
        <f t="shared" si="11"/>
        <v>-7.0524307763454308E-3</v>
      </c>
    </row>
    <row r="754" spans="1:23" x14ac:dyDescent="0.2">
      <c r="A754" s="14">
        <v>42635</v>
      </c>
      <c r="B754" s="3">
        <v>110957874374523</v>
      </c>
      <c r="C754" s="3">
        <f>[1]!nefin_factors__1[[#This Row],[Rm_minus_Rf]]/B753-1</f>
        <v>-0.86919176042725643</v>
      </c>
      <c r="D754" s="3">
        <v>268055376750125</v>
      </c>
      <c r="E754" s="3">
        <f>[1]!nefin_factors__1[[#This Row],[SMB]]/D753-1</f>
        <v>-0.5121379007606861</v>
      </c>
      <c r="F754" s="3">
        <v>-145165401573711</v>
      </c>
      <c r="G754" s="3">
        <f>[1]!nefin_factors__1[[#This Row],[HML]]/F753-1</f>
        <v>-1.1461403939344119</v>
      </c>
      <c r="H754" s="3">
        <v>522525790697781</v>
      </c>
      <c r="I754" s="4">
        <f>[1]!nefin_factors__1[[#This Row],[Risk_Free]]/H753-1</f>
        <v>-1.3303352304422367E-3</v>
      </c>
      <c r="J754">
        <v>57255</v>
      </c>
      <c r="K754">
        <v>58143</v>
      </c>
      <c r="L754">
        <v>57255</v>
      </c>
      <c r="M754">
        <v>57937</v>
      </c>
      <c r="N754">
        <v>2155400</v>
      </c>
      <c r="O754">
        <v>57937</v>
      </c>
      <c r="P754">
        <v>1.19116234390009E-2</v>
      </c>
      <c r="Q754">
        <v>1.1841238434320001E-2</v>
      </c>
      <c r="R754" s="8">
        <v>18.379428863525401</v>
      </c>
      <c r="S754" s="8">
        <v>8.5933512667208996E-3</v>
      </c>
      <c r="T754" s="9">
        <v>8.5566385970399592E-3</v>
      </c>
      <c r="U754" s="12">
        <v>5.0788E-2</v>
      </c>
      <c r="V754" s="16">
        <v>3.3895</v>
      </c>
      <c r="W754" s="17">
        <f t="shared" si="11"/>
        <v>-1.3360889561623068E-2</v>
      </c>
    </row>
    <row r="755" spans="1:23" x14ac:dyDescent="0.2">
      <c r="A755" s="15">
        <v>42636</v>
      </c>
      <c r="B755" s="5">
        <v>-471640980199987</v>
      </c>
      <c r="C755" s="5">
        <f>[1]!nefin_factors__1[[#This Row],[Rm_minus_Rf]]/B754-1</f>
        <v>-5.250630997201946</v>
      </c>
      <c r="D755" s="5">
        <v>-797960555573769</v>
      </c>
      <c r="E755" s="5">
        <f>[1]!nefin_factors__1[[#This Row],[SMB]]/D754-1</f>
        <v>-3.9768496541578768</v>
      </c>
      <c r="F755" s="5">
        <v>119300794448811</v>
      </c>
      <c r="G755" s="5">
        <f>[1]!nefin_factors__1[[#This Row],[HML]]/F754-1</f>
        <v>-1.821826641579146</v>
      </c>
      <c r="H755" s="5">
        <v>522177714881833</v>
      </c>
      <c r="I755" s="6">
        <f>[1]!nefin_factors__1[[#This Row],[Risk_Free]]/H754-1</f>
        <v>-6.6614092958583448E-4</v>
      </c>
      <c r="J755">
        <v>57941</v>
      </c>
      <c r="K755">
        <v>58781</v>
      </c>
      <c r="L755">
        <v>57941</v>
      </c>
      <c r="M755">
        <v>58620</v>
      </c>
      <c r="N755">
        <v>680200</v>
      </c>
      <c r="O755">
        <v>58620</v>
      </c>
      <c r="P755">
        <v>1.17886670003624E-2</v>
      </c>
      <c r="Q755">
        <v>1.17197219831235E-2</v>
      </c>
      <c r="R755" s="8">
        <v>18.470087051391602</v>
      </c>
      <c r="S755" s="8">
        <v>4.9326701807050899E-3</v>
      </c>
      <c r="T755" s="9">
        <v>4.9205444217146404E-3</v>
      </c>
      <c r="U755" s="12">
        <v>5.0788E-2</v>
      </c>
      <c r="V755" s="16">
        <v>3.4007999999999998</v>
      </c>
      <c r="W755" s="17">
        <f t="shared" si="11"/>
        <v>3.3338250479422182E-3</v>
      </c>
    </row>
    <row r="756" spans="1:23" x14ac:dyDescent="0.2">
      <c r="A756" s="14">
        <v>42639</v>
      </c>
      <c r="B756" s="3">
        <v>-112582387318029</v>
      </c>
      <c r="C756" s="3">
        <f>[1]!nefin_factors__1[[#This Row],[Rm_minus_Rf]]/B755-1</f>
        <v>-0.76129642663728803</v>
      </c>
      <c r="D756" s="3">
        <v>-13188757135696</v>
      </c>
      <c r="E756" s="3">
        <f>[1]!nefin_factors__1[[#This Row],[SMB]]/D755-1</f>
        <v>-0.98347191845063986</v>
      </c>
      <c r="F756" s="3">
        <v>-127901602785413</v>
      </c>
      <c r="G756" s="3">
        <f>[1]!nefin_factors__1[[#This Row],[HML]]/F755-1</f>
        <v>-2.0720934707630332</v>
      </c>
      <c r="H756" s="3">
        <v>521829608668645</v>
      </c>
      <c r="I756" s="4">
        <f>[1]!nefin_factors__1[[#This Row],[Risk_Free]]/H755-1</f>
        <v>-6.6664318155895685E-4</v>
      </c>
      <c r="J756">
        <v>58627</v>
      </c>
      <c r="K756">
        <v>59068</v>
      </c>
      <c r="L756">
        <v>58402</v>
      </c>
      <c r="M756">
        <v>58697</v>
      </c>
      <c r="N756">
        <v>1624700</v>
      </c>
      <c r="O756">
        <v>58697</v>
      </c>
      <c r="P756">
        <v>1.31354486523372E-3</v>
      </c>
      <c r="Q756">
        <v>1.3126829198972401E-3</v>
      </c>
      <c r="R756" s="8">
        <v>18.857458114623999</v>
      </c>
      <c r="S756" s="8">
        <v>2.0972862049505801E-2</v>
      </c>
      <c r="T756" s="9">
        <v>2.0755959054065298E-2</v>
      </c>
      <c r="U756" s="12">
        <v>5.0788E-2</v>
      </c>
      <c r="V756" s="16">
        <v>3.3858000000000001</v>
      </c>
      <c r="W756" s="17">
        <f t="shared" si="11"/>
        <v>-4.4107268877909833E-3</v>
      </c>
    </row>
    <row r="757" spans="1:23" x14ac:dyDescent="0.2">
      <c r="A757" s="15">
        <v>42640</v>
      </c>
      <c r="B757" s="5">
        <v>36627877452514</v>
      </c>
      <c r="C757" s="5">
        <f>[1]!nefin_factors__1[[#This Row],[Rm_minus_Rf]]/B756-1</f>
        <v>-1.3253428740060871</v>
      </c>
      <c r="D757" s="5">
        <v>-361180784253925</v>
      </c>
      <c r="E757" s="5">
        <f>[1]!nefin_factors__1[[#This Row],[SMB]]/D756-1</f>
        <v>26.385505740823142</v>
      </c>
      <c r="F757" s="5">
        <v>-193288944631868</v>
      </c>
      <c r="G757" s="5">
        <f>[1]!nefin_factors__1[[#This Row],[HML]]/F756-1</f>
        <v>0.51123160634787856</v>
      </c>
      <c r="H757" s="5">
        <v>521133305029675</v>
      </c>
      <c r="I757" s="6">
        <f>[1]!nefin_factors__1[[#This Row],[Risk_Free]]/H756-1</f>
        <v>-1.3343505761325147E-3</v>
      </c>
      <c r="J757">
        <v>58688</v>
      </c>
      <c r="K757">
        <v>59911</v>
      </c>
      <c r="L757">
        <v>58688</v>
      </c>
      <c r="M757">
        <v>59782</v>
      </c>
      <c r="N757">
        <v>1960500</v>
      </c>
      <c r="O757">
        <v>59782</v>
      </c>
      <c r="P757">
        <v>1.8484760720309398E-2</v>
      </c>
      <c r="Q757">
        <v>1.8315994098861501E-2</v>
      </c>
      <c r="R757" s="8">
        <v>19.121198654174801</v>
      </c>
      <c r="S757" s="8">
        <v>1.3986094194569801E-2</v>
      </c>
      <c r="T757" s="9">
        <v>1.3889191262894901E-2</v>
      </c>
      <c r="U757" s="12">
        <v>5.0788E-2</v>
      </c>
      <c r="V757" s="16">
        <v>3.3696999999999999</v>
      </c>
      <c r="W757" s="17">
        <f t="shared" si="11"/>
        <v>-4.7551538779609936E-3</v>
      </c>
    </row>
    <row r="758" spans="1:23" x14ac:dyDescent="0.2">
      <c r="A758" s="14">
        <v>42641</v>
      </c>
      <c r="B758" s="3">
        <v>158940816774168</v>
      </c>
      <c r="C758" s="3">
        <f>[1]!nefin_factors__1[[#This Row],[Rm_minus_Rf]]/B757-1</f>
        <v>3.3393400827068369</v>
      </c>
      <c r="D758" s="3">
        <v>-644978445796691</v>
      </c>
      <c r="E758" s="3">
        <f>[1]!nefin_factors__1[[#This Row],[SMB]]/D757-1</f>
        <v>0.78574961325529591</v>
      </c>
      <c r="F758" s="3">
        <v>478378417833753</v>
      </c>
      <c r="G758" s="3">
        <f>[1]!nefin_factors__1[[#This Row],[HML]]/F757-1</f>
        <v>-3.4749393647156457</v>
      </c>
      <c r="H758" s="3">
        <v>52043687973824</v>
      </c>
      <c r="I758" s="4">
        <f>[1]!nefin_factors__1[[#This Row],[Risk_Free]]/H757-1</f>
        <v>-0.90013363668848512</v>
      </c>
      <c r="J758">
        <v>59782</v>
      </c>
      <c r="K758">
        <v>60248</v>
      </c>
      <c r="L758">
        <v>59278</v>
      </c>
      <c r="M758">
        <v>60227</v>
      </c>
      <c r="N758">
        <v>2119500</v>
      </c>
      <c r="O758">
        <v>60227</v>
      </c>
      <c r="P758">
        <v>7.4437121541601802E-3</v>
      </c>
      <c r="Q758">
        <v>7.41614444836211E-3</v>
      </c>
      <c r="R758" s="8">
        <v>19.5332927703857</v>
      </c>
      <c r="S758" s="8">
        <v>2.1551717489252799E-2</v>
      </c>
      <c r="T758" s="9">
        <v>2.1322762960410399E-2</v>
      </c>
      <c r="U758" s="12">
        <v>5.0788E-2</v>
      </c>
      <c r="V758" s="16">
        <v>3.3340000000000001</v>
      </c>
      <c r="W758" s="17">
        <f t="shared" si="11"/>
        <v>-1.0594414933079999E-2</v>
      </c>
    </row>
    <row r="759" spans="1:23" x14ac:dyDescent="0.2">
      <c r="A759" s="15">
        <v>42642</v>
      </c>
      <c r="B759" s="5">
        <v>-159686612483258</v>
      </c>
      <c r="C759" s="5">
        <f>[1]!nefin_factors__1[[#This Row],[Rm_minus_Rf]]/B758-1</f>
        <v>-2.0046922856206892</v>
      </c>
      <c r="D759" s="5">
        <v>433253291894968</v>
      </c>
      <c r="E759" s="5">
        <f>[1]!nefin_factors__1[[#This Row],[SMB]]/D758-1</f>
        <v>-1.671732977618817</v>
      </c>
      <c r="F759" s="5">
        <v>244657122230224</v>
      </c>
      <c r="G759" s="5">
        <f>[1]!nefin_factors__1[[#This Row],[HML]]/F758-1</f>
        <v>-0.4885698996662351</v>
      </c>
      <c r="H759" s="5">
        <v>520785107593236</v>
      </c>
      <c r="I759" s="6">
        <f>[1]!nefin_factors__1[[#This Row],[Risk_Free]]/H758-1</f>
        <v>9.0066910679960106</v>
      </c>
      <c r="J759">
        <v>60227</v>
      </c>
      <c r="K759">
        <v>60227</v>
      </c>
      <c r="L759">
        <v>59371</v>
      </c>
      <c r="M759">
        <v>59589</v>
      </c>
      <c r="N759">
        <v>808700</v>
      </c>
      <c r="O759">
        <v>59589</v>
      </c>
      <c r="P759">
        <v>-1.0593255516628699E-2</v>
      </c>
      <c r="Q759">
        <v>-1.0649763470938701E-2</v>
      </c>
      <c r="R759" s="8">
        <v>18.972843170166001</v>
      </c>
      <c r="S759" s="8">
        <v>-2.8692095253769902E-2</v>
      </c>
      <c r="T759" s="9">
        <v>-2.9111760291071799E-2</v>
      </c>
      <c r="U759" s="12">
        <v>5.0788E-2</v>
      </c>
      <c r="V759" s="16">
        <v>3.3102999999999998</v>
      </c>
      <c r="W759" s="17">
        <f t="shared" si="11"/>
        <v>-7.1085782843431922E-3</v>
      </c>
    </row>
    <row r="760" spans="1:23" x14ac:dyDescent="0.2">
      <c r="A760" s="14">
        <v>42643</v>
      </c>
      <c r="B760" s="3">
        <v>-46700715376519</v>
      </c>
      <c r="C760" s="3">
        <f>[1]!nefin_factors__1[[#This Row],[Rm_minus_Rf]]/B759-1</f>
        <v>-0.70754771079250467</v>
      </c>
      <c r="D760" s="3">
        <v>-279098132646829</v>
      </c>
      <c r="E760" s="3">
        <f>[1]!nefin_factors__1[[#This Row],[SMB]]/D759-1</f>
        <v>-1.6441916030830521</v>
      </c>
      <c r="F760" s="3">
        <v>-54639821131185</v>
      </c>
      <c r="G760" s="3">
        <f>[1]!nefin_factors__1[[#This Row],[HML]]/F759-1</f>
        <v>-1.2233322317907775</v>
      </c>
      <c r="H760" s="3">
        <v>520785107593236</v>
      </c>
      <c r="I760" s="4">
        <f>[1]!nefin_factors__1[[#This Row],[Risk_Free]]/H759-1</f>
        <v>0</v>
      </c>
      <c r="J760">
        <v>59631</v>
      </c>
      <c r="K760">
        <v>61815</v>
      </c>
      <c r="L760">
        <v>59631</v>
      </c>
      <c r="M760">
        <v>61814</v>
      </c>
      <c r="N760">
        <v>3328300</v>
      </c>
      <c r="O760">
        <v>61814</v>
      </c>
      <c r="P760">
        <v>3.7339106210877902E-2</v>
      </c>
      <c r="Q760">
        <v>3.6658882745864402E-2</v>
      </c>
      <c r="R760" s="8">
        <v>19.5415344238281</v>
      </c>
      <c r="S760" s="8">
        <v>2.9973992298735701E-2</v>
      </c>
      <c r="T760" s="9">
        <v>2.9533551727350602E-2</v>
      </c>
      <c r="U760" s="12">
        <v>5.0788E-2</v>
      </c>
      <c r="V760" s="16">
        <v>3.383</v>
      </c>
      <c r="W760" s="17">
        <f t="shared" si="11"/>
        <v>2.1961755732109012E-2</v>
      </c>
    </row>
    <row r="761" spans="1:23" x14ac:dyDescent="0.2">
      <c r="A761" s="15">
        <v>42646</v>
      </c>
      <c r="B761" s="5">
        <v>157380543230959</v>
      </c>
      <c r="C761" s="5">
        <f>[1]!nefin_factors__1[[#This Row],[Rm_minus_Rf]]/B760-1</f>
        <v>-4.3699814223850098</v>
      </c>
      <c r="D761" s="5">
        <v>993433606480569</v>
      </c>
      <c r="E761" s="5">
        <f>[1]!nefin_factors__1[[#This Row],[SMB]]/D760-1</f>
        <v>-4.5594419678101561</v>
      </c>
      <c r="F761" s="5">
        <v>-317458377221168</v>
      </c>
      <c r="G761" s="5">
        <f>[1]!nefin_factors__1[[#This Row],[HML]]/F760-1</f>
        <v>4.8100186027143224</v>
      </c>
      <c r="H761" s="5">
        <v>519740332751928</v>
      </c>
      <c r="I761" s="6">
        <f>[1]!nefin_factors__1[[#This Row],[Risk_Free]]/H760-1</f>
        <v>-2.0061534519224544E-3</v>
      </c>
      <c r="J761">
        <v>61811</v>
      </c>
      <c r="K761">
        <v>61940</v>
      </c>
      <c r="L761">
        <v>61302</v>
      </c>
      <c r="M761">
        <v>61589</v>
      </c>
      <c r="N761">
        <v>2840800</v>
      </c>
      <c r="O761">
        <v>61589</v>
      </c>
      <c r="P761">
        <v>-3.63995211440771E-3</v>
      </c>
      <c r="Q761">
        <v>-3.6465928596660199E-3</v>
      </c>
      <c r="R761" s="8">
        <v>20.1596775054932</v>
      </c>
      <c r="S761" s="8">
        <v>3.1632215051971703E-2</v>
      </c>
      <c r="T761" s="9">
        <v>3.11422227770616E-2</v>
      </c>
      <c r="U761" s="12">
        <v>5.0788E-2</v>
      </c>
      <c r="V761" s="16">
        <v>3.3712</v>
      </c>
      <c r="W761" s="17">
        <f t="shared" si="11"/>
        <v>-3.4880283771799858E-3</v>
      </c>
    </row>
    <row r="762" spans="1:23" x14ac:dyDescent="0.2">
      <c r="A762" s="14">
        <v>42647</v>
      </c>
      <c r="B762" s="3">
        <v>-198141998862343</v>
      </c>
      <c r="C762" s="3">
        <f>[1]!nefin_factors__1[[#This Row],[Rm_minus_Rf]]/B761-1</f>
        <v>-2.2589993324115407</v>
      </c>
      <c r="D762" s="3">
        <v>157588401617408</v>
      </c>
      <c r="E762" s="3">
        <f>[1]!nefin_factors__1[[#This Row],[SMB]]/D761-1</f>
        <v>-0.84136997118942314</v>
      </c>
      <c r="F762" s="3">
        <v>-605114749338327</v>
      </c>
      <c r="G762" s="3">
        <f>[1]!nefin_factors__1[[#This Row],[HML]]/F761-1</f>
        <v>0.90612311016997849</v>
      </c>
      <c r="H762" s="3">
        <v>520088621459802</v>
      </c>
      <c r="I762" s="4">
        <f>[1]!nefin_factors__1[[#This Row],[Risk_Free]]/H761-1</f>
        <v>6.7012060816962205E-4</v>
      </c>
      <c r="J762">
        <v>61594</v>
      </c>
      <c r="K762">
        <v>62409</v>
      </c>
      <c r="L762">
        <v>61594</v>
      </c>
      <c r="M762">
        <v>62071</v>
      </c>
      <c r="N762">
        <v>3313000</v>
      </c>
      <c r="O762">
        <v>62071</v>
      </c>
      <c r="P762">
        <v>7.826072837682E-3</v>
      </c>
      <c r="Q762">
        <v>7.7956079732533603E-3</v>
      </c>
      <c r="R762" s="8">
        <v>20.769577026367202</v>
      </c>
      <c r="S762" s="8">
        <v>3.0253526500840299E-2</v>
      </c>
      <c r="T762" s="9">
        <v>2.9804914187340301E-2</v>
      </c>
      <c r="U762" s="12">
        <v>5.0788E-2</v>
      </c>
      <c r="V762" s="16">
        <v>3.3778000000000001</v>
      </c>
      <c r="W762" s="17">
        <f t="shared" si="11"/>
        <v>1.9577598481252956E-3</v>
      </c>
    </row>
    <row r="763" spans="1:23" x14ac:dyDescent="0.2">
      <c r="A763" s="15">
        <v>42648</v>
      </c>
      <c r="B763" s="5">
        <v>127598629403589</v>
      </c>
      <c r="C763" s="5">
        <f>[1]!nefin_factors__1[[#This Row],[Rm_minus_Rf]]/B762-1</f>
        <v>-1.6439756847927871</v>
      </c>
      <c r="D763" s="5">
        <v>-597879982454626</v>
      </c>
      <c r="E763" s="5">
        <f>[1]!nefin_factors__1[[#This Row],[SMB]]/D762-1</f>
        <v>-4.7939339210137728</v>
      </c>
      <c r="F763" s="5">
        <v>513478611903393</v>
      </c>
      <c r="G763" s="5">
        <f>[1]!nefin_factors__1[[#This Row],[HML]]/F762-1</f>
        <v>-1.8485640326316042</v>
      </c>
      <c r="H763" s="5">
        <v>519392013609954</v>
      </c>
      <c r="I763" s="6">
        <f>[1]!nefin_factors__1[[#This Row],[Risk_Free]]/H762-1</f>
        <v>-1.339402211670615E-3</v>
      </c>
      <c r="J763">
        <v>62072</v>
      </c>
      <c r="K763">
        <v>62072</v>
      </c>
      <c r="L763">
        <v>61396</v>
      </c>
      <c r="M763">
        <v>61665</v>
      </c>
      <c r="N763">
        <v>2374800</v>
      </c>
      <c r="O763">
        <v>61665</v>
      </c>
      <c r="P763">
        <v>-6.5408967150520896E-3</v>
      </c>
      <c r="Q763">
        <v>-6.5623821204287402E-3</v>
      </c>
      <c r="R763" s="8">
        <v>20.596498489379901</v>
      </c>
      <c r="S763" s="8">
        <v>-8.3333688351658903E-3</v>
      </c>
      <c r="T763" s="9">
        <v>-8.3682854706845292E-3</v>
      </c>
      <c r="U763" s="12">
        <v>5.0788E-2</v>
      </c>
      <c r="V763" s="16">
        <v>3.3586</v>
      </c>
      <c r="W763" s="17">
        <f t="shared" si="11"/>
        <v>-5.6841731304400067E-3</v>
      </c>
    </row>
    <row r="764" spans="1:23" x14ac:dyDescent="0.2">
      <c r="A764" s="14">
        <v>42649</v>
      </c>
      <c r="B764" s="3">
        <v>513286347725154</v>
      </c>
      <c r="C764" s="3">
        <f>[1]!nefin_factors__1[[#This Row],[Rm_minus_Rf]]/B763-1</f>
        <v>3.0226634888189219</v>
      </c>
      <c r="D764" s="3">
        <v>380692207140861</v>
      </c>
      <c r="E764" s="3">
        <f>[1]!nefin_factors__1[[#This Row],[SMB]]/D763-1</f>
        <v>-1.6367368340012158</v>
      </c>
      <c r="F764" s="3">
        <v>679460320012592</v>
      </c>
      <c r="G764" s="3">
        <f>[1]!nefin_factors__1[[#This Row],[HML]]/F763-1</f>
        <v>0.32324950691505561</v>
      </c>
      <c r="H764" s="3">
        <v>518695284001058</v>
      </c>
      <c r="I764" s="4">
        <f>[1]!nefin_factors__1[[#This Row],[Risk_Free]]/H763-1</f>
        <v>-1.3414330421707144E-3</v>
      </c>
      <c r="J764">
        <v>61680</v>
      </c>
      <c r="K764">
        <v>62112</v>
      </c>
      <c r="L764">
        <v>61307</v>
      </c>
      <c r="M764">
        <v>61700</v>
      </c>
      <c r="N764">
        <v>2480800</v>
      </c>
      <c r="O764">
        <v>61700</v>
      </c>
      <c r="P764">
        <v>5.6758290764613605E-4</v>
      </c>
      <c r="Q764">
        <v>5.6742189339068795E-4</v>
      </c>
      <c r="R764" s="8">
        <v>20.769577026367202</v>
      </c>
      <c r="S764" s="8">
        <v>8.4033974455481903E-3</v>
      </c>
      <c r="T764" s="9">
        <v>8.3682854706845899E-3</v>
      </c>
      <c r="U764" s="12">
        <v>5.0788E-2</v>
      </c>
      <c r="V764" s="16">
        <v>3.3296999999999999</v>
      </c>
      <c r="W764" s="17">
        <f t="shared" si="11"/>
        <v>-8.6047757994403007E-3</v>
      </c>
    </row>
    <row r="765" spans="1:23" x14ac:dyDescent="0.2">
      <c r="A765" s="15">
        <v>42650</v>
      </c>
      <c r="B765" s="5">
        <v>600639712272837</v>
      </c>
      <c r="C765" s="5">
        <f>[1]!nefin_factors__1[[#This Row],[Rm_minus_Rf]]/B764-1</f>
        <v>0.17018446902947337</v>
      </c>
      <c r="D765" s="5">
        <v>520504106938099</v>
      </c>
      <c r="E765" s="5">
        <f>[1]!nefin_factors__1[[#This Row],[SMB]]/D764-1</f>
        <v>0.36725705747243165</v>
      </c>
      <c r="F765" s="5">
        <v>65195851226515</v>
      </c>
      <c r="G765" s="5">
        <f>[1]!nefin_factors__1[[#This Row],[HML]]/F764-1</f>
        <v>-0.90404759585474137</v>
      </c>
      <c r="H765" s="5">
        <v>517998432590705</v>
      </c>
      <c r="I765" s="6">
        <f>[1]!nefin_factors__1[[#This Row],[Risk_Free]]/H764-1</f>
        <v>-1.343469724609192E-3</v>
      </c>
      <c r="J765">
        <v>61710</v>
      </c>
      <c r="K765">
        <v>62446</v>
      </c>
      <c r="L765">
        <v>61710</v>
      </c>
      <c r="M765">
        <v>62132</v>
      </c>
      <c r="N765">
        <v>2623400</v>
      </c>
      <c r="O765">
        <v>62132</v>
      </c>
      <c r="P765">
        <v>7.0016207455429998E-3</v>
      </c>
      <c r="Q765">
        <v>6.9772232143187098E-3</v>
      </c>
      <c r="R765" s="8">
        <v>20.687158584594702</v>
      </c>
      <c r="S765" s="8">
        <v>-3.9682528412117203E-3</v>
      </c>
      <c r="T765" s="9">
        <v>-3.9761472481069596E-3</v>
      </c>
      <c r="U765" s="12">
        <v>5.0788E-2</v>
      </c>
      <c r="V765" s="16">
        <v>3.3302</v>
      </c>
      <c r="W765" s="17">
        <f t="shared" si="11"/>
        <v>1.5016367840958722E-4</v>
      </c>
    </row>
    <row r="766" spans="1:23" x14ac:dyDescent="0.2">
      <c r="A766" s="14">
        <v>42653</v>
      </c>
      <c r="B766" s="3">
        <v>633499628539944</v>
      </c>
      <c r="C766" s="3">
        <f>[1]!nefin_factors__1[[#This Row],[Rm_minus_Rf]]/B765-1</f>
        <v>5.4708197935771086E-2</v>
      </c>
      <c r="D766" s="3">
        <v>226727874262048</v>
      </c>
      <c r="E766" s="3">
        <f>[1]!nefin_factors__1[[#This Row],[SMB]]/D765-1</f>
        <v>-0.56440713677402043</v>
      </c>
      <c r="F766" s="3">
        <v>807896510923648</v>
      </c>
      <c r="G766" s="3">
        <f>[1]!nefin_factors__1[[#This Row],[HML]]/F765-1</f>
        <v>11.391839292299606</v>
      </c>
      <c r="H766" s="3">
        <v>517301459336261</v>
      </c>
      <c r="I766" s="4">
        <f>[1]!nefin_factors__1[[#This Row],[Risk_Free]]/H765-1</f>
        <v>-1.3455122845800194E-3</v>
      </c>
      <c r="J766">
        <v>62134</v>
      </c>
      <c r="K766">
        <v>62674</v>
      </c>
      <c r="L766">
        <v>61665</v>
      </c>
      <c r="M766">
        <v>62446</v>
      </c>
      <c r="N766">
        <v>3139800</v>
      </c>
      <c r="O766">
        <v>62446</v>
      </c>
      <c r="P766">
        <v>5.0537565183801404E-3</v>
      </c>
      <c r="Q766">
        <v>5.0410291535646799E-3</v>
      </c>
      <c r="R766" s="8">
        <v>20.810787200927699</v>
      </c>
      <c r="S766" s="8">
        <v>5.9760939134689802E-3</v>
      </c>
      <c r="T766" s="9">
        <v>5.9583078896928597E-3</v>
      </c>
      <c r="U766" s="12">
        <v>5.0788E-2</v>
      </c>
      <c r="V766" s="16">
        <v>3.2696000000000001</v>
      </c>
      <c r="W766" s="17">
        <f t="shared" si="11"/>
        <v>-1.8197105278962233E-2</v>
      </c>
    </row>
    <row r="767" spans="1:23" x14ac:dyDescent="0.2">
      <c r="A767" s="15">
        <v>42654</v>
      </c>
      <c r="B767" s="5">
        <v>-951748023816422</v>
      </c>
      <c r="C767" s="5">
        <f>[1]!nefin_factors__1[[#This Row],[Rm_minus_Rf]]/B766-1</f>
        <v>-2.5023655594083927</v>
      </c>
      <c r="D767" s="5">
        <v>-161323967090912</v>
      </c>
      <c r="E767" s="5">
        <f>[1]!nefin_factors__1[[#This Row],[SMB]]/D766-1</f>
        <v>-1.7115312469452109</v>
      </c>
      <c r="F767" s="5">
        <v>141885292109802</v>
      </c>
      <c r="G767" s="5">
        <f>[1]!nefin_factors__1[[#This Row],[HML]]/F766-1</f>
        <v>-0.82437689705134631</v>
      </c>
      <c r="H767" s="5">
        <v>516604364194651</v>
      </c>
      <c r="I767" s="6">
        <f>[1]!nefin_factors__1[[#This Row],[Risk_Free]]/H766-1</f>
        <v>-1.3475607482422713E-3</v>
      </c>
      <c r="J767">
        <v>62448</v>
      </c>
      <c r="K767">
        <v>64342</v>
      </c>
      <c r="L767">
        <v>62448</v>
      </c>
      <c r="M767">
        <v>63954</v>
      </c>
      <c r="N767">
        <v>4535000</v>
      </c>
      <c r="O767">
        <v>63954</v>
      </c>
      <c r="P767">
        <v>2.4148864619030899E-2</v>
      </c>
      <c r="Q767">
        <v>2.38618916558292E-2</v>
      </c>
      <c r="R767" s="8">
        <v>20.926172256469702</v>
      </c>
      <c r="S767" s="8">
        <v>5.5444206061097097E-3</v>
      </c>
      <c r="T767" s="9">
        <v>5.52910688391636E-3</v>
      </c>
      <c r="U767" s="12">
        <v>5.0788E-2</v>
      </c>
      <c r="V767" s="16">
        <v>3.2700999999999998</v>
      </c>
      <c r="W767" s="17">
        <f t="shared" si="11"/>
        <v>1.5292390506482789E-4</v>
      </c>
    </row>
    <row r="768" spans="1:23" x14ac:dyDescent="0.2">
      <c r="A768" s="14">
        <v>42656</v>
      </c>
      <c r="B768" s="3">
        <v>9486323966437</v>
      </c>
      <c r="C768" s="3">
        <f>[1]!nefin_factors__1[[#This Row],[Rm_minus_Rf]]/B767-1</f>
        <v>-1.0099672641592654</v>
      </c>
      <c r="D768" s="3">
        <v>-544943363445316</v>
      </c>
      <c r="E768" s="3">
        <f>[1]!nefin_factors__1[[#This Row],[SMB]]/D767-1</f>
        <v>2.3779442278295844</v>
      </c>
      <c r="F768" s="3">
        <v>-593178373684971</v>
      </c>
      <c r="G768" s="3">
        <f>[1]!nefin_factors__1[[#This Row],[HML]]/F767-1</f>
        <v>-5.1806896603907537</v>
      </c>
      <c r="H768" s="3">
        <v>51590714712324</v>
      </c>
      <c r="I768" s="4">
        <f>[1]!nefin_factors__1[[#This Row],[Risk_Free]]/H767-1</f>
        <v>-0.90013496151402006</v>
      </c>
      <c r="J768">
        <v>63940</v>
      </c>
      <c r="K768">
        <v>64092</v>
      </c>
      <c r="L768">
        <v>63366</v>
      </c>
      <c r="M768">
        <v>63652</v>
      </c>
      <c r="N768">
        <v>2735500</v>
      </c>
      <c r="O768">
        <v>63652</v>
      </c>
      <c r="P768">
        <v>-4.7221440410294404E-3</v>
      </c>
      <c r="Q768">
        <v>-4.73332858711723E-3</v>
      </c>
      <c r="R768" s="8">
        <v>21.7173957824707</v>
      </c>
      <c r="S768" s="8">
        <v>3.7810287344841202E-2</v>
      </c>
      <c r="T768" s="9">
        <v>3.71130005491647E-2</v>
      </c>
      <c r="U768" s="12">
        <v>5.0788E-2</v>
      </c>
      <c r="V768" s="16">
        <v>3.2776000000000001</v>
      </c>
      <c r="W768" s="17">
        <f t="shared" si="11"/>
        <v>2.2935078437968937E-3</v>
      </c>
    </row>
    <row r="769" spans="1:23" x14ac:dyDescent="0.2">
      <c r="A769" s="15">
        <v>42657</v>
      </c>
      <c r="B769" s="5">
        <v>996738261273476</v>
      </c>
      <c r="C769" s="5">
        <f>[1]!nefin_factors__1[[#This Row],[Rm_minus_Rf]]/B768-1</f>
        <v>104.07107545556914</v>
      </c>
      <c r="D769" s="5">
        <v>-133073458829071</v>
      </c>
      <c r="E769" s="5">
        <f>[1]!nefin_factors__1[[#This Row],[SMB]]/D768-1</f>
        <v>-0.75580313890284734</v>
      </c>
      <c r="F769" s="5">
        <v>354616702114955</v>
      </c>
      <c r="G769" s="5">
        <f>[1]!nefin_factors__1[[#This Row],[HML]]/F768-1</f>
        <v>-1.5978247317278076</v>
      </c>
      <c r="H769" s="5">
        <v>514861092804741</v>
      </c>
      <c r="I769" s="6">
        <f>[1]!nefin_factors__1[[#This Row],[Risk_Free]]/H768-1</f>
        <v>8.9797239808688065</v>
      </c>
      <c r="J769">
        <v>63652</v>
      </c>
      <c r="K769">
        <v>64014</v>
      </c>
      <c r="L769">
        <v>63556</v>
      </c>
      <c r="M769">
        <v>63831</v>
      </c>
      <c r="N769">
        <v>1763700</v>
      </c>
      <c r="O769">
        <v>63831</v>
      </c>
      <c r="P769">
        <v>2.81216615345947E-3</v>
      </c>
      <c r="Q769">
        <v>2.8082194117530399E-3</v>
      </c>
      <c r="R769" s="8">
        <v>21.288816452026399</v>
      </c>
      <c r="S769" s="8">
        <v>-1.97345029624163E-2</v>
      </c>
      <c r="T769" s="9">
        <v>-1.9931828663981601E-2</v>
      </c>
      <c r="U769" s="12">
        <v>5.0788E-2</v>
      </c>
      <c r="V769" s="16">
        <v>3.2774000000000001</v>
      </c>
      <c r="W769" s="17">
        <f t="shared" si="11"/>
        <v>-6.1020258725896781E-5</v>
      </c>
    </row>
    <row r="770" spans="1:23" x14ac:dyDescent="0.2">
      <c r="A770" s="14">
        <v>42660</v>
      </c>
      <c r="B770" s="3">
        <v>139693209501038</v>
      </c>
      <c r="C770" s="3">
        <f>[1]!nefin_factors__1[[#This Row],[Rm_minus_Rf]]/B769-1</f>
        <v>-0.8598496566966739</v>
      </c>
      <c r="D770" s="3">
        <v>-829779869682453</v>
      </c>
      <c r="E770" s="3">
        <f>[1]!nefin_factors__1[[#This Row],[SMB]]/D769-1</f>
        <v>5.2355023832985452</v>
      </c>
      <c r="F770" s="3">
        <v>245465489625764</v>
      </c>
      <c r="G770" s="3">
        <f>[1]!nefin_factors__1[[#This Row],[HML]]/F769-1</f>
        <v>-0.30780054024022752</v>
      </c>
      <c r="H770" s="3">
        <v>514861092804741</v>
      </c>
      <c r="I770" s="4">
        <f>[1]!nefin_factors__1[[#This Row],[Risk_Free]]/H769-1</f>
        <v>0</v>
      </c>
      <c r="J770">
        <v>63827</v>
      </c>
      <c r="K770">
        <v>64658</v>
      </c>
      <c r="L770">
        <v>63456</v>
      </c>
      <c r="M770">
        <v>64354</v>
      </c>
      <c r="N770">
        <v>2933800</v>
      </c>
      <c r="O770">
        <v>64354</v>
      </c>
      <c r="P770">
        <v>8.1935109899578008E-3</v>
      </c>
      <c r="Q770">
        <v>8.1601264127486202E-3</v>
      </c>
      <c r="R770" s="8">
        <v>21.148704528808601</v>
      </c>
      <c r="S770" s="8">
        <v>-6.5813828219036799E-3</v>
      </c>
      <c r="T770" s="9">
        <v>-6.6031356166708303E-3</v>
      </c>
      <c r="U770" s="12">
        <v>5.0788E-2</v>
      </c>
      <c r="V770" s="16">
        <v>3.2591000000000001</v>
      </c>
      <c r="W770" s="17">
        <f t="shared" si="11"/>
        <v>-5.583694391895988E-3</v>
      </c>
    </row>
    <row r="771" spans="1:23" x14ac:dyDescent="0.2">
      <c r="A771" s="15">
        <v>42661</v>
      </c>
      <c r="B771" s="5">
        <v>160151301268463</v>
      </c>
      <c r="C771" s="5">
        <f>[1]!nefin_factors__1[[#This Row],[Rm_minus_Rf]]/B770-1</f>
        <v>0.14645015201882794</v>
      </c>
      <c r="D771" s="5">
        <v>154290057471445</v>
      </c>
      <c r="E771" s="5">
        <f>[1]!nefin_factors__1[[#This Row],[SMB]]/D770-1</f>
        <v>-1.1859409502552647</v>
      </c>
      <c r="F771" s="5">
        <v>49159815119579</v>
      </c>
      <c r="G771" s="5">
        <f>[1]!nefin_factors__1[[#This Row],[HML]]/F770-1</f>
        <v>-0.79972820132667977</v>
      </c>
      <c r="H771" s="5">
        <v>514512347020712</v>
      </c>
      <c r="I771" s="6">
        <f>[1]!nefin_factors__1[[#This Row],[Risk_Free]]/H770-1</f>
        <v>-6.7735897876686213E-4</v>
      </c>
      <c r="J771">
        <v>64360</v>
      </c>
      <c r="K771">
        <v>64680</v>
      </c>
      <c r="L771">
        <v>64063</v>
      </c>
      <c r="M771">
        <v>64150</v>
      </c>
      <c r="N771">
        <v>3008900</v>
      </c>
      <c r="O771">
        <v>64150</v>
      </c>
      <c r="P771">
        <v>-3.1699661248717498E-3</v>
      </c>
      <c r="Q771">
        <v>-3.1750011107936301E-3</v>
      </c>
      <c r="R771" s="8">
        <v>21.1816711425781</v>
      </c>
      <c r="S771" s="8">
        <v>1.55880891602256E-3</v>
      </c>
      <c r="T771" s="9">
        <v>1.5575952345055701E-3</v>
      </c>
      <c r="U771" s="12">
        <v>5.0788E-2</v>
      </c>
      <c r="V771" s="16">
        <v>3.2591000000000001</v>
      </c>
      <c r="W771" s="17">
        <f t="shared" si="11"/>
        <v>0</v>
      </c>
    </row>
    <row r="772" spans="1:23" x14ac:dyDescent="0.2">
      <c r="A772" s="14">
        <v>42662</v>
      </c>
      <c r="B772" s="3">
        <v>-440681106079003</v>
      </c>
      <c r="C772" s="3">
        <f>[1]!nefin_factors__1[[#This Row],[Rm_minus_Rf]]/B771-1</f>
        <v>-3.7516548575542665</v>
      </c>
      <c r="D772" s="3">
        <v>130286748367295</v>
      </c>
      <c r="E772" s="3">
        <f>[1]!nefin_factors__1[[#This Row],[SMB]]/D771-1</f>
        <v>-0.1555726240402262</v>
      </c>
      <c r="F772" s="3">
        <v>620555515864223</v>
      </c>
      <c r="G772" s="3">
        <f>[1]!nefin_factors__1[[#This Row],[HML]]/F771-1</f>
        <v>11.623227210166476</v>
      </c>
      <c r="H772" s="3">
        <v>513465926560208</v>
      </c>
      <c r="I772" s="4">
        <f>[1]!nefin_factors__1[[#This Row],[Risk_Free]]/H771-1</f>
        <v>-2.0338102021522086E-3</v>
      </c>
      <c r="J772">
        <v>64145</v>
      </c>
      <c r="K772">
        <v>64456</v>
      </c>
      <c r="L772">
        <v>63574</v>
      </c>
      <c r="M772">
        <v>63951</v>
      </c>
      <c r="N772">
        <v>2867100</v>
      </c>
      <c r="O772">
        <v>63951</v>
      </c>
      <c r="P772">
        <v>-3.1021044427124202E-3</v>
      </c>
      <c r="Q772">
        <v>-3.1069259424783102E-3</v>
      </c>
      <c r="R772" s="8">
        <v>20.522321701049801</v>
      </c>
      <c r="S772" s="8">
        <v>-3.11283060602758E-2</v>
      </c>
      <c r="T772" s="9">
        <v>-3.1623086653372302E-2</v>
      </c>
      <c r="U772" s="12">
        <v>5.0788E-2</v>
      </c>
      <c r="V772" s="16">
        <v>3.2728999999999999</v>
      </c>
      <c r="W772" s="17">
        <f t="shared" ref="W772:W835" si="12">V772/V771-1</f>
        <v>4.2342978122793529E-3</v>
      </c>
    </row>
    <row r="773" spans="1:23" x14ac:dyDescent="0.2">
      <c r="A773" s="15">
        <v>42663</v>
      </c>
      <c r="B773" s="5">
        <v>430924315236498</v>
      </c>
      <c r="C773" s="5">
        <f>[1]!nefin_factors__1[[#This Row],[Rm_minus_Rf]]/B772-1</f>
        <v>-1.9778597477679112</v>
      </c>
      <c r="D773" s="5">
        <v>-338541212865696</v>
      </c>
      <c r="E773" s="5">
        <f>[1]!nefin_factors__1[[#This Row],[SMB]]/D772-1</f>
        <v>-3.5984316679030552</v>
      </c>
      <c r="F773" s="5">
        <v>249860521103831</v>
      </c>
      <c r="G773" s="5">
        <f>[1]!nefin_factors__1[[#This Row],[HML]]/F772-1</f>
        <v>-0.59735992233368485</v>
      </c>
      <c r="H773" s="5">
        <v>51590714712324</v>
      </c>
      <c r="I773" s="6">
        <f>[1]!nefin_factors__1[[#This Row],[Risk_Free]]/H772-1</f>
        <v>-0.89952456035799955</v>
      </c>
      <c r="J773">
        <v>63951</v>
      </c>
      <c r="K773">
        <v>64694</v>
      </c>
      <c r="L773">
        <v>63951</v>
      </c>
      <c r="M773">
        <v>64521</v>
      </c>
      <c r="N773">
        <v>3416700</v>
      </c>
      <c r="O773">
        <v>64521</v>
      </c>
      <c r="P773">
        <v>8.9130740723366592E-3</v>
      </c>
      <c r="Q773">
        <v>8.8735870877874393E-3</v>
      </c>
      <c r="R773" s="8">
        <v>21.379478454589801</v>
      </c>
      <c r="S773" s="8">
        <v>4.1767113755016197E-2</v>
      </c>
      <c r="T773" s="9">
        <v>4.0918419076073798E-2</v>
      </c>
      <c r="U773" s="12">
        <v>5.0788E-2</v>
      </c>
      <c r="V773" s="16">
        <v>3.2631999999999999</v>
      </c>
      <c r="W773" s="17">
        <f t="shared" si="12"/>
        <v>-2.9637324696751843E-3</v>
      </c>
    </row>
    <row r="774" spans="1:23" x14ac:dyDescent="0.2">
      <c r="A774" s="14">
        <v>42664</v>
      </c>
      <c r="B774" s="3">
        <v>374558470519562</v>
      </c>
      <c r="C774" s="3">
        <f>[1]!nefin_factors__1[[#This Row],[Rm_minus_Rf]]/B773-1</f>
        <v>-0.13080219129895598</v>
      </c>
      <c r="D774" s="3">
        <v>528326631948135</v>
      </c>
      <c r="E774" s="3">
        <f>[1]!nefin_factors__1[[#This Row],[SMB]]/D773-1</f>
        <v>-2.5605976816705311</v>
      </c>
      <c r="F774" s="3">
        <v>896331900362351</v>
      </c>
      <c r="G774" s="3">
        <f>[1]!nefin_factors__1[[#This Row],[HML]]/F773-1</f>
        <v>2.5873290282216095</v>
      </c>
      <c r="H774" s="3">
        <v>515558492850676</v>
      </c>
      <c r="I774" s="4">
        <f>[1]!nefin_factors__1[[#This Row],[Risk_Free]]/H773-1</f>
        <v>8.9932419181531387</v>
      </c>
      <c r="J774">
        <v>64519</v>
      </c>
      <c r="K774">
        <v>65816</v>
      </c>
      <c r="L774">
        <v>64500</v>
      </c>
      <c r="M774">
        <v>65749</v>
      </c>
      <c r="N774">
        <v>2957000</v>
      </c>
      <c r="O774">
        <v>65749</v>
      </c>
      <c r="P774">
        <v>1.90325630414903E-2</v>
      </c>
      <c r="Q774">
        <v>1.8853709609784101E-2</v>
      </c>
      <c r="R774" s="8">
        <v>21.2970581054688</v>
      </c>
      <c r="S774" s="8">
        <v>-3.8551408100826498E-3</v>
      </c>
      <c r="T774" s="9">
        <v>-3.8625910193166501E-3</v>
      </c>
      <c r="U774" s="12">
        <v>5.0788E-2</v>
      </c>
      <c r="V774" s="16">
        <v>3.2332999999999998</v>
      </c>
      <c r="W774" s="17">
        <f t="shared" si="12"/>
        <v>-9.1627849963226149E-3</v>
      </c>
    </row>
    <row r="775" spans="1:23" x14ac:dyDescent="0.2">
      <c r="A775" s="15">
        <v>42667</v>
      </c>
      <c r="B775" s="5">
        <v>-932949649650124</v>
      </c>
      <c r="C775" s="5">
        <f>[1]!nefin_factors__1[[#This Row],[Rm_minus_Rf]]/B774-1</f>
        <v>-3.4907984282293758</v>
      </c>
      <c r="D775" s="5">
        <v>790002963507715</v>
      </c>
      <c r="E775" s="5">
        <f>[1]!nefin_factors__1[[#This Row],[SMB]]/D774-1</f>
        <v>0.49529271427162946</v>
      </c>
      <c r="F775" s="5">
        <v>485686380074707</v>
      </c>
      <c r="G775" s="5">
        <f>[1]!nefin_factors__1[[#This Row],[HML]]/F774-1</f>
        <v>-0.45814002616847227</v>
      </c>
      <c r="H775" s="5">
        <v>51590714712324</v>
      </c>
      <c r="I775" s="6">
        <f>[1]!nefin_factors__1[[#This Row],[Risk_Free]]/H774-1</f>
        <v>-0.89993237347897492</v>
      </c>
      <c r="J775">
        <v>65752</v>
      </c>
      <c r="K775">
        <v>66173</v>
      </c>
      <c r="L775">
        <v>65615</v>
      </c>
      <c r="M775">
        <v>65840</v>
      </c>
      <c r="N775">
        <v>3850500</v>
      </c>
      <c r="O775">
        <v>65840</v>
      </c>
      <c r="P775">
        <v>1.3840514684633201E-3</v>
      </c>
      <c r="Q775">
        <v>1.38309455207557E-3</v>
      </c>
      <c r="R775" s="8">
        <v>21.544315338134801</v>
      </c>
      <c r="S775" s="8">
        <v>1.16098120070387E-2</v>
      </c>
      <c r="T775" s="9">
        <v>1.1542935259554099E-2</v>
      </c>
      <c r="U775" s="12">
        <v>5.0788E-2</v>
      </c>
      <c r="V775" s="16">
        <v>3.2128999999999999</v>
      </c>
      <c r="W775" s="17">
        <f t="shared" si="12"/>
        <v>-6.3093433952927658E-3</v>
      </c>
    </row>
    <row r="776" spans="1:23" x14ac:dyDescent="0.2">
      <c r="A776" s="14">
        <v>42668</v>
      </c>
      <c r="B776" s="3">
        <v>-389538062493726</v>
      </c>
      <c r="C776" s="3">
        <f>[1]!nefin_factors__1[[#This Row],[Rm_minus_Rf]]/B775-1</f>
        <v>-0.58246614633510929</v>
      </c>
      <c r="D776" s="3">
        <v>-643745692187451</v>
      </c>
      <c r="E776" s="3">
        <f>[1]!nefin_factors__1[[#This Row],[SMB]]/D775-1</f>
        <v>-1.8148649080114043</v>
      </c>
      <c r="F776" s="3">
        <v>-43235508253338</v>
      </c>
      <c r="G776" s="3">
        <f>[1]!nefin_factors__1[[#This Row],[HML]]/F775-1</f>
        <v>-1.0890193961104853</v>
      </c>
      <c r="H776" s="3">
        <v>51590714712324</v>
      </c>
      <c r="I776" s="4">
        <f>[1]!nefin_factors__1[[#This Row],[Risk_Free]]/H775-1</f>
        <v>0</v>
      </c>
      <c r="J776">
        <v>65842</v>
      </c>
      <c r="K776">
        <v>66594</v>
      </c>
      <c r="L776">
        <v>65842</v>
      </c>
      <c r="M776">
        <v>66191</v>
      </c>
      <c r="N776">
        <v>3494100</v>
      </c>
      <c r="O776">
        <v>66191</v>
      </c>
      <c r="P776">
        <v>5.3311057108140804E-3</v>
      </c>
      <c r="Q776">
        <v>5.3169456702518896E-3</v>
      </c>
      <c r="R776" s="8">
        <v>21.709154129028299</v>
      </c>
      <c r="S776" s="8">
        <v>7.6511995607493298E-3</v>
      </c>
      <c r="T776" s="9">
        <v>7.6220775844304698E-3</v>
      </c>
      <c r="U776" s="12">
        <v>5.0788E-2</v>
      </c>
      <c r="V776" s="16">
        <v>3.2057000000000002</v>
      </c>
      <c r="W776" s="17">
        <f t="shared" si="12"/>
        <v>-2.2409661053875984E-3</v>
      </c>
    </row>
    <row r="777" spans="1:23" x14ac:dyDescent="0.2">
      <c r="A777" s="15">
        <v>42669</v>
      </c>
      <c r="B777" s="5">
        <v>-146112941826443</v>
      </c>
      <c r="C777" s="5">
        <f>[1]!nefin_factors__1[[#This Row],[Rm_minus_Rf]]/B776-1</f>
        <v>-0.62490715055914126</v>
      </c>
      <c r="D777" s="5">
        <v>-976176101469238</v>
      </c>
      <c r="E777" s="5">
        <f>[1]!nefin_factors__1[[#This Row],[SMB]]/D776-1</f>
        <v>0.51640020790226471</v>
      </c>
      <c r="F777" s="5">
        <v>449519398676248</v>
      </c>
      <c r="G777" s="5">
        <f>[1]!nefin_factors__1[[#This Row],[HML]]/F776-1</f>
        <v>-11.396995822098214</v>
      </c>
      <c r="H777" s="5">
        <v>51590714712324</v>
      </c>
      <c r="I777" s="6">
        <f>[1]!nefin_factors__1[[#This Row],[Risk_Free]]/H776-1</f>
        <v>0</v>
      </c>
      <c r="J777">
        <v>66195</v>
      </c>
      <c r="K777">
        <v>66242</v>
      </c>
      <c r="L777">
        <v>65876</v>
      </c>
      <c r="M777">
        <v>66034</v>
      </c>
      <c r="N777">
        <v>2583400</v>
      </c>
      <c r="O777">
        <v>66034</v>
      </c>
      <c r="P777">
        <v>-2.3719236754241599E-3</v>
      </c>
      <c r="Q777">
        <v>-2.3747411424781201E-3</v>
      </c>
      <c r="R777" s="8">
        <v>21.305301666259801</v>
      </c>
      <c r="S777" s="8">
        <v>-1.860293530913E-2</v>
      </c>
      <c r="T777" s="9">
        <v>-1.8778146271432601E-2</v>
      </c>
      <c r="U777" s="12">
        <v>5.0788E-2</v>
      </c>
      <c r="V777" s="16">
        <v>3.2097000000000002</v>
      </c>
      <c r="W777" s="17">
        <f t="shared" si="12"/>
        <v>1.247777396512495E-3</v>
      </c>
    </row>
    <row r="778" spans="1:23" x14ac:dyDescent="0.2">
      <c r="A778" s="14">
        <v>42670</v>
      </c>
      <c r="B778" s="3">
        <v>514479358705878</v>
      </c>
      <c r="C778" s="3">
        <f>[1]!nefin_factors__1[[#This Row],[Rm_minus_Rf]]/B777-1</f>
        <v>-4.5211073863463156</v>
      </c>
      <c r="D778" s="3">
        <v>631214826848393</v>
      </c>
      <c r="E778" s="3">
        <f>[1]!nefin_factors__1[[#This Row],[SMB]]/D777-1</f>
        <v>-1.6466198321167203</v>
      </c>
      <c r="F778" s="3">
        <v>160715403860458</v>
      </c>
      <c r="G778" s="3">
        <f>[1]!nefin_factors__1[[#This Row],[HML]]/F777-1</f>
        <v>-0.64247281800577394</v>
      </c>
      <c r="H778" s="3">
        <v>51590714712324</v>
      </c>
      <c r="I778" s="4">
        <f>[1]!nefin_factors__1[[#This Row],[Risk_Free]]/H777-1</f>
        <v>0</v>
      </c>
      <c r="J778">
        <v>66025</v>
      </c>
      <c r="K778">
        <v>66025</v>
      </c>
      <c r="L778">
        <v>64165</v>
      </c>
      <c r="M778">
        <v>64302</v>
      </c>
      <c r="N778">
        <v>2264300</v>
      </c>
      <c r="O778">
        <v>64302</v>
      </c>
      <c r="P778">
        <v>-2.6228912378471698E-2</v>
      </c>
      <c r="Q778">
        <v>-2.6579025937673199E-2</v>
      </c>
      <c r="R778" s="8">
        <v>21.404203414916999</v>
      </c>
      <c r="S778" s="8">
        <v>4.6421470292252699E-3</v>
      </c>
      <c r="T778" s="9">
        <v>4.6314054943994796E-3</v>
      </c>
      <c r="U778" s="12">
        <v>5.0788E-2</v>
      </c>
      <c r="V778" s="16">
        <v>3.1918000000000002</v>
      </c>
      <c r="W778" s="17">
        <f t="shared" si="12"/>
        <v>-5.5768451880238157E-3</v>
      </c>
    </row>
    <row r="779" spans="1:23" x14ac:dyDescent="0.2">
      <c r="A779" s="15">
        <v>42671</v>
      </c>
      <c r="B779" s="5">
        <v>-726582515955643</v>
      </c>
      <c r="C779" s="5">
        <f>[1]!nefin_factors__1[[#This Row],[Rm_minus_Rf]]/B778-1</f>
        <v>-2.412267574316858</v>
      </c>
      <c r="D779" s="5">
        <v>127588152220914</v>
      </c>
      <c r="E779" s="5">
        <f>[1]!nefin_factors__1[[#This Row],[SMB]]/D778-1</f>
        <v>-0.79786889218374069</v>
      </c>
      <c r="F779" s="5">
        <v>467546110006267</v>
      </c>
      <c r="G779" s="5">
        <f>[1]!nefin_factors__1[[#This Row],[HML]]/F778-1</f>
        <v>1.9091555555696229</v>
      </c>
      <c r="H779" s="5">
        <v>51590714712324</v>
      </c>
      <c r="I779" s="6">
        <f>[1]!nefin_factors__1[[#This Row],[Risk_Free]]/H778-1</f>
        <v>0</v>
      </c>
      <c r="J779">
        <v>64310</v>
      </c>
      <c r="K779">
        <v>64901</v>
      </c>
      <c r="L779">
        <v>64284</v>
      </c>
      <c r="M779">
        <v>64671</v>
      </c>
      <c r="N779">
        <v>2737700</v>
      </c>
      <c r="O779">
        <v>64671</v>
      </c>
      <c r="P779">
        <v>5.7385462349537298E-3</v>
      </c>
      <c r="Q779">
        <v>5.7221435004912299E-3</v>
      </c>
      <c r="R779" s="8">
        <v>21.428928375244102</v>
      </c>
      <c r="S779" s="8">
        <v>1.15510537006402E-3</v>
      </c>
      <c r="T779" s="9">
        <v>1.1544387491515999E-3</v>
      </c>
      <c r="U779" s="12">
        <v>5.0788E-2</v>
      </c>
      <c r="V779" s="16">
        <v>3.2153999999999998</v>
      </c>
      <c r="W779" s="17">
        <f t="shared" si="12"/>
        <v>7.3939469891595166E-3</v>
      </c>
    </row>
    <row r="780" spans="1:23" x14ac:dyDescent="0.2">
      <c r="A780" s="14">
        <v>42674</v>
      </c>
      <c r="B780" s="3">
        <v>659093692746265</v>
      </c>
      <c r="C780" s="3">
        <f>[1]!nefin_factors__1[[#This Row],[Rm_minus_Rf]]/B779-1</f>
        <v>-1.9071147161852458</v>
      </c>
      <c r="D780" s="3">
        <v>-740264196444015</v>
      </c>
      <c r="E780" s="3">
        <f>[1]!nefin_factors__1[[#This Row],[SMB]]/D779-1</f>
        <v>-6.8019822652676707</v>
      </c>
      <c r="F780" s="3">
        <v>-452254525889433</v>
      </c>
      <c r="G780" s="3">
        <f>[1]!nefin_factors__1[[#This Row],[HML]]/F779-1</f>
        <v>-1.9672939549927406</v>
      </c>
      <c r="H780" s="3">
        <v>51590714712324</v>
      </c>
      <c r="I780" s="4">
        <f>[1]!nefin_factors__1[[#This Row],[Risk_Free]]/H779-1</f>
        <v>0</v>
      </c>
      <c r="J780">
        <v>64687</v>
      </c>
      <c r="K780">
        <v>65594</v>
      </c>
      <c r="L780">
        <v>64687</v>
      </c>
      <c r="M780">
        <v>64836</v>
      </c>
      <c r="N780">
        <v>3214300</v>
      </c>
      <c r="O780">
        <v>64836</v>
      </c>
      <c r="P780">
        <v>2.5513754232964199E-3</v>
      </c>
      <c r="Q780">
        <v>2.5481261905227598E-3</v>
      </c>
      <c r="R780" s="8">
        <v>21.4206867218018</v>
      </c>
      <c r="S780" s="8">
        <v>-3.8456029416333902E-4</v>
      </c>
      <c r="T780" s="9">
        <v>-3.84634256435839E-4</v>
      </c>
      <c r="U780" s="12">
        <v>4.8159E-2</v>
      </c>
      <c r="V780" s="16">
        <v>3.1661000000000001</v>
      </c>
      <c r="W780" s="17">
        <f t="shared" si="12"/>
        <v>-1.5332462524102697E-2</v>
      </c>
    </row>
    <row r="781" spans="1:23" x14ac:dyDescent="0.2">
      <c r="A781" s="15">
        <v>42675</v>
      </c>
      <c r="B781" s="5">
        <v>-250702631836391</v>
      </c>
      <c r="C781" s="5">
        <f>[1]!nefin_factors__1[[#This Row],[Rm_minus_Rf]]/B780-1</f>
        <v>-1.3803748004199237</v>
      </c>
      <c r="D781" s="5">
        <v>-145215250832282</v>
      </c>
      <c r="E781" s="5">
        <f>[1]!nefin_factors__1[[#This Row],[SMB]]/D780-1</f>
        <v>-0.80383321045398637</v>
      </c>
      <c r="F781" s="5">
        <v>140478944586576</v>
      </c>
      <c r="G781" s="5">
        <f>[1]!nefin_factors__1[[#This Row],[HML]]/F780-1</f>
        <v>-1.3106192122904707</v>
      </c>
      <c r="H781" s="5">
        <v>516255770902863</v>
      </c>
      <c r="I781" s="6">
        <f>[1]!nefin_factors__1[[#This Row],[Risk_Free]]/H780-1</f>
        <v>9.0067574907920349</v>
      </c>
      <c r="J781">
        <v>64835</v>
      </c>
      <c r="K781">
        <v>65132</v>
      </c>
      <c r="L781">
        <v>64163</v>
      </c>
      <c r="M781">
        <v>64578</v>
      </c>
      <c r="N781">
        <v>2959200</v>
      </c>
      <c r="O781">
        <v>64578</v>
      </c>
      <c r="P781">
        <v>-3.97927077549509E-3</v>
      </c>
      <c r="Q781">
        <v>-3.9872091397128396E-3</v>
      </c>
      <c r="R781" s="8">
        <v>21.478380203247099</v>
      </c>
      <c r="S781" s="8">
        <v>2.6935084271391099E-3</v>
      </c>
      <c r="T781" s="9">
        <v>2.6898874339752799E-3</v>
      </c>
      <c r="U781" s="12">
        <v>4.8159E-2</v>
      </c>
      <c r="V781" s="16">
        <v>3.2033999999999998</v>
      </c>
      <c r="W781" s="17">
        <f t="shared" si="12"/>
        <v>1.1781055557310127E-2</v>
      </c>
    </row>
    <row r="782" spans="1:23" x14ac:dyDescent="0.2">
      <c r="A782" s="14">
        <v>42677</v>
      </c>
      <c r="B782" s="3">
        <v>-24593123276736</v>
      </c>
      <c r="C782" s="3">
        <f>[1]!nefin_factors__1[[#This Row],[Rm_minus_Rf]]/B781-1</f>
        <v>-0.9019032106021706</v>
      </c>
      <c r="D782" s="3">
        <v>19524521616804</v>
      </c>
      <c r="E782" s="3">
        <f>[1]!nefin_factors__1[[#This Row],[SMB]]/D781-1</f>
        <v>-1.1344522803555535</v>
      </c>
      <c r="F782" s="3">
        <v>-75833688909253</v>
      </c>
      <c r="G782" s="3">
        <f>[1]!nefin_factors__1[[#This Row],[HML]]/F781-1</f>
        <v>-1.539822456186787</v>
      </c>
      <c r="H782" s="3">
        <v>514861092804741</v>
      </c>
      <c r="I782" s="4">
        <f>[1]!nefin_factors__1[[#This Row],[Risk_Free]]/H781-1</f>
        <v>-2.7015254389949339E-3</v>
      </c>
      <c r="J782">
        <v>64579</v>
      </c>
      <c r="K782">
        <v>65387</v>
      </c>
      <c r="L782">
        <v>64264</v>
      </c>
      <c r="M782">
        <v>64954</v>
      </c>
      <c r="N782">
        <v>3482700</v>
      </c>
      <c r="O782">
        <v>64954</v>
      </c>
      <c r="P782">
        <v>5.8224163027655899E-3</v>
      </c>
      <c r="Q782">
        <v>5.8055315453204998E-3</v>
      </c>
      <c r="R782" s="8">
        <v>21.865749359130898</v>
      </c>
      <c r="S782" s="8">
        <v>1.80351876761198E-2</v>
      </c>
      <c r="T782" s="9">
        <v>1.7874483028128701E-2</v>
      </c>
      <c r="U782" s="12">
        <v>4.8159E-2</v>
      </c>
      <c r="V782" s="16">
        <v>3.2233999999999998</v>
      </c>
      <c r="W782" s="17">
        <f t="shared" si="12"/>
        <v>6.2433664231753561E-3</v>
      </c>
    </row>
    <row r="783" spans="1:23" x14ac:dyDescent="0.2">
      <c r="A783" s="15">
        <v>42678</v>
      </c>
      <c r="B783" s="5">
        <v>-330117037225687</v>
      </c>
      <c r="C783" s="5">
        <f>[1]!nefin_factors__1[[#This Row],[Rm_minus_Rf]]/B782-1</f>
        <v>12.423144084263711</v>
      </c>
      <c r="D783" s="5">
        <v>-39035054266575</v>
      </c>
      <c r="E783" s="5">
        <f>[1]!nefin_factors__1[[#This Row],[SMB]]/D782-1</f>
        <v>-2.9992835180647415</v>
      </c>
      <c r="F783" s="5">
        <v>526479250211178</v>
      </c>
      <c r="G783" s="5">
        <f>[1]!nefin_factors__1[[#This Row],[HML]]/F782-1</f>
        <v>-7.9425509662492306</v>
      </c>
      <c r="H783" s="5">
        <v>514861092804741</v>
      </c>
      <c r="I783" s="6">
        <f>[1]!nefin_factors__1[[#This Row],[Risk_Free]]/H782-1</f>
        <v>0</v>
      </c>
      <c r="J783">
        <v>64957</v>
      </c>
      <c r="K783">
        <v>65327</v>
      </c>
      <c r="L783">
        <v>63933</v>
      </c>
      <c r="M783">
        <v>63993</v>
      </c>
      <c r="N783">
        <v>2551400</v>
      </c>
      <c r="O783">
        <v>63993</v>
      </c>
      <c r="P783">
        <v>-1.4795085752994401E-2</v>
      </c>
      <c r="Q783">
        <v>-1.4905624677746299E-2</v>
      </c>
      <c r="R783" s="8">
        <v>21.503105163574201</v>
      </c>
      <c r="S783" s="8">
        <v>-1.6585048789526401E-2</v>
      </c>
      <c r="T783" s="9">
        <v>-1.67241205298027E-2</v>
      </c>
      <c r="U783" s="12">
        <v>4.8159E-2</v>
      </c>
      <c r="V783" s="16">
        <v>3.21</v>
      </c>
      <c r="W783" s="17">
        <f t="shared" si="12"/>
        <v>-4.1571011974932404E-3</v>
      </c>
    </row>
    <row r="784" spans="1:23" x14ac:dyDescent="0.2">
      <c r="A784" s="14">
        <v>42681</v>
      </c>
      <c r="B784" s="3">
        <v>354468180166271</v>
      </c>
      <c r="C784" s="3">
        <f>[1]!nefin_factors__1[[#This Row],[Rm_minus_Rf]]/B783-1</f>
        <v>-2.0737651808135436</v>
      </c>
      <c r="D784" s="3">
        <v>592656429711647</v>
      </c>
      <c r="E784" s="3">
        <f>[1]!nefin_factors__1[[#This Row],[SMB]]/D783-1</f>
        <v>-16.182672109646017</v>
      </c>
      <c r="F784" s="3">
        <v>155927977725663</v>
      </c>
      <c r="G784" s="3">
        <f>[1]!nefin_factors__1[[#This Row],[HML]]/F783-1</f>
        <v>-0.70382882580250183</v>
      </c>
      <c r="H784" s="3">
        <v>513814763903664</v>
      </c>
      <c r="I784" s="4">
        <f>[1]!nefin_factors__1[[#This Row],[Risk_Free]]/H783-1</f>
        <v>-2.032254749289808E-3</v>
      </c>
      <c r="J784">
        <v>64022</v>
      </c>
      <c r="K784">
        <v>64815</v>
      </c>
      <c r="L784">
        <v>63938</v>
      </c>
      <c r="M784">
        <v>64199</v>
      </c>
      <c r="N784">
        <v>2776200</v>
      </c>
      <c r="O784">
        <v>64199</v>
      </c>
      <c r="P784">
        <v>3.2191020892910998E-3</v>
      </c>
      <c r="Q784">
        <v>3.21393187282548E-3</v>
      </c>
      <c r="R784" s="8">
        <v>21.8327827453613</v>
      </c>
      <c r="S784" s="8">
        <v>1.53316338520719E-2</v>
      </c>
      <c r="T784" s="9">
        <v>1.5215291987377999E-2</v>
      </c>
      <c r="U784" s="12">
        <v>4.8159E-2</v>
      </c>
      <c r="V784" s="16">
        <v>3.2210999999999999</v>
      </c>
      <c r="W784" s="17">
        <f t="shared" si="12"/>
        <v>3.4579439252335753E-3</v>
      </c>
    </row>
    <row r="785" spans="1:23" x14ac:dyDescent="0.2">
      <c r="A785" s="15">
        <v>42682</v>
      </c>
      <c r="B785" s="5">
        <v>383654853863518</v>
      </c>
      <c r="C785" s="5">
        <f>[1]!nefin_factors__1[[#This Row],[Rm_minus_Rf]]/B784-1</f>
        <v>8.2339333487018163E-2</v>
      </c>
      <c r="D785" s="5">
        <v>-394114926503016</v>
      </c>
      <c r="E785" s="5">
        <f>[1]!nefin_factors__1[[#This Row],[SMB]]/D784-1</f>
        <v>-1.6649973015474919</v>
      </c>
      <c r="F785" s="5">
        <v>-255718053598453</v>
      </c>
      <c r="G785" s="5">
        <f>[1]!nefin_factors__1[[#This Row],[HML]]/F784-1</f>
        <v>-2.639975438201084</v>
      </c>
      <c r="H785" s="5">
        <v>513117058686063</v>
      </c>
      <c r="I785" s="6">
        <f>[1]!nefin_factors__1[[#This Row],[Risk_Free]]/H784-1</f>
        <v>-1.3578925064360314E-3</v>
      </c>
      <c r="J785">
        <v>64200</v>
      </c>
      <c r="K785">
        <v>64835</v>
      </c>
      <c r="L785">
        <v>63740</v>
      </c>
      <c r="M785">
        <v>64835</v>
      </c>
      <c r="N785">
        <v>3138600</v>
      </c>
      <c r="O785">
        <v>64835</v>
      </c>
      <c r="P785">
        <v>9.9066963659870701E-3</v>
      </c>
      <c r="Q785">
        <v>9.8579467502318899E-3</v>
      </c>
      <c r="R785" s="8">
        <v>21.898717880248999</v>
      </c>
      <c r="S785" s="8">
        <v>3.0200248551117701E-3</v>
      </c>
      <c r="T785" s="9">
        <v>3.0154737407323902E-3</v>
      </c>
      <c r="U785" s="12">
        <v>4.8159E-2</v>
      </c>
      <c r="V785" s="16">
        <v>3.2113</v>
      </c>
      <c r="W785" s="17">
        <f t="shared" si="12"/>
        <v>-3.0424389183818512E-3</v>
      </c>
    </row>
    <row r="786" spans="1:23" x14ac:dyDescent="0.2">
      <c r="A786" s="14">
        <v>42683</v>
      </c>
      <c r="B786" s="3">
        <v>-160518687362765</v>
      </c>
      <c r="C786" s="3">
        <f>[1]!nefin_factors__1[[#This Row],[Rm_minus_Rf]]/B785-1</f>
        <v>-1.4183934746199462</v>
      </c>
      <c r="D786" s="3">
        <v>-389420355987768</v>
      </c>
      <c r="E786" s="3">
        <f>[1]!nefin_factors__1[[#This Row],[SMB]]/D785-1</f>
        <v>-1.1911679054896429E-2</v>
      </c>
      <c r="F786" s="3">
        <v>-519147682220009</v>
      </c>
      <c r="G786" s="3">
        <f>[1]!nefin_factors__1[[#This Row],[HML]]/F785-1</f>
        <v>1.0301565529480068</v>
      </c>
      <c r="H786" s="3">
        <v>5127681602759</v>
      </c>
      <c r="I786" s="4">
        <f>[1]!nefin_factors__1[[#This Row],[Risk_Free]]/H785-1</f>
        <v>-0.99000679958703885</v>
      </c>
      <c r="J786">
        <v>64850</v>
      </c>
      <c r="K786">
        <v>65302</v>
      </c>
      <c r="L786">
        <v>64587</v>
      </c>
      <c r="M786">
        <v>64965</v>
      </c>
      <c r="N786">
        <v>2641700</v>
      </c>
      <c r="O786">
        <v>64965</v>
      </c>
      <c r="P786">
        <v>2.00508984344872E-3</v>
      </c>
      <c r="Q786">
        <v>2.0030823338520599E-3</v>
      </c>
      <c r="R786" s="8">
        <v>22.253118515014599</v>
      </c>
      <c r="S786" s="8">
        <v>1.6183679677732599E-2</v>
      </c>
      <c r="T786" s="9">
        <v>1.6054119900656999E-2</v>
      </c>
      <c r="U786" s="12">
        <v>4.8159E-2</v>
      </c>
      <c r="V786" s="16">
        <v>3.1918000000000002</v>
      </c>
      <c r="W786" s="17">
        <f t="shared" si="12"/>
        <v>-6.0723071653223659E-3</v>
      </c>
    </row>
    <row r="787" spans="1:23" x14ac:dyDescent="0.2">
      <c r="A787" s="15">
        <v>42684</v>
      </c>
      <c r="B787" s="5">
        <v>-330632730963893</v>
      </c>
      <c r="C787" s="5">
        <f>[1]!nefin_factors__1[[#This Row],[Rm_minus_Rf]]/B786-1</f>
        <v>1.0597771910299634</v>
      </c>
      <c r="D787" s="5">
        <v>-171122002178206</v>
      </c>
      <c r="E787" s="5">
        <f>[1]!nefin_factors__1[[#This Row],[SMB]]/D786-1</f>
        <v>-0.56057252902418619</v>
      </c>
      <c r="F787" s="5">
        <v>-144335696275414</v>
      </c>
      <c r="G787" s="5">
        <f>[1]!nefin_factors__1[[#This Row],[HML]]/F786-1</f>
        <v>-0.72197565120931007</v>
      </c>
      <c r="H787" s="5">
        <v>512419231324612</v>
      </c>
      <c r="I787" s="6">
        <f>[1]!nefin_factors__1[[#This Row],[Risk_Free]]/H786-1</f>
        <v>98.931951907641803</v>
      </c>
      <c r="J787">
        <v>64965</v>
      </c>
      <c r="K787">
        <v>66292</v>
      </c>
      <c r="L787">
        <v>64935</v>
      </c>
      <c r="M787">
        <v>66125</v>
      </c>
      <c r="N787">
        <v>3439000</v>
      </c>
      <c r="O787">
        <v>66125</v>
      </c>
      <c r="P787">
        <v>1.7855768490725701E-2</v>
      </c>
      <c r="Q787">
        <v>1.7698226843763699E-2</v>
      </c>
      <c r="R787" s="8">
        <v>22.3437805175781</v>
      </c>
      <c r="S787" s="8">
        <v>4.0740199780460199E-3</v>
      </c>
      <c r="T787" s="9">
        <v>4.0657436297125496E-3</v>
      </c>
      <c r="U787" s="12">
        <v>4.8159E-2</v>
      </c>
      <c r="V787" s="16">
        <v>3.1608999999999998</v>
      </c>
      <c r="W787" s="17">
        <f t="shared" si="12"/>
        <v>-9.6810577103829676E-3</v>
      </c>
    </row>
    <row r="788" spans="1:23" x14ac:dyDescent="0.2">
      <c r="A788" s="14">
        <v>42685</v>
      </c>
      <c r="B788" s="3">
        <v>-359752395562564</v>
      </c>
      <c r="C788" s="3">
        <f>[1]!nefin_factors__1[[#This Row],[Rm_minus_Rf]]/B787-1</f>
        <v>8.8072540530934385E-2</v>
      </c>
      <c r="D788" s="3">
        <v>-1585632259134</v>
      </c>
      <c r="E788" s="3">
        <f>[1]!nefin_factors__1[[#This Row],[SMB]]/D787-1</f>
        <v>-0.99073390774447156</v>
      </c>
      <c r="F788" s="3">
        <v>-292222705195893</v>
      </c>
      <c r="G788" s="3">
        <f>[1]!nefin_factors__1[[#This Row],[HML]]/F787-1</f>
        <v>1.0246045346834269</v>
      </c>
      <c r="H788" s="3">
        <v>5127681602759</v>
      </c>
      <c r="I788" s="4">
        <f>[1]!nefin_factors__1[[#This Row],[Risk_Free]]/H787-1</f>
        <v>-0.98999319055706814</v>
      </c>
      <c r="J788">
        <v>66125</v>
      </c>
      <c r="K788">
        <v>67094</v>
      </c>
      <c r="L788">
        <v>66125</v>
      </c>
      <c r="M788">
        <v>66968</v>
      </c>
      <c r="N788">
        <v>3108800</v>
      </c>
      <c r="O788">
        <v>66968</v>
      </c>
      <c r="P788">
        <v>1.27485822306239E-2</v>
      </c>
      <c r="Q788">
        <v>1.26680031792919E-2</v>
      </c>
      <c r="R788" s="8">
        <v>22.871261596679702</v>
      </c>
      <c r="S788" s="8">
        <v>2.36074847119223E-2</v>
      </c>
      <c r="T788" s="9">
        <v>2.3333137422056501E-2</v>
      </c>
      <c r="U788" s="12">
        <v>4.8159E-2</v>
      </c>
      <c r="V788" s="16">
        <v>3.1648999999999998</v>
      </c>
      <c r="W788" s="17">
        <f t="shared" si="12"/>
        <v>1.2654623683128197E-3</v>
      </c>
    </row>
    <row r="789" spans="1:23" x14ac:dyDescent="0.2">
      <c r="A789" s="15">
        <v>42688</v>
      </c>
      <c r="B789" s="5">
        <v>526906511285893</v>
      </c>
      <c r="C789" s="5">
        <f>[1]!nefin_factors__1[[#This Row],[Rm_minus_Rf]]/B788-1</f>
        <v>-2.4646365605486551</v>
      </c>
      <c r="D789" s="5">
        <v>-163054779874887</v>
      </c>
      <c r="E789" s="5">
        <f>[1]!nefin_factors__1[[#This Row],[SMB]]/D788-1</f>
        <v>101.83265803632179</v>
      </c>
      <c r="F789" s="5">
        <v>-24115172252927</v>
      </c>
      <c r="G789" s="5">
        <f>[1]!nefin_factors__1[[#This Row],[HML]]/F788-1</f>
        <v>-0.91747673324438883</v>
      </c>
      <c r="H789" s="5">
        <v>5127681602759</v>
      </c>
      <c r="I789" s="6">
        <f>[1]!nefin_factors__1[[#This Row],[Risk_Free]]/H788-1</f>
        <v>0</v>
      </c>
      <c r="J789">
        <v>66971</v>
      </c>
      <c r="K789">
        <v>67110</v>
      </c>
      <c r="L789">
        <v>66251</v>
      </c>
      <c r="M789">
        <v>66713</v>
      </c>
      <c r="N789">
        <v>3370900</v>
      </c>
      <c r="O789">
        <v>66713</v>
      </c>
      <c r="P789">
        <v>-3.8077887946481601E-3</v>
      </c>
      <c r="Q789">
        <v>-3.8150568784857401E-3</v>
      </c>
      <c r="R789" s="8">
        <v>22.533342361450199</v>
      </c>
      <c r="S789" s="8">
        <v>-1.47747206511314E-2</v>
      </c>
      <c r="T789" s="9">
        <v>-1.4884953961341501E-2</v>
      </c>
      <c r="U789" s="12">
        <v>4.8159E-2</v>
      </c>
      <c r="V789" s="16">
        <v>3.169</v>
      </c>
      <c r="W789" s="17">
        <f t="shared" si="12"/>
        <v>1.2954595721823559E-3</v>
      </c>
    </row>
    <row r="790" spans="1:23" x14ac:dyDescent="0.2">
      <c r="A790" s="14">
        <v>42690</v>
      </c>
      <c r="B790" s="3">
        <v>201160794149213</v>
      </c>
      <c r="C790" s="3">
        <f>[1]!nefin_factors__1[[#This Row],[Rm_minus_Rf]]/B789-1</f>
        <v>-0.61822298673385423</v>
      </c>
      <c r="D790" s="3">
        <v>-869444414154239</v>
      </c>
      <c r="E790" s="3">
        <f>[1]!nefin_factors__1[[#This Row],[SMB]]/D789-1</f>
        <v>4.3322227954394794</v>
      </c>
      <c r="F790" s="3">
        <v>-70165609824207</v>
      </c>
      <c r="G790" s="3">
        <f>[1]!nefin_factors__1[[#This Row],[HML]]/F789-1</f>
        <v>1.9096043390563211</v>
      </c>
      <c r="H790" s="3">
        <v>511721281776678</v>
      </c>
      <c r="I790" s="4">
        <f>[1]!nefin_factors__1[[#This Row],[Risk_Free]]/H789-1</f>
        <v>98.795837850256007</v>
      </c>
      <c r="J790">
        <v>66712</v>
      </c>
      <c r="K790">
        <v>68016</v>
      </c>
      <c r="L790">
        <v>66712</v>
      </c>
      <c r="M790">
        <v>67976</v>
      </c>
      <c r="N790">
        <v>4119600</v>
      </c>
      <c r="O790">
        <v>67976</v>
      </c>
      <c r="P790">
        <v>1.8931842369553298E-2</v>
      </c>
      <c r="Q790">
        <v>1.8754865221970798E-2</v>
      </c>
      <c r="R790" s="8">
        <v>23.159727096557599</v>
      </c>
      <c r="S790" s="8">
        <v>2.7798213883844802E-2</v>
      </c>
      <c r="T790" s="9">
        <v>2.74188577693108E-2</v>
      </c>
      <c r="U790" s="12">
        <v>4.8159E-2</v>
      </c>
      <c r="V790" s="16">
        <v>3.1804000000000001</v>
      </c>
      <c r="W790" s="17">
        <f t="shared" si="12"/>
        <v>3.5973493215526453E-3</v>
      </c>
    </row>
    <row r="791" spans="1:23" x14ac:dyDescent="0.2">
      <c r="A791" s="15">
        <v>42691</v>
      </c>
      <c r="B791" s="5">
        <v>-1669916060207</v>
      </c>
      <c r="C791" s="5">
        <f>[1]!nefin_factors__1[[#This Row],[Rm_minus_Rf]]/B790-1</f>
        <v>-1.0083013992227945</v>
      </c>
      <c r="D791" s="5">
        <v>634729295055525</v>
      </c>
      <c r="E791" s="5">
        <f>[1]!nefin_factors__1[[#This Row],[SMB]]/D790-1</f>
        <v>-1.7300401092034901</v>
      </c>
      <c r="F791" s="5">
        <v>-437277735573478</v>
      </c>
      <c r="G791" s="5">
        <f>[1]!nefin_factors__1[[#This Row],[HML]]/F790-1</f>
        <v>5.2320805971619739</v>
      </c>
      <c r="H791" s="5">
        <v>511372261169374</v>
      </c>
      <c r="I791" s="6">
        <f>[1]!nefin_factors__1[[#This Row],[Risk_Free]]/H790-1</f>
        <v>-6.8205216342032138E-4</v>
      </c>
      <c r="J791">
        <v>67979</v>
      </c>
      <c r="K791">
        <v>68456</v>
      </c>
      <c r="L791">
        <v>67661</v>
      </c>
      <c r="M791">
        <v>67814</v>
      </c>
      <c r="N791">
        <v>3550800</v>
      </c>
      <c r="O791">
        <v>67814</v>
      </c>
      <c r="P791">
        <v>-2.3831940684947402E-3</v>
      </c>
      <c r="Q791">
        <v>-2.3860383954328098E-3</v>
      </c>
      <c r="R791" s="8">
        <v>22.994888305664102</v>
      </c>
      <c r="S791" s="8">
        <v>-7.1176051076546898E-3</v>
      </c>
      <c r="T791" s="9">
        <v>-7.1430560975232604E-3</v>
      </c>
      <c r="U791" s="12">
        <v>4.8159E-2</v>
      </c>
      <c r="V791" s="16">
        <v>3.1596000000000002</v>
      </c>
      <c r="W791" s="17">
        <f t="shared" si="12"/>
        <v>-6.5400578543579613E-3</v>
      </c>
    </row>
    <row r="792" spans="1:23" x14ac:dyDescent="0.2">
      <c r="A792" s="14">
        <v>42692</v>
      </c>
      <c r="B792" s="3">
        <v>202962162653451</v>
      </c>
      <c r="C792" s="3">
        <f>[1]!nefin_factors__1[[#This Row],[Rm_minus_Rf]]/B791-1</f>
        <v>-122.5403381582498</v>
      </c>
      <c r="D792" s="3">
        <v>682400169452294</v>
      </c>
      <c r="E792" s="3">
        <f>[1]!nefin_factors__1[[#This Row],[SMB]]/D791-1</f>
        <v>7.5104260616486673E-2</v>
      </c>
      <c r="F792" s="3">
        <v>474517206648727</v>
      </c>
      <c r="G792" s="3">
        <f>[1]!nefin_factors__1[[#This Row],[HML]]/F791-1</f>
        <v>-2.0851620561618818</v>
      </c>
      <c r="H792" s="3">
        <v>511023209999406</v>
      </c>
      <c r="I792" s="4">
        <f>[1]!nefin_factors__1[[#This Row],[Risk_Free]]/H791-1</f>
        <v>-6.8257744205724169E-4</v>
      </c>
      <c r="J792">
        <v>67814</v>
      </c>
      <c r="K792">
        <v>67819</v>
      </c>
      <c r="L792">
        <v>67158</v>
      </c>
      <c r="M792">
        <v>67748</v>
      </c>
      <c r="N792">
        <v>2787300</v>
      </c>
      <c r="O792">
        <v>67748</v>
      </c>
      <c r="P792">
        <v>-9.7325036128237397E-4</v>
      </c>
      <c r="Q792">
        <v>-9.73724276932579E-4</v>
      </c>
      <c r="R792" s="8">
        <v>22.475650787353501</v>
      </c>
      <c r="S792" s="8">
        <v>-2.2580572891717401E-2</v>
      </c>
      <c r="T792" s="9">
        <v>-2.28394180306585E-2</v>
      </c>
      <c r="U792" s="12">
        <v>4.8159E-2</v>
      </c>
      <c r="V792" s="16">
        <v>3.1316000000000002</v>
      </c>
      <c r="W792" s="17">
        <f t="shared" si="12"/>
        <v>-8.861881250791237E-3</v>
      </c>
    </row>
    <row r="793" spans="1:23" x14ac:dyDescent="0.2">
      <c r="A793" s="15">
        <v>42695</v>
      </c>
      <c r="B793" s="5">
        <v>176092213630165</v>
      </c>
      <c r="C793" s="5">
        <f>[1]!nefin_factors__1[[#This Row],[Rm_minus_Rf]]/B792-1</f>
        <v>-0.13238895699571973</v>
      </c>
      <c r="D793" s="5">
        <v>-299270119965445</v>
      </c>
      <c r="E793" s="5">
        <f>[1]!nefin_factors__1[[#This Row],[SMB]]/D792-1</f>
        <v>-1.4385551665464038</v>
      </c>
      <c r="F793" s="5">
        <v>90600431878482</v>
      </c>
      <c r="G793" s="5">
        <f>[1]!nefin_factors__1[[#This Row],[HML]]/F792-1</f>
        <v>-0.80906818423225024</v>
      </c>
      <c r="H793" s="5">
        <v>509626699584986</v>
      </c>
      <c r="I793" s="6">
        <f>[1]!nefin_factors__1[[#This Row],[Risk_Free]]/H792-1</f>
        <v>-2.7327729682211643E-3</v>
      </c>
      <c r="J793">
        <v>67756</v>
      </c>
      <c r="K793">
        <v>68674</v>
      </c>
      <c r="L793">
        <v>67756</v>
      </c>
      <c r="M793">
        <v>68533</v>
      </c>
      <c r="N793">
        <v>2171300</v>
      </c>
      <c r="O793">
        <v>68533</v>
      </c>
      <c r="P793">
        <v>1.15870579205291E-2</v>
      </c>
      <c r="Q793">
        <v>1.15204420589676E-2</v>
      </c>
      <c r="R793" s="8">
        <v>23.0608234405518</v>
      </c>
      <c r="S793" s="8">
        <v>2.6035965543402598E-2</v>
      </c>
      <c r="T793" s="9">
        <v>2.5702800270065902E-2</v>
      </c>
      <c r="U793" s="12">
        <v>4.8159E-2</v>
      </c>
      <c r="V793" s="16">
        <v>3.1269999999999998</v>
      </c>
      <c r="W793" s="17">
        <f t="shared" si="12"/>
        <v>-1.468897688082893E-3</v>
      </c>
    </row>
    <row r="794" spans="1:23" x14ac:dyDescent="0.2">
      <c r="A794" s="14">
        <v>42696</v>
      </c>
      <c r="B794" s="3">
        <v>960667837132378</v>
      </c>
      <c r="C794" s="3">
        <f>[1]!nefin_factors__1[[#This Row],[Rm_minus_Rf]]/B793-1</f>
        <v>4.4554816327654674</v>
      </c>
      <c r="D794" s="3">
        <v>-114874321986548</v>
      </c>
      <c r="E794" s="3">
        <f>[1]!nefin_factors__1[[#This Row],[SMB]]/D793-1</f>
        <v>-0.61615171604899321</v>
      </c>
      <c r="F794" s="3">
        <v>-342514164021886</v>
      </c>
      <c r="G794" s="3">
        <f>[1]!nefin_factors__1[[#This Row],[HML]]/F793-1</f>
        <v>-4.7804915155513141</v>
      </c>
      <c r="H794" s="3">
        <v>508928260861907</v>
      </c>
      <c r="I794" s="4">
        <f>[1]!nefin_factors__1[[#This Row],[Risk_Free]]/H793-1</f>
        <v>-1.3704908389764459E-3</v>
      </c>
      <c r="J794">
        <v>68536</v>
      </c>
      <c r="K794">
        <v>69112</v>
      </c>
      <c r="L794">
        <v>68536</v>
      </c>
      <c r="M794">
        <v>69052</v>
      </c>
      <c r="N794">
        <v>3051100</v>
      </c>
      <c r="O794">
        <v>69052</v>
      </c>
      <c r="P794">
        <v>7.5729940320721197E-3</v>
      </c>
      <c r="Q794">
        <v>7.5444628664600201E-3</v>
      </c>
      <c r="R794" s="8">
        <v>23.225662231445298</v>
      </c>
      <c r="S794" s="8">
        <v>7.1478756149761001E-3</v>
      </c>
      <c r="T794" s="9">
        <v>7.1224506365675797E-3</v>
      </c>
      <c r="U794" s="12">
        <v>4.8159E-2</v>
      </c>
      <c r="V794" s="16">
        <v>3.1478999999999999</v>
      </c>
      <c r="W794" s="17">
        <f t="shared" si="12"/>
        <v>6.6837224176528043E-3</v>
      </c>
    </row>
    <row r="795" spans="1:23" x14ac:dyDescent="0.2">
      <c r="A795" s="15">
        <v>42697</v>
      </c>
      <c r="B795" s="5">
        <v>72538589409686</v>
      </c>
      <c r="C795" s="5">
        <f>[1]!nefin_factors__1[[#This Row],[Rm_minus_Rf]]/B794-1</f>
        <v>-0.92449149788732821</v>
      </c>
      <c r="D795" s="5">
        <v>956484892224723</v>
      </c>
      <c r="E795" s="5">
        <f>[1]!nefin_factors__1[[#This Row],[SMB]]/D794-1</f>
        <v>-9.3263594133485217</v>
      </c>
      <c r="F795" s="5">
        <v>130279074726668</v>
      </c>
      <c r="G795" s="5">
        <f>[1]!nefin_factors__1[[#This Row],[HML]]/F794-1</f>
        <v>-1.3803611307541239</v>
      </c>
      <c r="H795" s="5">
        <v>50822969973785</v>
      </c>
      <c r="I795" s="6">
        <f>[1]!nefin_factors__1[[#This Row],[Risk_Free]]/H794-1</f>
        <v>-0.90013726121690985</v>
      </c>
      <c r="J795">
        <v>69052</v>
      </c>
      <c r="K795">
        <v>69052</v>
      </c>
      <c r="L795">
        <v>68282</v>
      </c>
      <c r="M795">
        <v>68590</v>
      </c>
      <c r="N795">
        <v>3374600</v>
      </c>
      <c r="O795">
        <v>68590</v>
      </c>
      <c r="P795">
        <v>-6.6906099750911902E-3</v>
      </c>
      <c r="Q795">
        <v>-6.7130924430723804E-3</v>
      </c>
      <c r="R795" s="8">
        <v>23.3657741546631</v>
      </c>
      <c r="S795" s="8">
        <v>6.0326292119383699E-3</v>
      </c>
      <c r="T795" s="9">
        <v>6.01450575586955E-3</v>
      </c>
      <c r="U795" s="12">
        <v>4.8159E-2</v>
      </c>
      <c r="V795" s="16">
        <v>3.1196000000000002</v>
      </c>
      <c r="W795" s="17">
        <f t="shared" si="12"/>
        <v>-8.9901203977253985E-3</v>
      </c>
    </row>
    <row r="796" spans="1:23" x14ac:dyDescent="0.2">
      <c r="A796" s="14">
        <v>42698</v>
      </c>
      <c r="B796" s="3">
        <v>-917100826363145</v>
      </c>
      <c r="C796" s="3">
        <f>[1]!nefin_factors__1[[#This Row],[Rm_minus_Rf]]/B795-1</f>
        <v>-13.642937143201264</v>
      </c>
      <c r="D796" s="3">
        <v>101309890049566</v>
      </c>
      <c r="E796" s="3">
        <f>[1]!nefin_factors__1[[#This Row],[SMB]]/D795-1</f>
        <v>-0.89408103476268652</v>
      </c>
      <c r="F796" s="3">
        <v>530387623576895</v>
      </c>
      <c r="G796" s="3">
        <f>[1]!nefin_factors__1[[#This Row],[HML]]/F795-1</f>
        <v>3.0711651098971551</v>
      </c>
      <c r="H796" s="3">
        <v>507880373261882</v>
      </c>
      <c r="I796" s="4">
        <f>[1]!nefin_factors__1[[#This Row],[Risk_Free]]/H795-1</f>
        <v>8.9931266024762397</v>
      </c>
      <c r="J796">
        <v>68590</v>
      </c>
      <c r="K796">
        <v>69488</v>
      </c>
      <c r="L796">
        <v>67279</v>
      </c>
      <c r="M796">
        <v>67461</v>
      </c>
      <c r="N796">
        <v>3977800</v>
      </c>
      <c r="O796">
        <v>67461</v>
      </c>
      <c r="P796">
        <v>-1.6460125382708801E-2</v>
      </c>
      <c r="Q796">
        <v>-1.6597098388424401E-2</v>
      </c>
      <c r="R796" s="8">
        <v>23.736660003662099</v>
      </c>
      <c r="S796" s="8">
        <v>1.5873013201507899E-2</v>
      </c>
      <c r="T796" s="9">
        <v>1.5748354338373498E-2</v>
      </c>
      <c r="U796" s="12">
        <v>4.8159E-2</v>
      </c>
      <c r="V796" s="16">
        <v>3.1240999999999999</v>
      </c>
      <c r="W796" s="17">
        <f t="shared" si="12"/>
        <v>1.4424926272598171E-3</v>
      </c>
    </row>
    <row r="797" spans="1:23" x14ac:dyDescent="0.2">
      <c r="A797" s="15">
        <v>42699</v>
      </c>
      <c r="B797" s="5">
        <v>-733933749191977</v>
      </c>
      <c r="C797" s="5">
        <f>[1]!nefin_factors__1[[#This Row],[Rm_minus_Rf]]/B796-1</f>
        <v>-0.19972403459446808</v>
      </c>
      <c r="D797" s="5">
        <v>-849433436840824</v>
      </c>
      <c r="E797" s="5">
        <f>[1]!nefin_factors__1[[#This Row],[SMB]]/D796-1</f>
        <v>-9.3845065513864192</v>
      </c>
      <c r="F797" s="5">
        <v>-161444033135688</v>
      </c>
      <c r="G797" s="5">
        <f>[1]!nefin_factors__1[[#This Row],[HML]]/F796-1</f>
        <v>-1.3043887639136851</v>
      </c>
      <c r="H797" s="5">
        <v>507880373261882</v>
      </c>
      <c r="I797" s="6">
        <f>[1]!nefin_factors__1[[#This Row],[Risk_Free]]/H796-1</f>
        <v>0</v>
      </c>
      <c r="J797">
        <v>67458</v>
      </c>
      <c r="K797">
        <v>67458</v>
      </c>
      <c r="L797">
        <v>66452</v>
      </c>
      <c r="M797">
        <v>66662</v>
      </c>
      <c r="N797">
        <v>3059900</v>
      </c>
      <c r="O797">
        <v>66662</v>
      </c>
      <c r="P797">
        <v>-1.18438801678007E-2</v>
      </c>
      <c r="Q797">
        <v>-1.1914577692993001E-2</v>
      </c>
      <c r="R797" s="8">
        <v>23.5141296386719</v>
      </c>
      <c r="S797" s="8">
        <v>-9.3748990416515597E-3</v>
      </c>
      <c r="T797" s="9">
        <v>-9.4191200027065897E-3</v>
      </c>
      <c r="U797" s="12">
        <v>4.8159E-2</v>
      </c>
      <c r="V797" s="16">
        <v>3.1179000000000001</v>
      </c>
      <c r="W797" s="17">
        <f t="shared" si="12"/>
        <v>-1.98457155660825E-3</v>
      </c>
    </row>
    <row r="798" spans="1:23" x14ac:dyDescent="0.2">
      <c r="A798" s="14">
        <v>42702</v>
      </c>
      <c r="B798" s="3">
        <v>183827087380509</v>
      </c>
      <c r="C798" s="3">
        <f>[1]!nefin_factors__1[[#This Row],[Rm_minus_Rf]]/B797-1</f>
        <v>-1.2504682303857713</v>
      </c>
      <c r="D798" s="3">
        <v>-67733121999273</v>
      </c>
      <c r="E798" s="3">
        <f>[1]!nefin_factors__1[[#This Row],[SMB]]/D797-1</f>
        <v>-0.92026082437820778</v>
      </c>
      <c r="F798" s="3">
        <v>95512392429776</v>
      </c>
      <c r="G798" s="3">
        <f>[1]!nefin_factors__1[[#This Row],[HML]]/F797-1</f>
        <v>-1.5916130226349166</v>
      </c>
      <c r="H798" s="3">
        <v>50683221011405</v>
      </c>
      <c r="I798" s="4">
        <f>[1]!nefin_factors__1[[#This Row],[Risk_Free]]/H797-1</f>
        <v>-0.90020637992783614</v>
      </c>
      <c r="J798">
        <v>66661</v>
      </c>
      <c r="K798">
        <v>67398</v>
      </c>
      <c r="L798">
        <v>66661</v>
      </c>
      <c r="M798">
        <v>66989</v>
      </c>
      <c r="N798">
        <v>2378500</v>
      </c>
      <c r="O798">
        <v>66989</v>
      </c>
      <c r="P798">
        <v>4.9053433740362503E-3</v>
      </c>
      <c r="Q798">
        <v>4.89335137781138E-3</v>
      </c>
      <c r="R798" s="8">
        <v>23.299839019775401</v>
      </c>
      <c r="S798" s="8">
        <v>-9.1132451705621103E-3</v>
      </c>
      <c r="T798" s="9">
        <v>-9.1550248151396098E-3</v>
      </c>
      <c r="U798" s="12">
        <v>4.8159E-2</v>
      </c>
      <c r="V798" s="16">
        <v>3.1303999999999998</v>
      </c>
      <c r="W798" s="17">
        <f t="shared" si="12"/>
        <v>4.0091086949547439E-3</v>
      </c>
    </row>
    <row r="799" spans="1:23" x14ac:dyDescent="0.2">
      <c r="A799" s="15">
        <v>42703</v>
      </c>
      <c r="B799" s="5">
        <v>-26262508708468</v>
      </c>
      <c r="C799" s="5">
        <f>[1]!nefin_factors__1[[#This Row],[Rm_minus_Rf]]/B798-1</f>
        <v>-1.142865282166531</v>
      </c>
      <c r="D799" s="5">
        <v>883329823593065</v>
      </c>
      <c r="E799" s="5">
        <f>[1]!nefin_factors__1[[#This Row],[SMB]]/D798-1</f>
        <v>-14.041327455754159</v>
      </c>
      <c r="F799" s="5">
        <v>-192851810233142</v>
      </c>
      <c r="G799" s="5">
        <f>[1]!nefin_factors__1[[#This Row],[HML]]/F798-1</f>
        <v>-3.0191286735376592</v>
      </c>
      <c r="H799" s="5">
        <v>50683221011405</v>
      </c>
      <c r="I799" s="6">
        <f>[1]!nefin_factors__1[[#This Row],[Risk_Free]]/H798-1</f>
        <v>0</v>
      </c>
      <c r="J799">
        <v>67000</v>
      </c>
      <c r="K799">
        <v>67035</v>
      </c>
      <c r="L799">
        <v>65594</v>
      </c>
      <c r="M799">
        <v>65855</v>
      </c>
      <c r="N799">
        <v>3095300</v>
      </c>
      <c r="O799">
        <v>65855</v>
      </c>
      <c r="P799">
        <v>-1.6928152383227101E-2</v>
      </c>
      <c r="Q799">
        <v>-1.7073071356614102E-2</v>
      </c>
      <c r="R799" s="8">
        <v>23.571821212768601</v>
      </c>
      <c r="S799" s="8">
        <v>1.16730814801713E-2</v>
      </c>
      <c r="T799" s="9">
        <v>1.1605476660320999E-2</v>
      </c>
      <c r="U799" s="12">
        <v>4.8159E-2</v>
      </c>
      <c r="V799" s="16">
        <v>3.1255000000000002</v>
      </c>
      <c r="W799" s="17">
        <f t="shared" si="12"/>
        <v>-1.5652951699461903E-3</v>
      </c>
    </row>
    <row r="800" spans="1:23" x14ac:dyDescent="0.2">
      <c r="A800" s="14">
        <v>42704</v>
      </c>
      <c r="B800" s="3">
        <v>143866195166282</v>
      </c>
      <c r="C800" s="3">
        <f>[1]!nefin_factors__1[[#This Row],[Rm_minus_Rf]]/B799-1</f>
        <v>-6.4780065668248303</v>
      </c>
      <c r="D800" s="3">
        <v>437910026723168</v>
      </c>
      <c r="E800" s="3">
        <f>[1]!nefin_factors__1[[#This Row],[SMB]]/D799-1</f>
        <v>-0.50425083018038608</v>
      </c>
      <c r="F800" s="3">
        <v>547482693669664</v>
      </c>
      <c r="G800" s="3">
        <f>[1]!nefin_factors__1[[#This Row],[HML]]/F799-1</f>
        <v>-3.8388776491535257</v>
      </c>
      <c r="H800" s="3">
        <v>506133281528376</v>
      </c>
      <c r="I800" s="4">
        <f>[1]!nefin_factors__1[[#This Row],[Risk_Free]]/H799-1</f>
        <v>8.9862098625200488</v>
      </c>
      <c r="J800">
        <v>65860</v>
      </c>
      <c r="K800">
        <v>66801</v>
      </c>
      <c r="L800">
        <v>65860</v>
      </c>
      <c r="M800">
        <v>66786</v>
      </c>
      <c r="N800">
        <v>2654400</v>
      </c>
      <c r="O800">
        <v>66786</v>
      </c>
      <c r="P800">
        <v>1.4137119429048699E-2</v>
      </c>
      <c r="Q800">
        <v>1.4038122288133999E-2</v>
      </c>
      <c r="R800" s="8">
        <v>23.786111831665</v>
      </c>
      <c r="S800" s="8">
        <v>9.0909409409993796E-3</v>
      </c>
      <c r="T800" s="9">
        <v>9.0498670830699499E-3</v>
      </c>
      <c r="U800" s="12">
        <v>4.8159E-2</v>
      </c>
      <c r="V800" s="16">
        <v>3.1185</v>
      </c>
      <c r="W800" s="17">
        <f t="shared" si="12"/>
        <v>-2.2396416573348121E-3</v>
      </c>
    </row>
    <row r="801" spans="1:23" x14ac:dyDescent="0.2">
      <c r="A801" s="15">
        <v>42705</v>
      </c>
      <c r="B801" s="5">
        <v>-402180014570508</v>
      </c>
      <c r="C801" s="5">
        <f>[1]!nefin_factors__1[[#This Row],[Rm_minus_Rf]]/B800-1</f>
        <v>-3.7955143604490567</v>
      </c>
      <c r="D801" s="5">
        <v>-19576370277132</v>
      </c>
      <c r="E801" s="5">
        <f>[1]!nefin_factors__1[[#This Row],[SMB]]/D800-1</f>
        <v>-1.0447040923534447</v>
      </c>
      <c r="F801" s="5">
        <v>-209241121023707</v>
      </c>
      <c r="G801" s="5">
        <f>[1]!nefin_factors__1[[#This Row],[HML]]/F800-1</f>
        <v>-1.3821876443640744</v>
      </c>
      <c r="H801" s="5">
        <v>507181628455422</v>
      </c>
      <c r="I801" s="6">
        <f>[1]!nefin_factors__1[[#This Row],[Risk_Free]]/H800-1</f>
        <v>2.0712862902045881E-3</v>
      </c>
      <c r="J801">
        <v>66786</v>
      </c>
      <c r="K801">
        <v>66892</v>
      </c>
      <c r="L801">
        <v>66119</v>
      </c>
      <c r="M801">
        <v>66341</v>
      </c>
      <c r="N801">
        <v>3337500</v>
      </c>
      <c r="O801">
        <v>66341</v>
      </c>
      <c r="P801">
        <v>-6.6630730991524799E-3</v>
      </c>
      <c r="Q801">
        <v>-6.6853704719234503E-3</v>
      </c>
      <c r="R801" s="8">
        <v>24.313592910766602</v>
      </c>
      <c r="S801" s="8">
        <v>2.2175902044811301E-2</v>
      </c>
      <c r="T801" s="9">
        <v>2.1933592475068001E-2</v>
      </c>
      <c r="U801" s="12">
        <v>4.8159E-2</v>
      </c>
      <c r="V801" s="16">
        <v>3.1154999999999999</v>
      </c>
      <c r="W801" s="17">
        <f t="shared" si="12"/>
        <v>-9.6200096200105278E-4</v>
      </c>
    </row>
    <row r="802" spans="1:23" x14ac:dyDescent="0.2">
      <c r="A802" s="14">
        <v>42706</v>
      </c>
      <c r="B802" s="3">
        <v>111925510909184</v>
      </c>
      <c r="C802" s="3">
        <f>[1]!nefin_factors__1[[#This Row],[Rm_minus_Rf]]/B801-1</f>
        <v>-1.2782970482228222</v>
      </c>
      <c r="D802" s="3">
        <v>-117409656757713</v>
      </c>
      <c r="E802" s="3">
        <f>[1]!nefin_factors__1[[#This Row],[SMB]]/D801-1</f>
        <v>4.9975192078821822</v>
      </c>
      <c r="F802" s="3">
        <v>127171817140544</v>
      </c>
      <c r="G802" s="3">
        <f>[1]!nefin_factors__1[[#This Row],[HML]]/F801-1</f>
        <v>-1.6077764089503968</v>
      </c>
      <c r="H802" s="3">
        <v>507181628455422</v>
      </c>
      <c r="I802" s="4">
        <f>[1]!nefin_factors__1[[#This Row],[Risk_Free]]/H801-1</f>
        <v>0</v>
      </c>
      <c r="J802">
        <v>66343</v>
      </c>
      <c r="K802">
        <v>66641</v>
      </c>
      <c r="L802">
        <v>65668</v>
      </c>
      <c r="M802">
        <v>65742</v>
      </c>
      <c r="N802">
        <v>2886200</v>
      </c>
      <c r="O802">
        <v>65742</v>
      </c>
      <c r="P802">
        <v>-9.0291071886163792E-3</v>
      </c>
      <c r="Q802">
        <v>-9.0701166159090196E-3</v>
      </c>
      <c r="R802" s="8">
        <v>24.313592910766602</v>
      </c>
      <c r="S802" s="8">
        <v>0</v>
      </c>
      <c r="T802" s="9">
        <v>0</v>
      </c>
      <c r="U802" s="12">
        <v>4.8159E-2</v>
      </c>
      <c r="V802" s="16">
        <v>3.1175000000000002</v>
      </c>
      <c r="W802" s="17">
        <f t="shared" si="12"/>
        <v>6.4195153265944604E-4</v>
      </c>
    </row>
    <row r="803" spans="1:23" x14ac:dyDescent="0.2">
      <c r="A803" s="15">
        <v>42709</v>
      </c>
      <c r="B803" s="5">
        <v>-733691141535292</v>
      </c>
      <c r="C803" s="5">
        <f>[1]!nefin_factors__1[[#This Row],[Rm_minus_Rf]]/B802-1</f>
        <v>-7.5551734861465736</v>
      </c>
      <c r="D803" s="5">
        <v>830967598793195</v>
      </c>
      <c r="E803" s="5">
        <f>[1]!nefin_factors__1[[#This Row],[SMB]]/D802-1</f>
        <v>-8.0775064142124435</v>
      </c>
      <c r="F803" s="5">
        <v>338028829384656</v>
      </c>
      <c r="G803" s="5">
        <f>[1]!nefin_factors__1[[#This Row],[HML]]/F802-1</f>
        <v>1.6580482766168485</v>
      </c>
      <c r="H803" s="5">
        <v>506482761140292</v>
      </c>
      <c r="I803" s="6">
        <f>[1]!nefin_factors__1[[#This Row],[Risk_Free]]/H802-1</f>
        <v>-1.3779428826283802E-3</v>
      </c>
      <c r="J803">
        <v>65748</v>
      </c>
      <c r="K803">
        <v>65810</v>
      </c>
      <c r="L803">
        <v>64496</v>
      </c>
      <c r="M803">
        <v>64718</v>
      </c>
      <c r="N803">
        <v>3727200</v>
      </c>
      <c r="O803">
        <v>64718</v>
      </c>
      <c r="P803">
        <v>-1.5576039670226E-2</v>
      </c>
      <c r="Q803">
        <v>-1.56986207271409E-2</v>
      </c>
      <c r="R803" s="8">
        <v>23.9014987945557</v>
      </c>
      <c r="S803" s="8">
        <v>-1.6949070299673599E-2</v>
      </c>
      <c r="T803" s="9">
        <v>-1.7094349698626801E-2</v>
      </c>
      <c r="U803" s="12">
        <v>4.8159E-2</v>
      </c>
      <c r="V803" s="16">
        <v>3.1004</v>
      </c>
      <c r="W803" s="17">
        <f t="shared" si="12"/>
        <v>-5.4851643945469375E-3</v>
      </c>
    </row>
    <row r="804" spans="1:23" x14ac:dyDescent="0.2">
      <c r="A804" s="14">
        <v>42710</v>
      </c>
      <c r="B804" s="3">
        <v>19373482658354</v>
      </c>
      <c r="C804" s="3">
        <f>[1]!nefin_factors__1[[#This Row],[Rm_minus_Rf]]/B803-1</f>
        <v>-1.0264055016635663</v>
      </c>
      <c r="D804" s="3">
        <v>-163446820611785</v>
      </c>
      <c r="E804" s="3">
        <f>[1]!nefin_factors__1[[#This Row],[SMB]]/D803-1</f>
        <v>-1.1966945773206525</v>
      </c>
      <c r="F804" s="3">
        <v>-994572313093217</v>
      </c>
      <c r="G804" s="3">
        <f>[1]!nefin_factors__1[[#This Row],[HML]]/F803-1</f>
        <v>-3.942270678225066</v>
      </c>
      <c r="H804" s="3">
        <v>505783771273416</v>
      </c>
      <c r="I804" s="4">
        <f>[1]!nefin_factors__1[[#This Row],[Risk_Free]]/H803-1</f>
        <v>-1.3800861954359478E-3</v>
      </c>
      <c r="J804">
        <v>64718</v>
      </c>
      <c r="K804">
        <v>65068</v>
      </c>
      <c r="L804">
        <v>64203</v>
      </c>
      <c r="M804">
        <v>64585</v>
      </c>
      <c r="N804">
        <v>3513300</v>
      </c>
      <c r="O804">
        <v>64585</v>
      </c>
      <c r="P804">
        <v>-2.0550696869495698E-3</v>
      </c>
      <c r="Q804">
        <v>-2.0571842401915399E-3</v>
      </c>
      <c r="R804" s="8">
        <v>24.008642196655298</v>
      </c>
      <c r="S804" s="8">
        <v>4.4827743363946597E-3</v>
      </c>
      <c r="T804" s="9">
        <v>4.4727566304387702E-3</v>
      </c>
      <c r="U804" s="12">
        <v>4.8159E-2</v>
      </c>
      <c r="V804" s="16">
        <v>3.0779000000000001</v>
      </c>
      <c r="W804" s="17">
        <f t="shared" si="12"/>
        <v>-7.2571281125015652E-3</v>
      </c>
    </row>
    <row r="805" spans="1:23" x14ac:dyDescent="0.2">
      <c r="A805" s="15">
        <v>42711</v>
      </c>
      <c r="B805" s="5">
        <v>328002161607728</v>
      </c>
      <c r="C805" s="5">
        <f>[1]!nefin_factors__1[[#This Row],[Rm_minus_Rf]]/B804-1</f>
        <v>15.930469724620774</v>
      </c>
      <c r="D805" s="5">
        <v>-19910147816398</v>
      </c>
      <c r="E805" s="5">
        <f>[1]!nefin_factors__1[[#This Row],[SMB]]/D804-1</f>
        <v>-0.87818577478672344</v>
      </c>
      <c r="F805" s="5">
        <v>-121150609785841</v>
      </c>
      <c r="G805" s="5">
        <f>[1]!nefin_factors__1[[#This Row],[HML]]/F804-1</f>
        <v>-0.87818823408722213</v>
      </c>
      <c r="H805" s="5">
        <v>505434230369639</v>
      </c>
      <c r="I805" s="6">
        <f>[1]!nefin_factors__1[[#This Row],[Risk_Free]]/H804-1</f>
        <v>-6.9108762208203167E-4</v>
      </c>
      <c r="J805">
        <v>64586</v>
      </c>
      <c r="K805">
        <v>65725</v>
      </c>
      <c r="L805">
        <v>64472</v>
      </c>
      <c r="M805">
        <v>64675</v>
      </c>
      <c r="N805">
        <v>3432900</v>
      </c>
      <c r="O805">
        <v>64675</v>
      </c>
      <c r="P805">
        <v>1.3935124254858E-3</v>
      </c>
      <c r="Q805">
        <v>1.39254238811399E-3</v>
      </c>
      <c r="R805" s="8">
        <v>24.635026931762699</v>
      </c>
      <c r="S805" s="8">
        <v>2.60900515989466E-2</v>
      </c>
      <c r="T805" s="9">
        <v>2.57555124866693E-2</v>
      </c>
      <c r="U805" s="12">
        <v>4.8159E-2</v>
      </c>
      <c r="V805" s="16">
        <v>3.0510000000000002</v>
      </c>
      <c r="W805" s="17">
        <f t="shared" si="12"/>
        <v>-8.7397251372688389E-3</v>
      </c>
    </row>
    <row r="806" spans="1:23" x14ac:dyDescent="0.2">
      <c r="A806" s="14">
        <v>42712</v>
      </c>
      <c r="B806" s="3">
        <v>-12084115312329</v>
      </c>
      <c r="C806" s="3">
        <f>[1]!nefin_factors__1[[#This Row],[Rm_minus_Rf]]/B805-1</f>
        <v>-1.0368415721807984</v>
      </c>
      <c r="D806" s="3">
        <v>885825720645258</v>
      </c>
      <c r="E806" s="3">
        <f>[1]!nefin_factors__1[[#This Row],[SMB]]/D805-1</f>
        <v>-45.49116745962538</v>
      </c>
      <c r="F806" s="3">
        <v>-150011190568438</v>
      </c>
      <c r="G806" s="3">
        <f>[1]!nefin_factors__1[[#This Row],[HML]]/F805-1</f>
        <v>0.23822068113081807</v>
      </c>
      <c r="H806" s="3">
        <v>504735056594319</v>
      </c>
      <c r="I806" s="4">
        <f>[1]!nefin_factors__1[[#This Row],[Risk_Free]]/H805-1</f>
        <v>-1.3833130668824412E-3</v>
      </c>
      <c r="J806">
        <v>64674</v>
      </c>
      <c r="K806">
        <v>65651</v>
      </c>
      <c r="L806">
        <v>64674</v>
      </c>
      <c r="M806">
        <v>65534</v>
      </c>
      <c r="N806">
        <v>2162800</v>
      </c>
      <c r="O806">
        <v>65534</v>
      </c>
      <c r="P806">
        <v>1.3281793583301201E-2</v>
      </c>
      <c r="Q806">
        <v>1.3194363861099401E-2</v>
      </c>
      <c r="R806" s="8">
        <v>24.791622161865199</v>
      </c>
      <c r="S806" s="8">
        <v>6.3565274470702704E-3</v>
      </c>
      <c r="T806" s="9">
        <v>6.3364099331575698E-3</v>
      </c>
      <c r="U806" s="12">
        <v>4.8159E-2</v>
      </c>
      <c r="V806" s="16">
        <v>3.0950000000000002</v>
      </c>
      <c r="W806" s="17">
        <f t="shared" si="12"/>
        <v>1.4421501147164895E-2</v>
      </c>
    </row>
    <row r="807" spans="1:23" x14ac:dyDescent="0.2">
      <c r="A807" s="15">
        <v>42713</v>
      </c>
      <c r="B807" s="5">
        <v>-116401996946477</v>
      </c>
      <c r="C807" s="5">
        <f>[1]!nefin_factors__1[[#This Row],[Rm_minus_Rf]]/B806-1</f>
        <v>8.6326453313231895</v>
      </c>
      <c r="D807" s="5">
        <v>493343358220734</v>
      </c>
      <c r="E807" s="5">
        <f>[1]!nefin_factors__1[[#This Row],[SMB]]/D806-1</f>
        <v>-0.4430695037152792</v>
      </c>
      <c r="F807" s="5">
        <v>-636331639134924</v>
      </c>
      <c r="G807" s="5">
        <f>[1]!nefin_factors__1[[#This Row],[HML]]/F806-1</f>
        <v>3.2418944661639575</v>
      </c>
      <c r="H807" s="5">
        <v>504735056594319</v>
      </c>
      <c r="I807" s="6">
        <f>[1]!nefin_factors__1[[#This Row],[Risk_Free]]/H806-1</f>
        <v>0</v>
      </c>
      <c r="J807">
        <v>65511</v>
      </c>
      <c r="K807">
        <v>65549</v>
      </c>
      <c r="L807">
        <v>64699</v>
      </c>
      <c r="M807">
        <v>64699</v>
      </c>
      <c r="N807">
        <v>2824800</v>
      </c>
      <c r="O807">
        <v>64699</v>
      </c>
      <c r="P807">
        <v>-1.27414777062288E-2</v>
      </c>
      <c r="Q807">
        <v>-1.28233464963226E-2</v>
      </c>
      <c r="R807" s="8">
        <v>24.7256870269775</v>
      </c>
      <c r="S807" s="8">
        <v>-2.65958986654458E-3</v>
      </c>
      <c r="T807" s="9">
        <v>-2.6631328590058499E-3</v>
      </c>
      <c r="U807" s="12">
        <v>4.8159E-2</v>
      </c>
      <c r="V807" s="16">
        <v>3.0918000000000001</v>
      </c>
      <c r="W807" s="17">
        <f t="shared" si="12"/>
        <v>-1.0339256865913304E-3</v>
      </c>
    </row>
    <row r="808" spans="1:23" x14ac:dyDescent="0.2">
      <c r="A808" s="14">
        <v>42716</v>
      </c>
      <c r="B808" s="3">
        <v>-233727129722004</v>
      </c>
      <c r="C808" s="3">
        <f>[1]!nefin_factors__1[[#This Row],[Rm_minus_Rf]]/B807-1</f>
        <v>1.0079305841245532</v>
      </c>
      <c r="D808" s="3">
        <v>-458317883299403</v>
      </c>
      <c r="E808" s="3">
        <f>[1]!nefin_factors__1[[#This Row],[SMB]]/D807-1</f>
        <v>-1.9290038583925564</v>
      </c>
      <c r="F808" s="3">
        <v>-522429594777155</v>
      </c>
      <c r="G808" s="3">
        <f>[1]!nefin_factors__1[[#This Row],[HML]]/F807-1</f>
        <v>-0.17899792710702833</v>
      </c>
      <c r="H808" s="3">
        <v>503336341022287</v>
      </c>
      <c r="I808" s="4">
        <f>[1]!nefin_factors__1[[#This Row],[Risk_Free]]/H807-1</f>
        <v>-2.7711876830386339E-3</v>
      </c>
      <c r="J808">
        <v>64702</v>
      </c>
      <c r="K808">
        <v>66318</v>
      </c>
      <c r="L808">
        <v>64537</v>
      </c>
      <c r="M808">
        <v>66235</v>
      </c>
      <c r="N808">
        <v>3742100</v>
      </c>
      <c r="O808">
        <v>66235</v>
      </c>
      <c r="P808">
        <v>2.3740706966104599E-2</v>
      </c>
      <c r="Q808">
        <v>2.3463278699355401E-2</v>
      </c>
      <c r="R808" s="8">
        <v>24.849315643310501</v>
      </c>
      <c r="S808" s="8">
        <v>5.0001582529888297E-3</v>
      </c>
      <c r="T808" s="9">
        <v>4.9876989766872003E-3</v>
      </c>
      <c r="U808" s="12">
        <v>4.8159E-2</v>
      </c>
      <c r="V808" s="16">
        <v>3.097</v>
      </c>
      <c r="W808" s="17">
        <f t="shared" si="12"/>
        <v>1.6818681674104496E-3</v>
      </c>
    </row>
    <row r="809" spans="1:23" x14ac:dyDescent="0.2">
      <c r="A809" s="15">
        <v>42717</v>
      </c>
      <c r="B809" s="5">
        <v>160314028795534</v>
      </c>
      <c r="C809" s="5">
        <f>[1]!nefin_factors__1[[#This Row],[Rm_minus_Rf]]/B808-1</f>
        <v>-1.6859025265325944</v>
      </c>
      <c r="D809" s="5">
        <v>242413724331448</v>
      </c>
      <c r="E809" s="5">
        <f>[1]!nefin_factors__1[[#This Row],[SMB]]/D808-1</f>
        <v>-1.5289205007370126</v>
      </c>
      <c r="F809" s="5">
        <v>-103595896439621</v>
      </c>
      <c r="G809" s="5">
        <f>[1]!nefin_factors__1[[#This Row],[HML]]/F808-1</f>
        <v>-0.8017036219324245</v>
      </c>
      <c r="H809" s="5">
        <v>50298658542669</v>
      </c>
      <c r="I809" s="6">
        <f>[1]!nefin_factors__1[[#This Row],[Risk_Free]]/H808-1</f>
        <v>-0.90006948745144977</v>
      </c>
      <c r="J809">
        <v>66232</v>
      </c>
      <c r="K809">
        <v>66554</v>
      </c>
      <c r="L809">
        <v>65531</v>
      </c>
      <c r="M809">
        <v>65783</v>
      </c>
      <c r="N809">
        <v>2860400</v>
      </c>
      <c r="O809">
        <v>65783</v>
      </c>
      <c r="P809">
        <v>-6.8241866082886498E-3</v>
      </c>
      <c r="Q809">
        <v>-6.8475778479161198E-3</v>
      </c>
      <c r="R809" s="8">
        <v>24.80810546875</v>
      </c>
      <c r="S809" s="8">
        <v>-1.6586116531850401E-3</v>
      </c>
      <c r="T809" s="9">
        <v>-1.65998867233039E-3</v>
      </c>
      <c r="U809" s="12">
        <v>4.8159E-2</v>
      </c>
      <c r="V809" s="16">
        <v>3.0823999999999998</v>
      </c>
      <c r="W809" s="17">
        <f t="shared" si="12"/>
        <v>-4.7142395866968112E-3</v>
      </c>
    </row>
    <row r="810" spans="1:23" x14ac:dyDescent="0.2">
      <c r="A810" s="14">
        <v>42718</v>
      </c>
      <c r="B810" s="3">
        <v>-178350181628762</v>
      </c>
      <c r="C810" s="3">
        <f>[1]!nefin_factors__1[[#This Row],[Rm_minus_Rf]]/B809-1</f>
        <v>-2.112505143615544</v>
      </c>
      <c r="D810" s="3">
        <v>348121526870696</v>
      </c>
      <c r="E810" s="3">
        <f>[1]!nefin_factors__1[[#This Row],[SMB]]/D809-1</f>
        <v>0.43606360502392838</v>
      </c>
      <c r="F810" s="3">
        <v>231169793551867</v>
      </c>
      <c r="G810" s="3">
        <f>[1]!nefin_factors__1[[#This Row],[HML]]/F809-1</f>
        <v>-3.2314570508745986</v>
      </c>
      <c r="H810" s="3">
        <v>502286982154709</v>
      </c>
      <c r="I810" s="4">
        <f>[1]!nefin_factors__1[[#This Row],[Risk_Free]]/H809-1</f>
        <v>8.9860910153023763</v>
      </c>
      <c r="J810">
        <v>65783</v>
      </c>
      <c r="K810">
        <v>66205</v>
      </c>
      <c r="L810">
        <v>64152</v>
      </c>
      <c r="M810">
        <v>64210</v>
      </c>
      <c r="N810">
        <v>5213000</v>
      </c>
      <c r="O810">
        <v>64210</v>
      </c>
      <c r="P810">
        <v>-2.39119529361689E-2</v>
      </c>
      <c r="Q810">
        <v>-2.42024844823517E-2</v>
      </c>
      <c r="R810" s="8">
        <v>24.519639968872099</v>
      </c>
      <c r="S810" s="8">
        <v>-1.16277475352741E-2</v>
      </c>
      <c r="T810" s="9">
        <v>-1.16958784459522E-2</v>
      </c>
      <c r="U810" s="12">
        <v>4.5512999999999998E-2</v>
      </c>
      <c r="V810" s="16">
        <v>3.0638000000000001</v>
      </c>
      <c r="W810" s="17">
        <f t="shared" si="12"/>
        <v>-6.0342590189461642E-3</v>
      </c>
    </row>
    <row r="811" spans="1:23" x14ac:dyDescent="0.2">
      <c r="A811" s="15">
        <v>42719</v>
      </c>
      <c r="B811" s="5">
        <v>456362023256919</v>
      </c>
      <c r="C811" s="5">
        <f>[1]!nefin_factors__1[[#This Row],[Rm_minus_Rf]]/B810-1</f>
        <v>-3.5587976367012728</v>
      </c>
      <c r="D811" s="5">
        <v>622957081182114</v>
      </c>
      <c r="E811" s="5">
        <f>[1]!nefin_factors__1[[#This Row],[SMB]]/D810-1</f>
        <v>0.78948164102905682</v>
      </c>
      <c r="F811" s="5">
        <v>172734774451328</v>
      </c>
      <c r="G811" s="5">
        <f>[1]!nefin_factors__1[[#This Row],[HML]]/F810-1</f>
        <v>-0.25277964825204591</v>
      </c>
      <c r="H811" s="5">
        <v>501937134467445</v>
      </c>
      <c r="I811" s="6">
        <f>[1]!nefin_factors__1[[#This Row],[Risk_Free]]/H810-1</f>
        <v>-6.9650956463818137E-4</v>
      </c>
      <c r="J811">
        <v>64232</v>
      </c>
      <c r="K811">
        <v>65136</v>
      </c>
      <c r="L811">
        <v>63672</v>
      </c>
      <c r="M811">
        <v>64884</v>
      </c>
      <c r="N811">
        <v>3613900</v>
      </c>
      <c r="O811">
        <v>64884</v>
      </c>
      <c r="P811">
        <v>1.0496807350880001E-2</v>
      </c>
      <c r="Q811">
        <v>1.0442098381911199E-2</v>
      </c>
      <c r="R811" s="8">
        <v>24.231174468994102</v>
      </c>
      <c r="S811" s="8">
        <v>-1.1764783244412E-2</v>
      </c>
      <c r="T811" s="9">
        <v>-1.1834535930041801E-2</v>
      </c>
      <c r="U811" s="12">
        <v>4.5512999999999998E-2</v>
      </c>
      <c r="V811" s="16">
        <v>3.0992999999999999</v>
      </c>
      <c r="W811" s="17">
        <f t="shared" si="12"/>
        <v>1.158691820614921E-2</v>
      </c>
    </row>
    <row r="812" spans="1:23" x14ac:dyDescent="0.2">
      <c r="A812" s="14">
        <v>42720</v>
      </c>
      <c r="B812" s="3">
        <v>104717213889239</v>
      </c>
      <c r="C812" s="3">
        <f>[1]!nefin_factors__1[[#This Row],[Rm_minus_Rf]]/B811-1</f>
        <v>-0.77053915849109522</v>
      </c>
      <c r="D812" s="3">
        <v>-249116024891636</v>
      </c>
      <c r="E812" s="3">
        <f>[1]!nefin_factors__1[[#This Row],[SMB]]/D811-1</f>
        <v>-1.3998927573291522</v>
      </c>
      <c r="F812" s="3">
        <v>-110971771469736</v>
      </c>
      <c r="G812" s="3">
        <f>[1]!nefin_factors__1[[#This Row],[HML]]/F811-1</f>
        <v>-1.642440248769971</v>
      </c>
      <c r="H812" s="3">
        <v>501237346963501</v>
      </c>
      <c r="I812" s="4">
        <f>[1]!nefin_factors__1[[#This Row],[Risk_Free]]/H811-1</f>
        <v>-1.3941736044026376E-3</v>
      </c>
      <c r="J812">
        <v>64884</v>
      </c>
      <c r="K812">
        <v>64965</v>
      </c>
      <c r="L812">
        <v>62795</v>
      </c>
      <c r="M812">
        <v>62980</v>
      </c>
      <c r="N812">
        <v>3700200</v>
      </c>
      <c r="O812">
        <v>62980</v>
      </c>
      <c r="P812">
        <v>-2.9344676653720501E-2</v>
      </c>
      <c r="Q812">
        <v>-2.97838445149896E-2</v>
      </c>
      <c r="R812" s="8">
        <v>23.802595138549801</v>
      </c>
      <c r="S812" s="8">
        <v>-1.76870557300127E-2</v>
      </c>
      <c r="T812" s="9">
        <v>-1.7845340876186999E-2</v>
      </c>
      <c r="U812" s="12">
        <v>4.5512999999999998E-2</v>
      </c>
      <c r="V812" s="16">
        <v>3.0975999999999999</v>
      </c>
      <c r="W812" s="17">
        <f t="shared" si="12"/>
        <v>-5.4851095408636752E-4</v>
      </c>
    </row>
    <row r="813" spans="1:23" x14ac:dyDescent="0.2">
      <c r="A813" s="15">
        <v>42723</v>
      </c>
      <c r="B813" s="5">
        <v>-206670561326163</v>
      </c>
      <c r="C813" s="5">
        <f>[1]!nefin_factors__1[[#This Row],[Rm_minus_Rf]]/B812-1</f>
        <v>-2.9736063790310694</v>
      </c>
      <c r="D813" s="5">
        <v>-569643627081153</v>
      </c>
      <c r="E813" s="5">
        <f>[1]!nefin_factors__1[[#This Row],[SMB]]/D812-1</f>
        <v>1.2866599100918723</v>
      </c>
      <c r="F813" s="5">
        <v>-114472852389212</v>
      </c>
      <c r="G813" s="5">
        <f>[1]!nefin_factors__1[[#This Row],[HML]]/F812-1</f>
        <v>3.1549292879683444E-2</v>
      </c>
      <c r="H813" s="5">
        <v>50053743658407</v>
      </c>
      <c r="I813" s="6">
        <f>[1]!nefin_factors__1[[#This Row],[Risk_Free]]/H812-1</f>
        <v>-0.90013963651824247</v>
      </c>
      <c r="J813">
        <v>62980</v>
      </c>
      <c r="K813">
        <v>63747</v>
      </c>
      <c r="L813">
        <v>62496</v>
      </c>
      <c r="M813">
        <v>63521</v>
      </c>
      <c r="N813">
        <v>4063300</v>
      </c>
      <c r="O813">
        <v>63521</v>
      </c>
      <c r="P813">
        <v>8.5900285805018406E-3</v>
      </c>
      <c r="Q813">
        <v>8.5533442151287699E-3</v>
      </c>
      <c r="R813" s="8">
        <v>23.571821212768601</v>
      </c>
      <c r="S813" s="8">
        <v>-9.6953056183538607E-3</v>
      </c>
      <c r="T813" s="9">
        <v>-9.7426111029466408E-3</v>
      </c>
      <c r="U813" s="12">
        <v>4.5512999999999998E-2</v>
      </c>
      <c r="V813" s="16">
        <v>3.1137999999999999</v>
      </c>
      <c r="W813" s="17">
        <f t="shared" si="12"/>
        <v>5.2298553719007934E-3</v>
      </c>
    </row>
    <row r="814" spans="1:23" x14ac:dyDescent="0.2">
      <c r="A814" s="14">
        <v>42724</v>
      </c>
      <c r="B814" s="3">
        <v>650694732574617</v>
      </c>
      <c r="C814" s="3">
        <f>[1]!nefin_factors__1[[#This Row],[Rm_minus_Rf]]/B813-1</f>
        <v>-4.1484635663601104</v>
      </c>
      <c r="D814" s="3">
        <v>-294252734910663</v>
      </c>
      <c r="E814" s="3">
        <f>[1]!nefin_factors__1[[#This Row],[SMB]]/D813-1</f>
        <v>-0.48344417295000663</v>
      </c>
      <c r="F814" s="3">
        <v>-523456572395203</v>
      </c>
      <c r="G814" s="3">
        <f>[1]!nefin_factors__1[[#This Row],[HML]]/F813-1</f>
        <v>3.5727573085663229</v>
      </c>
      <c r="H814" s="3">
        <v>500187435302557</v>
      </c>
      <c r="I814" s="4">
        <f>[1]!nefin_factors__1[[#This Row],[Risk_Free]]/H813-1</f>
        <v>8.9930074904306547</v>
      </c>
      <c r="J814">
        <v>63521</v>
      </c>
      <c r="K814">
        <v>63942</v>
      </c>
      <c r="L814">
        <v>62840</v>
      </c>
      <c r="M814">
        <v>63531</v>
      </c>
      <c r="N814">
        <v>3447400</v>
      </c>
      <c r="O814">
        <v>63531</v>
      </c>
      <c r="P814">
        <v>1.5742825207420999E-4</v>
      </c>
      <c r="Q814">
        <v>1.5741586154733E-4</v>
      </c>
      <c r="R814" s="8">
        <v>24.173479080200199</v>
      </c>
      <c r="S814" s="8">
        <v>2.5524487949510701E-2</v>
      </c>
      <c r="T814" s="9">
        <v>2.52041772793388E-2</v>
      </c>
      <c r="U814" s="12">
        <v>4.5512999999999998E-2</v>
      </c>
      <c r="V814" s="16">
        <v>3.1364000000000001</v>
      </c>
      <c r="W814" s="17">
        <f t="shared" si="12"/>
        <v>7.2580127175798648E-3</v>
      </c>
    </row>
    <row r="815" spans="1:23" x14ac:dyDescent="0.2">
      <c r="A815" s="15">
        <v>42725</v>
      </c>
      <c r="B815" s="5">
        <v>160139279006627</v>
      </c>
      <c r="C815" s="5">
        <f>[1]!nefin_factors__1[[#This Row],[Rm_minus_Rf]]/B814-1</f>
        <v>-0.75389492032154515</v>
      </c>
      <c r="D815" s="5">
        <v>244705865602049</v>
      </c>
      <c r="E815" s="5">
        <f>[1]!nefin_factors__1[[#This Row],[SMB]]/D814-1</f>
        <v>-1.8316179819920562</v>
      </c>
      <c r="F815" s="5">
        <v>-565524938601981</v>
      </c>
      <c r="G815" s="5">
        <f>[1]!nefin_factors__1[[#This Row],[HML]]/F814-1</f>
        <v>8.0366487738006587E-2</v>
      </c>
      <c r="H815" s="5">
        <v>498787122772182</v>
      </c>
      <c r="I815" s="6">
        <f>[1]!nefin_factors__1[[#This Row],[Risk_Free]]/H814-1</f>
        <v>-2.7995755821574875E-3</v>
      </c>
      <c r="J815">
        <v>63554</v>
      </c>
      <c r="K815">
        <v>63997</v>
      </c>
      <c r="L815">
        <v>63469</v>
      </c>
      <c r="M815">
        <v>63854</v>
      </c>
      <c r="N815">
        <v>2571200</v>
      </c>
      <c r="O815">
        <v>63854</v>
      </c>
      <c r="P815">
        <v>5.0841321559553796E-3</v>
      </c>
      <c r="Q815">
        <v>5.0712515952675103E-3</v>
      </c>
      <c r="R815" s="8">
        <v>23.695449829101602</v>
      </c>
      <c r="S815" s="8">
        <v>-1.9775068499056199E-2</v>
      </c>
      <c r="T815" s="9">
        <v>-1.99732117139115E-2</v>
      </c>
      <c r="U815" s="12">
        <v>4.5512999999999998E-2</v>
      </c>
      <c r="V815" s="16">
        <v>3.1111</v>
      </c>
      <c r="W815" s="17">
        <f t="shared" si="12"/>
        <v>-8.0665731411809771E-3</v>
      </c>
    </row>
    <row r="816" spans="1:23" x14ac:dyDescent="0.2">
      <c r="A816" s="14">
        <v>42726</v>
      </c>
      <c r="B816" s="3">
        <v>-748287535408128</v>
      </c>
      <c r="C816" s="3">
        <f>[1]!nefin_factors__1[[#This Row],[Rm_minus_Rf]]/B815-1</f>
        <v>-5.6727295142696494</v>
      </c>
      <c r="D816" s="3">
        <v>267388576933971</v>
      </c>
      <c r="E816" s="3">
        <f>[1]!nefin_factors__1[[#This Row],[SMB]]/D815-1</f>
        <v>9.2693778615056122E-2</v>
      </c>
      <c r="F816" s="3">
        <v>-815543287709934</v>
      </c>
      <c r="G816" s="3">
        <f>[1]!nefin_factors__1[[#This Row],[HML]]/F815-1</f>
        <v>0.4420995999327928</v>
      </c>
      <c r="H816" s="3">
        <v>498436967761418</v>
      </c>
      <c r="I816" s="4">
        <f>[1]!nefin_factors__1[[#This Row],[Risk_Free]]/H815-1</f>
        <v>-7.0201293252702968E-4</v>
      </c>
      <c r="J816">
        <v>63829</v>
      </c>
      <c r="K816">
        <v>64356</v>
      </c>
      <c r="L816">
        <v>63030</v>
      </c>
      <c r="M816">
        <v>64308</v>
      </c>
      <c r="N816">
        <v>2672800</v>
      </c>
      <c r="O816">
        <v>64308</v>
      </c>
      <c r="P816">
        <v>7.1099696181915499E-3</v>
      </c>
      <c r="Q816">
        <v>7.0848129558915701E-3</v>
      </c>
      <c r="R816" s="8">
        <v>23.4729194641113</v>
      </c>
      <c r="S816" s="8">
        <v>-9.3912039904899807E-3</v>
      </c>
      <c r="T816" s="9">
        <v>-9.4355793908320797E-3</v>
      </c>
      <c r="U816" s="12">
        <v>4.5512999999999998E-2</v>
      </c>
      <c r="V816" s="16">
        <v>3.1185</v>
      </c>
      <c r="W816" s="17">
        <f t="shared" si="12"/>
        <v>2.3785799234996574E-3</v>
      </c>
    </row>
    <row r="817" spans="1:23" x14ac:dyDescent="0.2">
      <c r="A817" s="15">
        <v>42727</v>
      </c>
      <c r="B817" s="5">
        <v>115483311331192</v>
      </c>
      <c r="C817" s="5">
        <f>[1]!nefin_factors__1[[#This Row],[Rm_minus_Rf]]/B816-1</f>
        <v>-1.1543301282817782</v>
      </c>
      <c r="D817" s="5">
        <v>-238131036094076</v>
      </c>
      <c r="E817" s="5">
        <f>[1]!nefin_factors__1[[#This Row],[SMB]]/D816-1</f>
        <v>-1.890580438493751</v>
      </c>
      <c r="F817" s="5">
        <v>113510367175468</v>
      </c>
      <c r="G817" s="5">
        <f>[1]!nefin_factors__1[[#This Row],[HML]]/F816-1</f>
        <v>-1.1391837427712856</v>
      </c>
      <c r="H817" s="5">
        <v>498436967761418</v>
      </c>
      <c r="I817" s="6">
        <f>[1]!nefin_factors__1[[#This Row],[Risk_Free]]/H816-1</f>
        <v>0</v>
      </c>
      <c r="J817">
        <v>64308</v>
      </c>
      <c r="K817">
        <v>64847</v>
      </c>
      <c r="L817">
        <v>64042</v>
      </c>
      <c r="M817">
        <v>64640</v>
      </c>
      <c r="N817">
        <v>3359100</v>
      </c>
      <c r="O817">
        <v>64640</v>
      </c>
      <c r="P817">
        <v>5.1626547241401298E-3</v>
      </c>
      <c r="Q817">
        <v>5.1493739121264703E-3</v>
      </c>
      <c r="R817" s="8">
        <v>23.571821212768601</v>
      </c>
      <c r="S817" s="8">
        <v>4.2134656158872002E-3</v>
      </c>
      <c r="T817" s="9">
        <v>4.2046138254047301E-3</v>
      </c>
      <c r="U817" s="12">
        <v>4.5512999999999998E-2</v>
      </c>
      <c r="V817" s="16">
        <v>3.1476999999999999</v>
      </c>
      <c r="W817" s="17">
        <f t="shared" si="12"/>
        <v>9.3634760301426478E-3</v>
      </c>
    </row>
    <row r="818" spans="1:23" x14ac:dyDescent="0.2">
      <c r="A818" s="14">
        <v>42730</v>
      </c>
      <c r="B818" s="3">
        <v>100453363920169</v>
      </c>
      <c r="C818" s="3">
        <f>[1]!nefin_factors__1[[#This Row],[Rm_minus_Rf]]/B817-1</f>
        <v>-0.13014822001353032</v>
      </c>
      <c r="D818" s="3">
        <v>716510956180848</v>
      </c>
      <c r="E818" s="3">
        <f>[1]!nefin_factors__1[[#This Row],[SMB]]/D817-1</f>
        <v>-4.0088936240036492</v>
      </c>
      <c r="F818" s="3">
        <v>646078396294199</v>
      </c>
      <c r="G818" s="3">
        <f>[1]!nefin_factors__1[[#This Row],[HML]]/F817-1</f>
        <v>4.6918007788263969</v>
      </c>
      <c r="H818" s="3">
        <v>497736565448159</v>
      </c>
      <c r="I818" s="4">
        <f>[1]!nefin_factors__1[[#This Row],[Risk_Free]]/H817-1</f>
        <v>-1.4051973640812898E-3</v>
      </c>
      <c r="J818">
        <v>64636</v>
      </c>
      <c r="K818">
        <v>65551</v>
      </c>
      <c r="L818">
        <v>64476</v>
      </c>
      <c r="M818">
        <v>65528</v>
      </c>
      <c r="N818">
        <v>3488200</v>
      </c>
      <c r="O818">
        <v>65528</v>
      </c>
      <c r="P818">
        <v>1.37376237623763E-2</v>
      </c>
      <c r="Q818">
        <v>1.3644118000461E-2</v>
      </c>
      <c r="R818" s="8">
        <v>24.321834564208999</v>
      </c>
      <c r="S818" s="8">
        <v>3.18182932934978E-2</v>
      </c>
      <c r="T818" s="9">
        <v>3.1322579166786498E-2</v>
      </c>
      <c r="U818" s="12">
        <v>4.5512999999999998E-2</v>
      </c>
      <c r="V818" s="16">
        <v>3.1735000000000002</v>
      </c>
      <c r="W818" s="17">
        <f t="shared" si="12"/>
        <v>8.1964609079645534E-3</v>
      </c>
    </row>
    <row r="819" spans="1:23" x14ac:dyDescent="0.2">
      <c r="A819" s="15">
        <v>42731</v>
      </c>
      <c r="B819" s="5">
        <v>684466319520321</v>
      </c>
      <c r="C819" s="5">
        <f>[1]!nefin_factors__1[[#This Row],[Rm_minus_Rf]]/B818-1</f>
        <v>5.8137720113013955</v>
      </c>
      <c r="D819" s="5">
        <v>207178075414787</v>
      </c>
      <c r="E819" s="5">
        <f>[1]!nefin_factors__1[[#This Row],[SMB]]/D818-1</f>
        <v>-0.71085148994917102</v>
      </c>
      <c r="F819" s="5">
        <v>-150424290858011</v>
      </c>
      <c r="G819" s="5">
        <f>[1]!nefin_factors__1[[#This Row],[HML]]/F818-1</f>
        <v>-1.2328266843788933</v>
      </c>
      <c r="H819" s="5">
        <v>497386318134563</v>
      </c>
      <c r="I819" s="6">
        <f>[1]!nefin_factors__1[[#This Row],[Risk_Free]]/H818-1</f>
        <v>-7.0368009487231653E-4</v>
      </c>
      <c r="J819">
        <v>65541</v>
      </c>
      <c r="K819">
        <v>65775</v>
      </c>
      <c r="L819">
        <v>65070</v>
      </c>
      <c r="M819">
        <v>65266</v>
      </c>
      <c r="N819">
        <v>2335700</v>
      </c>
      <c r="O819">
        <v>65266</v>
      </c>
      <c r="P819">
        <v>-3.9982908069833298E-3</v>
      </c>
      <c r="Q819">
        <v>-4.0063053417655897E-3</v>
      </c>
      <c r="R819" s="8">
        <v>23.885013580322301</v>
      </c>
      <c r="S819" s="8">
        <v>-1.7960105631511299E-2</v>
      </c>
      <c r="T819" s="9">
        <v>-1.8123345823044101E-2</v>
      </c>
      <c r="U819" s="12">
        <v>4.5512999999999998E-2</v>
      </c>
      <c r="V819" s="16">
        <v>3.1623000000000001</v>
      </c>
      <c r="W819" s="17">
        <f t="shared" si="12"/>
        <v>-3.5292264061761447E-3</v>
      </c>
    </row>
    <row r="820" spans="1:23" x14ac:dyDescent="0.2">
      <c r="A820" s="14">
        <v>42732</v>
      </c>
      <c r="B820" s="3">
        <v>168978394538556</v>
      </c>
      <c r="C820" s="3">
        <f>[1]!nefin_factors__1[[#This Row],[Rm_minus_Rf]]/B819-1</f>
        <v>-0.75312387224987598</v>
      </c>
      <c r="D820" s="3">
        <v>738352298396021</v>
      </c>
      <c r="E820" s="3">
        <f>[1]!nefin_factors__1[[#This Row],[SMB]]/D819-1</f>
        <v>2.5638534478987745</v>
      </c>
      <c r="F820" s="3">
        <v>783408854385158</v>
      </c>
      <c r="G820" s="3">
        <f>[1]!nefin_factors__1[[#This Row],[HML]]/F819-1</f>
        <v>-6.2079943333396592</v>
      </c>
      <c r="H820" s="3">
        <v>496335391502623</v>
      </c>
      <c r="I820" s="4">
        <f>[1]!nefin_factors__1[[#This Row],[Risk_Free]]/H819-1</f>
        <v>-2.1128981510417644E-3</v>
      </c>
      <c r="J820">
        <v>65266</v>
      </c>
      <c r="K820">
        <v>65597</v>
      </c>
      <c r="L820">
        <v>64859</v>
      </c>
      <c r="M820">
        <v>64984</v>
      </c>
      <c r="N820">
        <v>2614200</v>
      </c>
      <c r="O820">
        <v>64984</v>
      </c>
      <c r="P820">
        <v>-4.3207795789538296E-3</v>
      </c>
      <c r="Q820">
        <v>-4.3301411228826598E-3</v>
      </c>
      <c r="R820" s="8">
        <v>23.819078445434599</v>
      </c>
      <c r="S820" s="8">
        <v>-2.7605404643138401E-3</v>
      </c>
      <c r="T820" s="9">
        <v>-2.7643577830017102E-3</v>
      </c>
      <c r="U820" s="12">
        <v>4.5512999999999998E-2</v>
      </c>
      <c r="V820" s="16">
        <v>3.1541000000000001</v>
      </c>
      <c r="W820" s="17">
        <f t="shared" si="12"/>
        <v>-2.5930493628055773E-3</v>
      </c>
    </row>
    <row r="821" spans="1:23" x14ac:dyDescent="0.2">
      <c r="A821" s="15">
        <v>42733</v>
      </c>
      <c r="B821" s="5">
        <v>804785644635055</v>
      </c>
      <c r="C821" s="5">
        <f>[1]!nefin_factors__1[[#This Row],[Rm_minus_Rf]]/B820-1</f>
        <v>3.762654106359296</v>
      </c>
      <c r="D821" s="5">
        <v>-126404784012475</v>
      </c>
      <c r="E821" s="5">
        <f>[1]!nefin_factors__1[[#This Row],[SMB]]/D820-1</f>
        <v>-1.1711984702791252</v>
      </c>
      <c r="F821" s="5">
        <v>-111472803981324</v>
      </c>
      <c r="G821" s="5">
        <f>[1]!nefin_factors__1[[#This Row],[HML]]/F820-1</f>
        <v>-1.1422919888604157</v>
      </c>
      <c r="H821" s="5">
        <v>495634619783747</v>
      </c>
      <c r="I821" s="6">
        <f>[1]!nefin_factors__1[[#This Row],[Risk_Free]]/H820-1</f>
        <v>-1.4118914969059038E-3</v>
      </c>
      <c r="J821">
        <v>64989</v>
      </c>
      <c r="K821">
        <v>65384</v>
      </c>
      <c r="L821">
        <v>64774</v>
      </c>
      <c r="M821">
        <v>65211</v>
      </c>
      <c r="N821">
        <v>2858500</v>
      </c>
      <c r="O821">
        <v>65211</v>
      </c>
      <c r="P821">
        <v>3.4931675489351401E-3</v>
      </c>
      <c r="Q821">
        <v>3.4870806101852799E-3</v>
      </c>
      <c r="R821" s="8">
        <v>23.687208175659201</v>
      </c>
      <c r="S821" s="8">
        <v>-5.53628173528109E-3</v>
      </c>
      <c r="T821" s="9">
        <v>-5.55166374202607E-3</v>
      </c>
      <c r="U821" s="12">
        <v>4.5512999999999998E-2</v>
      </c>
      <c r="V821" s="16">
        <v>3.1638999999999999</v>
      </c>
      <c r="W821" s="17">
        <f t="shared" si="12"/>
        <v>3.1070669921688943E-3</v>
      </c>
    </row>
    <row r="822" spans="1:23" x14ac:dyDescent="0.2">
      <c r="A822" s="14">
        <v>42737</v>
      </c>
      <c r="B822" s="3">
        <v>-963424063782259</v>
      </c>
      <c r="C822" s="3">
        <f>[1]!nefin_factors__1[[#This Row],[Rm_minus_Rf]]/B821-1</f>
        <v>-2.1971188479873316</v>
      </c>
      <c r="D822" s="3">
        <v>223869144103263</v>
      </c>
      <c r="E822" s="3">
        <f>[1]!nefin_factors__1[[#This Row],[SMB]]/D821-1</f>
        <v>-2.7710496153465929</v>
      </c>
      <c r="F822" s="3">
        <v>203045258722741</v>
      </c>
      <c r="G822" s="3">
        <f>[1]!nefin_factors__1[[#This Row],[HML]]/F821-1</f>
        <v>-2.8214779880907894</v>
      </c>
      <c r="H822" s="3">
        <v>494583231150925</v>
      </c>
      <c r="I822" s="4">
        <f>[1]!nefin_factors__1[[#This Row],[Risk_Free]]/H821-1</f>
        <v>-2.1212978086170287E-3</v>
      </c>
      <c r="J822">
        <v>65212</v>
      </c>
      <c r="K822">
        <v>65775</v>
      </c>
      <c r="L822">
        <v>64990</v>
      </c>
      <c r="M822">
        <v>65769</v>
      </c>
      <c r="N822">
        <v>2085300</v>
      </c>
      <c r="O822">
        <v>65769</v>
      </c>
      <c r="P822">
        <v>8.5568385701799698E-3</v>
      </c>
      <c r="Q822">
        <v>8.5204363383000001E-3</v>
      </c>
      <c r="R822" s="8">
        <v>23.819078445434599</v>
      </c>
      <c r="S822" s="8">
        <v>5.5671027847468101E-3</v>
      </c>
      <c r="T822" s="9">
        <v>5.5516637420261602E-3</v>
      </c>
      <c r="U822" s="12">
        <v>4.5512999999999998E-2</v>
      </c>
      <c r="V822" s="16">
        <v>3.1629</v>
      </c>
      <c r="W822" s="17">
        <f t="shared" si="12"/>
        <v>-3.1606561522168342E-4</v>
      </c>
    </row>
    <row r="823" spans="1:23" x14ac:dyDescent="0.2">
      <c r="A823" s="15">
        <v>42738</v>
      </c>
      <c r="B823" s="5">
        <v>339092728744584</v>
      </c>
      <c r="C823" s="5">
        <f>[1]!nefin_factors__1[[#This Row],[Rm_minus_Rf]]/B822-1</f>
        <v>-1.3519662228628135</v>
      </c>
      <c r="D823" s="5">
        <v>-141492837391414</v>
      </c>
      <c r="E823" s="5">
        <f>[1]!nefin_factors__1[[#This Row],[SMB]]/D822-1</f>
        <v>-1.6320336728769924</v>
      </c>
      <c r="F823" s="5">
        <v>207922772550674</v>
      </c>
      <c r="G823" s="5">
        <f>[1]!nefin_factors__1[[#This Row],[HML]]/F822-1</f>
        <v>2.4021806067352047E-2</v>
      </c>
      <c r="H823" s="5">
        <v>493882151295644</v>
      </c>
      <c r="I823" s="6">
        <f>[1]!nefin_factors__1[[#This Row],[Risk_Free]]/H822-1</f>
        <v>-1.417516428224963E-3</v>
      </c>
      <c r="J823">
        <v>65770</v>
      </c>
      <c r="K823">
        <v>66211</v>
      </c>
      <c r="L823">
        <v>64493</v>
      </c>
      <c r="M823">
        <v>64775</v>
      </c>
      <c r="N823">
        <v>2982200</v>
      </c>
      <c r="O823">
        <v>64775</v>
      </c>
      <c r="P823">
        <v>-1.51135033222339E-2</v>
      </c>
      <c r="Q823">
        <v>-1.5228876248964299E-2</v>
      </c>
      <c r="R823" s="8">
        <v>23.777868270873999</v>
      </c>
      <c r="S823" s="8">
        <v>-1.7302686225526599E-3</v>
      </c>
      <c r="T823" s="9">
        <v>-1.73176726625936E-3</v>
      </c>
      <c r="U823" s="12">
        <v>4.5512999999999998E-2</v>
      </c>
      <c r="V823" s="16">
        <v>3.1080000000000001</v>
      </c>
      <c r="W823" s="17">
        <f t="shared" si="12"/>
        <v>-1.7357488380916219E-2</v>
      </c>
    </row>
    <row r="824" spans="1:23" x14ac:dyDescent="0.2">
      <c r="A824" s="14">
        <v>42739</v>
      </c>
      <c r="B824" s="3">
        <v>-205232194433838</v>
      </c>
      <c r="C824" s="3">
        <f>[1]!nefin_factors__1[[#This Row],[Rm_minus_Rf]]/B823-1</f>
        <v>-1.6052391485764526</v>
      </c>
      <c r="D824" s="3">
        <v>222208524870658</v>
      </c>
      <c r="E824" s="3">
        <f>[1]!nefin_factors__1[[#This Row],[SMB]]/D823-1</f>
        <v>-2.5704577628615848</v>
      </c>
      <c r="F824" s="3">
        <v>540674953920428</v>
      </c>
      <c r="G824" s="3">
        <f>[1]!nefin_factors__1[[#This Row],[HML]]/F823-1</f>
        <v>1.6003642952993866</v>
      </c>
      <c r="H824" s="3">
        <v>49283030025471</v>
      </c>
      <c r="I824" s="4">
        <f>[1]!nefin_factors__1[[#This Row],[Risk_Free]]/H823-1</f>
        <v>-0.90021297611954076</v>
      </c>
      <c r="J824">
        <v>64775</v>
      </c>
      <c r="K824">
        <v>64921</v>
      </c>
      <c r="L824">
        <v>63762</v>
      </c>
      <c r="M824">
        <v>64223</v>
      </c>
      <c r="N824">
        <v>2875000</v>
      </c>
      <c r="O824">
        <v>64223</v>
      </c>
      <c r="P824">
        <v>-8.5218062524121709E-3</v>
      </c>
      <c r="Q824">
        <v>-8.5583244587062093E-3</v>
      </c>
      <c r="R824" s="8">
        <v>23.876771926879901</v>
      </c>
      <c r="S824" s="8">
        <v>4.1595942565992904E-3</v>
      </c>
      <c r="T824" s="9">
        <v>4.1509670598936796E-3</v>
      </c>
      <c r="U824" s="12">
        <v>4.5512999999999998E-2</v>
      </c>
      <c r="V824" s="16">
        <v>3.1074999999999999</v>
      </c>
      <c r="W824" s="17">
        <f t="shared" si="12"/>
        <v>-1.6087516087526232E-4</v>
      </c>
    </row>
    <row r="825" spans="1:23" x14ac:dyDescent="0.2">
      <c r="A825" s="15">
        <v>42740</v>
      </c>
      <c r="B825" s="5">
        <v>650516332978694</v>
      </c>
      <c r="C825" s="5">
        <f>[1]!nefin_factors__1[[#This Row],[Rm_minus_Rf]]/B824-1</f>
        <v>-4.1696602707642203</v>
      </c>
      <c r="D825" s="5">
        <v>120429941752428</v>
      </c>
      <c r="E825" s="5">
        <f>[1]!nefin_factors__1[[#This Row],[SMB]]/D824-1</f>
        <v>-0.45803185623716625</v>
      </c>
      <c r="F825" s="5">
        <v>183312694692249</v>
      </c>
      <c r="G825" s="5">
        <f>[1]!nefin_factors__1[[#This Row],[HML]]/F824-1</f>
        <v>-0.66095582315575985</v>
      </c>
      <c r="H825" s="5">
        <v>491076598134965</v>
      </c>
      <c r="I825" s="6">
        <f>[1]!nefin_factors__1[[#This Row],[Risk_Free]]/H824-1</f>
        <v>8.9644157001134346</v>
      </c>
      <c r="J825">
        <v>64202</v>
      </c>
      <c r="K825">
        <v>65197</v>
      </c>
      <c r="L825">
        <v>64016</v>
      </c>
      <c r="M825">
        <v>64593</v>
      </c>
      <c r="N825">
        <v>2853100</v>
      </c>
      <c r="O825">
        <v>64593</v>
      </c>
      <c r="P825">
        <v>5.76117590271408E-3</v>
      </c>
      <c r="Q825">
        <v>5.7446437946868899E-3</v>
      </c>
      <c r="R825" s="8">
        <v>23.967433929443398</v>
      </c>
      <c r="S825" s="8">
        <v>3.79714614108617E-3</v>
      </c>
      <c r="T825" s="9">
        <v>3.7899551793510698E-3</v>
      </c>
      <c r="U825" s="12">
        <v>4.5512999999999998E-2</v>
      </c>
      <c r="V825" s="16">
        <v>3.0897999999999999</v>
      </c>
      <c r="W825" s="17">
        <f t="shared" si="12"/>
        <v>-5.6958970233306205E-3</v>
      </c>
    </row>
    <row r="826" spans="1:23" x14ac:dyDescent="0.2">
      <c r="A826" s="14">
        <v>42741</v>
      </c>
      <c r="B826" s="3">
        <v>-610894058257951</v>
      </c>
      <c r="C826" s="3">
        <f>[1]!nefin_factors__1[[#This Row],[Rm_minus_Rf]]/B825-1</f>
        <v>-1.939091037823272</v>
      </c>
      <c r="D826" s="3">
        <v>268945753789592</v>
      </c>
      <c r="E826" s="3">
        <f>[1]!nefin_factors__1[[#This Row],[SMB]]/D825-1</f>
        <v>1.2332133510657433</v>
      </c>
      <c r="F826" s="3">
        <v>814281306169741</v>
      </c>
      <c r="G826" s="3">
        <f>[1]!nefin_factors__1[[#This Row],[HML]]/F825-1</f>
        <v>3.4420344566795089</v>
      </c>
      <c r="H826" s="3">
        <v>490725765104338</v>
      </c>
      <c r="I826" s="4">
        <f>[1]!nefin_factors__1[[#This Row],[Risk_Free]]/H825-1</f>
        <v>-7.1441610526623567E-4</v>
      </c>
      <c r="J826">
        <v>64593</v>
      </c>
      <c r="K826">
        <v>64928</v>
      </c>
      <c r="L826">
        <v>64115</v>
      </c>
      <c r="M826">
        <v>64650</v>
      </c>
      <c r="N826">
        <v>2984000</v>
      </c>
      <c r="O826">
        <v>64650</v>
      </c>
      <c r="P826">
        <v>8.8244856253782999E-4</v>
      </c>
      <c r="Q826">
        <v>8.8205943371235599E-4</v>
      </c>
      <c r="R826" s="8">
        <v>23.448194503784201</v>
      </c>
      <c r="S826" s="8">
        <v>-2.1664384860797799E-2</v>
      </c>
      <c r="T826" s="9">
        <v>-2.1902503050869802E-2</v>
      </c>
      <c r="U826" s="12">
        <v>4.5512999999999998E-2</v>
      </c>
      <c r="V826" s="16">
        <v>3.0764999999999998</v>
      </c>
      <c r="W826" s="17">
        <f t="shared" si="12"/>
        <v>-4.3044857272315218E-3</v>
      </c>
    </row>
    <row r="827" spans="1:23" x14ac:dyDescent="0.2">
      <c r="A827" s="15">
        <v>42744</v>
      </c>
      <c r="B827" s="5">
        <v>785334764</v>
      </c>
      <c r="C827" s="5">
        <f>[1]!nefin_factors__1[[#This Row],[Rm_minus_Rf]]/B826-1</f>
        <v>-1.0000012855498484</v>
      </c>
      <c r="D827" s="5">
        <v>-299013664050641</v>
      </c>
      <c r="E827" s="5">
        <f>[1]!nefin_factors__1[[#This Row],[SMB]]/D826-1</f>
        <v>-2.1117991633531141</v>
      </c>
      <c r="F827" s="5">
        <v>-234072736086748</v>
      </c>
      <c r="G827" s="5">
        <f>[1]!nefin_factors__1[[#This Row],[HML]]/F826-1</f>
        <v>-1.2874593022254086</v>
      </c>
      <c r="H827" s="5">
        <v>489322124111125</v>
      </c>
      <c r="I827" s="6">
        <f>[1]!nefin_factors__1[[#This Row],[Risk_Free]]/H826-1</f>
        <v>-2.8603368582339472E-3</v>
      </c>
      <c r="J827">
        <v>64650</v>
      </c>
      <c r="K827">
        <v>64872</v>
      </c>
      <c r="L827">
        <v>63351</v>
      </c>
      <c r="M827">
        <v>64360</v>
      </c>
      <c r="N827">
        <v>3178400</v>
      </c>
      <c r="O827">
        <v>64360</v>
      </c>
      <c r="P827">
        <v>-4.4856921887084199E-3</v>
      </c>
      <c r="Q827">
        <v>-4.4957830936840203E-3</v>
      </c>
      <c r="R827" s="8">
        <v>23.571821212768601</v>
      </c>
      <c r="S827" s="8">
        <v>5.2723225497803804E-3</v>
      </c>
      <c r="T827" s="9">
        <v>5.2584725171435304E-3</v>
      </c>
      <c r="U827" s="12">
        <v>4.5512999999999998E-2</v>
      </c>
      <c r="V827" s="16">
        <v>3.0939000000000001</v>
      </c>
      <c r="W827" s="17">
        <f t="shared" si="12"/>
        <v>5.6557776694297068E-3</v>
      </c>
    </row>
    <row r="828" spans="1:23" x14ac:dyDescent="0.2">
      <c r="A828" s="14">
        <v>42745</v>
      </c>
      <c r="B828" s="3">
        <v>326110842665026</v>
      </c>
      <c r="C828" s="3">
        <f>[1]!nefin_factors__1[[#This Row],[Rm_minus_Rf]]/B827-1</f>
        <v>415249.74097576307</v>
      </c>
      <c r="D828" s="3">
        <v>431905739121644</v>
      </c>
      <c r="E828" s="3">
        <f>[1]!nefin_factors__1[[#This Row],[SMB]]/D827-1</f>
        <v>-2.4444347902726493</v>
      </c>
      <c r="F828" s="3">
        <v>155266725065303</v>
      </c>
      <c r="G828" s="3">
        <f>[1]!nefin_factors__1[[#This Row],[HML]]/F827-1</f>
        <v>-1.6633268259305549</v>
      </c>
      <c r="H828" s="3">
        <v>488269068899649</v>
      </c>
      <c r="I828" s="4">
        <f>[1]!nefin_factors__1[[#This Row],[Risk_Free]]/H827-1</f>
        <v>-2.1520694846751676E-3</v>
      </c>
      <c r="J828">
        <v>64362</v>
      </c>
      <c r="K828">
        <v>64456</v>
      </c>
      <c r="L828">
        <v>63814</v>
      </c>
      <c r="M828">
        <v>63892</v>
      </c>
      <c r="N828">
        <v>4253500</v>
      </c>
      <c r="O828">
        <v>63892</v>
      </c>
      <c r="P828">
        <v>-7.2715972653821801E-3</v>
      </c>
      <c r="Q828">
        <v>-7.2981641964722198E-3</v>
      </c>
      <c r="R828" s="8">
        <v>23.6707248687744</v>
      </c>
      <c r="S828" s="8">
        <v>4.1958702293247701E-3</v>
      </c>
      <c r="T828" s="9">
        <v>4.1870921118288698E-3</v>
      </c>
      <c r="U828" s="12">
        <v>4.5512999999999998E-2</v>
      </c>
      <c r="V828" s="16">
        <v>3.1248</v>
      </c>
      <c r="W828" s="17">
        <f t="shared" si="12"/>
        <v>9.9873945505672967E-3</v>
      </c>
    </row>
    <row r="829" spans="1:23" x14ac:dyDescent="0.2">
      <c r="A829" s="15">
        <v>42746</v>
      </c>
      <c r="B829" s="5">
        <v>317448886682471</v>
      </c>
      <c r="C829" s="5">
        <f>[1]!nefin_factors__1[[#This Row],[Rm_minus_Rf]]/B828-1</f>
        <v>-2.6561386036012213E-2</v>
      </c>
      <c r="D829" s="5">
        <v>-700615637718563</v>
      </c>
      <c r="E829" s="5">
        <f>[1]!nefin_factors__1[[#This Row],[SMB]]/D828-1</f>
        <v>-2.6221494049682867</v>
      </c>
      <c r="F829" s="5">
        <v>109464631153958</v>
      </c>
      <c r="G829" s="5">
        <f>[1]!nefin_factors__1[[#This Row],[HML]]/F828-1</f>
        <v>-0.29498975966731622</v>
      </c>
      <c r="H829" s="5">
        <v>487566877502177</v>
      </c>
      <c r="I829" s="6">
        <f>[1]!nefin_factors__1[[#This Row],[Risk_Free]]/H828-1</f>
        <v>-1.4381238587454215E-3</v>
      </c>
      <c r="J829">
        <v>63891</v>
      </c>
      <c r="K829">
        <v>63992</v>
      </c>
      <c r="L829">
        <v>62826</v>
      </c>
      <c r="M829">
        <v>62826</v>
      </c>
      <c r="N829">
        <v>3212900</v>
      </c>
      <c r="O829">
        <v>62826</v>
      </c>
      <c r="P829">
        <v>-1.6684404933325001E-2</v>
      </c>
      <c r="Q829">
        <v>-1.6825157394330201E-2</v>
      </c>
      <c r="R829" s="8">
        <v>24.115787506103501</v>
      </c>
      <c r="S829" s="8">
        <v>1.8802190811675799E-2</v>
      </c>
      <c r="T829" s="9">
        <v>1.8627614505301E-2</v>
      </c>
      <c r="U829" s="12">
        <v>4.5512999999999998E-2</v>
      </c>
      <c r="V829" s="16">
        <v>3.1282000000000001</v>
      </c>
      <c r="W829" s="17">
        <f t="shared" si="12"/>
        <v>1.088069636456801E-3</v>
      </c>
    </row>
    <row r="830" spans="1:23" x14ac:dyDescent="0.2">
      <c r="A830" s="14">
        <v>42747</v>
      </c>
      <c r="B830" s="3">
        <v>229391799303566</v>
      </c>
      <c r="C830" s="3">
        <f>[1]!nefin_factors__1[[#This Row],[Rm_minus_Rf]]/B829-1</f>
        <v>-0.27738981320474532</v>
      </c>
      <c r="D830" s="3">
        <v>108482795662542</v>
      </c>
      <c r="E830" s="3">
        <f>[1]!nefin_factors__1[[#This Row],[SMB]]/D829-1</f>
        <v>-1.1548392439766231</v>
      </c>
      <c r="F830" s="3">
        <v>143452919227613</v>
      </c>
      <c r="G830" s="3">
        <f>[1]!nefin_factors__1[[#This Row],[HML]]/F829-1</f>
        <v>0.31049561593873842</v>
      </c>
      <c r="H830" s="3">
        <v>480186389705484</v>
      </c>
      <c r="I830" s="4">
        <f>[1]!nefin_factors__1[[#This Row],[Risk_Free]]/H829-1</f>
        <v>-1.513738553058297E-2</v>
      </c>
      <c r="J830">
        <v>62828</v>
      </c>
      <c r="K830">
        <v>64424</v>
      </c>
      <c r="L830">
        <v>62828</v>
      </c>
      <c r="M830">
        <v>64335</v>
      </c>
      <c r="N830">
        <v>0</v>
      </c>
      <c r="O830">
        <v>64335</v>
      </c>
      <c r="P830">
        <v>2.4018718365008001E-2</v>
      </c>
      <c r="Q830">
        <v>2.3734806103573401E-2</v>
      </c>
      <c r="R830" s="8">
        <v>25.096572875976602</v>
      </c>
      <c r="S830" s="8">
        <v>4.0669815886732498E-2</v>
      </c>
      <c r="T830" s="9">
        <v>3.9864559576925099E-2</v>
      </c>
      <c r="U830" s="12">
        <v>4.5512999999999998E-2</v>
      </c>
      <c r="V830" s="16">
        <v>3.1255999999999999</v>
      </c>
      <c r="W830" s="17">
        <f t="shared" si="12"/>
        <v>-8.3114890352287141E-4</v>
      </c>
    </row>
    <row r="831" spans="1:23" x14ac:dyDescent="0.2">
      <c r="A831" s="15">
        <v>42748</v>
      </c>
      <c r="B831" s="5">
        <v>-506897723178959</v>
      </c>
      <c r="C831" s="5">
        <f>[1]!nefin_factors__1[[#This Row],[Rm_minus_Rf]]/B830-1</f>
        <v>-3.2097464892725092</v>
      </c>
      <c r="D831" s="5">
        <v>719256761596795</v>
      </c>
      <c r="E831" s="5">
        <f>[1]!nefin_factors__1[[#This Row],[SMB]]/D830-1</f>
        <v>5.6301458881479309</v>
      </c>
      <c r="F831" s="5">
        <v>94045186472093</v>
      </c>
      <c r="G831" s="5">
        <f>[1]!nefin_factors__1[[#This Row],[HML]]/F830-1</f>
        <v>-0.34441775755797654</v>
      </c>
      <c r="H831" s="5">
        <v>47983459680534</v>
      </c>
      <c r="I831" s="6">
        <f>[1]!nefin_factors__1[[#This Row],[Risk_Free]]/H830-1</f>
        <v>-0.90007326173912583</v>
      </c>
      <c r="J831">
        <v>64336</v>
      </c>
      <c r="K831">
        <v>64591</v>
      </c>
      <c r="L831">
        <v>63717</v>
      </c>
      <c r="M831">
        <v>64159</v>
      </c>
      <c r="N831">
        <v>3144800</v>
      </c>
      <c r="O831">
        <v>64159</v>
      </c>
      <c r="P831">
        <v>-2.7356804227869299E-3</v>
      </c>
      <c r="Q831">
        <v>-2.7394292350706E-3</v>
      </c>
      <c r="R831" s="8">
        <v>25.178991317748999</v>
      </c>
      <c r="S831" s="8">
        <v>3.2841500838647298E-3</v>
      </c>
      <c r="T831" s="9">
        <v>3.2787690411938499E-3</v>
      </c>
      <c r="U831" s="12">
        <v>4.5512999999999998E-2</v>
      </c>
      <c r="V831" s="16">
        <v>3.1303000000000001</v>
      </c>
      <c r="W831" s="17">
        <f t="shared" si="12"/>
        <v>1.5037112874327629E-3</v>
      </c>
    </row>
    <row r="832" spans="1:23" x14ac:dyDescent="0.2">
      <c r="A832" s="14">
        <v>42751</v>
      </c>
      <c r="B832" s="3">
        <v>178514725018235</v>
      </c>
      <c r="C832" s="3">
        <f>[1]!nefin_factors__1[[#This Row],[Rm_minus_Rf]]/B831-1</f>
        <v>-1.3521710926194292</v>
      </c>
      <c r="D832" s="3">
        <v>177107962637577</v>
      </c>
      <c r="E832" s="3">
        <f>[1]!nefin_factors__1[[#This Row],[SMB]]/D831-1</f>
        <v>-0.75376253364043988</v>
      </c>
      <c r="F832" s="3">
        <v>169120752264194</v>
      </c>
      <c r="G832" s="3">
        <f>[1]!nefin_factors__1[[#This Row],[HML]]/F831-1</f>
        <v>0.79829248692466526</v>
      </c>
      <c r="H832" s="3">
        <v>479482772854034</v>
      </c>
      <c r="I832" s="4">
        <f>[1]!nefin_factors__1[[#This Row],[Risk_Free]]/H831-1</f>
        <v>8.9926678077477451</v>
      </c>
      <c r="J832">
        <v>64165</v>
      </c>
      <c r="K832">
        <v>64572</v>
      </c>
      <c r="L832">
        <v>63219</v>
      </c>
      <c r="M832">
        <v>63407</v>
      </c>
      <c r="N832">
        <v>3069500</v>
      </c>
      <c r="O832">
        <v>63407</v>
      </c>
      <c r="P832">
        <v>-1.1720880936423501E-2</v>
      </c>
      <c r="Q832">
        <v>-1.17901119588112E-2</v>
      </c>
      <c r="R832" s="8">
        <v>25.063604354858398</v>
      </c>
      <c r="S832" s="8">
        <v>-4.5826190805852204E-3</v>
      </c>
      <c r="T832" s="9">
        <v>-4.5931514690049904E-3</v>
      </c>
      <c r="U832" s="12">
        <v>4.5512999999999998E-2</v>
      </c>
      <c r="V832" s="16">
        <v>3.1229</v>
      </c>
      <c r="W832" s="17">
        <f t="shared" si="12"/>
        <v>-2.3639906718205816E-3</v>
      </c>
    </row>
    <row r="833" spans="1:23" x14ac:dyDescent="0.2">
      <c r="A833" s="15">
        <v>42752</v>
      </c>
      <c r="B833" s="5">
        <v>899243416809025</v>
      </c>
      <c r="C833" s="5">
        <f>[1]!nefin_factors__1[[#This Row],[Rm_minus_Rf]]/B832-1</f>
        <v>4.0373626977671933</v>
      </c>
      <c r="D833" s="5">
        <v>763201234025338</v>
      </c>
      <c r="E833" s="5">
        <f>[1]!nefin_factors__1[[#This Row],[SMB]]/D832-1</f>
        <v>3.3092429197387743</v>
      </c>
      <c r="F833" s="5">
        <v>11948070503688</v>
      </c>
      <c r="G833" s="5">
        <f>[1]!nefin_factors__1[[#This Row],[HML]]/F832-1</f>
        <v>-0.92935183681643529</v>
      </c>
      <c r="H833" s="5">
        <v>479482772854034</v>
      </c>
      <c r="I833" s="6">
        <f>[1]!nefin_factors__1[[#This Row],[Risk_Free]]/H832-1</f>
        <v>0</v>
      </c>
      <c r="J833">
        <v>63406</v>
      </c>
      <c r="K833">
        <v>64163</v>
      </c>
      <c r="L833">
        <v>63388</v>
      </c>
      <c r="M833">
        <v>63761</v>
      </c>
      <c r="N833">
        <v>2899700</v>
      </c>
      <c r="O833">
        <v>63761</v>
      </c>
      <c r="P833">
        <v>5.5829797971833602E-3</v>
      </c>
      <c r="Q833">
        <v>5.56745273020202E-3</v>
      </c>
      <c r="R833" s="8">
        <v>24.972944259643601</v>
      </c>
      <c r="S833" s="8">
        <v>-3.6173400418101401E-3</v>
      </c>
      <c r="T833" s="9">
        <v>-3.6238984370398201E-3</v>
      </c>
      <c r="U833" s="12">
        <v>4.5512999999999998E-2</v>
      </c>
      <c r="V833" s="16">
        <v>3.1246999999999998</v>
      </c>
      <c r="W833" s="17">
        <f t="shared" si="12"/>
        <v>5.763873322872648E-4</v>
      </c>
    </row>
    <row r="834" spans="1:23" x14ac:dyDescent="0.2">
      <c r="A834" s="14">
        <v>42753</v>
      </c>
      <c r="B834" s="3">
        <v>-414530349230502</v>
      </c>
      <c r="C834" s="3">
        <f>[1]!nefin_factors__1[[#This Row],[Rm_minus_Rf]]/B833-1</f>
        <v>-1.4609767961398787</v>
      </c>
      <c r="D834" s="3">
        <v>-471344015002185</v>
      </c>
      <c r="E834" s="3">
        <f>[1]!nefin_factors__1[[#This Row],[SMB]]/D833-1</f>
        <v>-1.6175881196053419</v>
      </c>
      <c r="F834" s="3">
        <v>-106628081030485</v>
      </c>
      <c r="G834" s="3">
        <f>[1]!nefin_factors__1[[#This Row],[HML]]/F833-1</f>
        <v>-9.9242929222398057</v>
      </c>
      <c r="H834" s="3">
        <v>47983459680534</v>
      </c>
      <c r="I834" s="4">
        <f>[1]!nefin_factors__1[[#This Row],[Risk_Free]]/H833-1</f>
        <v>-0.89992662427698666</v>
      </c>
      <c r="J834">
        <v>63761</v>
      </c>
      <c r="K834">
        <v>64754</v>
      </c>
      <c r="L834">
        <v>63761</v>
      </c>
      <c r="M834">
        <v>64389</v>
      </c>
      <c r="N834">
        <v>3194100</v>
      </c>
      <c r="O834">
        <v>64389</v>
      </c>
      <c r="P834">
        <v>9.8492809083923199E-3</v>
      </c>
      <c r="Q834">
        <v>9.8010928943639206E-3</v>
      </c>
      <c r="R834" s="8">
        <v>24.6103000640869</v>
      </c>
      <c r="S834" s="8">
        <v>-1.45213396270241E-2</v>
      </c>
      <c r="T834" s="9">
        <v>-1.4627806228090999E-2</v>
      </c>
      <c r="U834" s="12">
        <v>4.5512999999999998E-2</v>
      </c>
      <c r="V834" s="16">
        <v>3.1684000000000001</v>
      </c>
      <c r="W834" s="17">
        <f t="shared" si="12"/>
        <v>1.3985342592889083E-2</v>
      </c>
    </row>
    <row r="835" spans="1:23" x14ac:dyDescent="0.2">
      <c r="A835" s="15">
        <v>42754</v>
      </c>
      <c r="B835" s="5">
        <v>-368832762936539</v>
      </c>
      <c r="C835" s="5">
        <f>[1]!nefin_factors__1[[#This Row],[Rm_minus_Rf]]/B834-1</f>
        <v>-0.11023942246639362</v>
      </c>
      <c r="D835" s="5">
        <v>-191922380114337</v>
      </c>
      <c r="E835" s="5">
        <f>[1]!nefin_factors__1[[#This Row],[SMB]]/D834-1</f>
        <v>-0.59281888810352812</v>
      </c>
      <c r="F835" s="5">
        <v>-441048768402856</v>
      </c>
      <c r="G835" s="5">
        <f>[1]!nefin_factors__1[[#This Row],[HML]]/F834-1</f>
        <v>3.1363284806444192</v>
      </c>
      <c r="H835" s="5">
        <v>479130917846016</v>
      </c>
      <c r="I835" s="6">
        <f>[1]!nefin_factors__1[[#This Row],[Risk_Free]]/H834-1</f>
        <v>8.9853349682576251</v>
      </c>
      <c r="J835">
        <v>64384</v>
      </c>
      <c r="K835">
        <v>65148</v>
      </c>
      <c r="L835">
        <v>63875</v>
      </c>
      <c r="M835">
        <v>65148</v>
      </c>
      <c r="N835">
        <v>3037200</v>
      </c>
      <c r="O835">
        <v>65148</v>
      </c>
      <c r="P835">
        <v>1.17877277174672E-2</v>
      </c>
      <c r="Q835">
        <v>1.17187936436769E-2</v>
      </c>
      <c r="R835" s="8">
        <v>24.437221527099599</v>
      </c>
      <c r="S835" s="8">
        <v>-7.0328498741742997E-3</v>
      </c>
      <c r="T835" s="9">
        <v>-7.0576969284517899E-3</v>
      </c>
      <c r="U835" s="12">
        <v>4.5512999999999998E-2</v>
      </c>
      <c r="V835" s="16">
        <v>3.1166999999999998</v>
      </c>
      <c r="W835" s="17">
        <f t="shared" si="12"/>
        <v>-1.6317384168665683E-2</v>
      </c>
    </row>
    <row r="836" spans="1:23" x14ac:dyDescent="0.2">
      <c r="A836" s="14">
        <v>42755</v>
      </c>
      <c r="B836" s="3">
        <v>910066948607709</v>
      </c>
      <c r="C836" s="3">
        <f>[1]!nefin_factors__1[[#This Row],[Rm_minus_Rf]]/B835-1</f>
        <v>-3.4674243723958282</v>
      </c>
      <c r="D836" s="3">
        <v>118293734910779</v>
      </c>
      <c r="E836" s="3">
        <f>[1]!nefin_factors__1[[#This Row],[SMB]]/D835-1</f>
        <v>-1.6163623796261071</v>
      </c>
      <c r="F836" s="3">
        <v>422292923381594</v>
      </c>
      <c r="G836" s="3">
        <f>[1]!nefin_factors__1[[#This Row],[HML]]/F835-1</f>
        <v>-1.957474441909947</v>
      </c>
      <c r="H836" s="3">
        <v>478779031775955</v>
      </c>
      <c r="I836" s="4">
        <f>[1]!nefin_factors__1[[#This Row],[Risk_Free]]/H835-1</f>
        <v>-7.3442572156046104E-4</v>
      </c>
      <c r="J836">
        <v>65144</v>
      </c>
      <c r="K836">
        <v>65436</v>
      </c>
      <c r="L836">
        <v>64679</v>
      </c>
      <c r="M836">
        <v>64862</v>
      </c>
      <c r="N836">
        <v>3221600</v>
      </c>
      <c r="O836">
        <v>64862</v>
      </c>
      <c r="P836">
        <v>-4.3900042979062599E-3</v>
      </c>
      <c r="Q836">
        <v>-4.3996686615443599E-3</v>
      </c>
      <c r="R836" s="8">
        <v>24.9234924316406</v>
      </c>
      <c r="S836" s="8">
        <v>1.98987825730681E-2</v>
      </c>
      <c r="T836" s="9">
        <v>1.9703389600780601E-2</v>
      </c>
      <c r="U836" s="12">
        <v>4.5512999999999998E-2</v>
      </c>
      <c r="V836" s="16">
        <v>3.1231</v>
      </c>
      <c r="W836" s="17">
        <f t="shared" ref="W836:W899" si="13">V836/V835-1</f>
        <v>2.0534539737544488E-3</v>
      </c>
    </row>
    <row r="837" spans="1:23" x14ac:dyDescent="0.2">
      <c r="A837" s="15">
        <v>42758</v>
      </c>
      <c r="B837" s="5">
        <v>161697814710607</v>
      </c>
      <c r="C837" s="5">
        <f>[1]!nefin_factors__1[[#This Row],[Rm_minus_Rf]]/B836-1</f>
        <v>-0.82232316539131012</v>
      </c>
      <c r="D837" s="5">
        <v>-111158742191311</v>
      </c>
      <c r="E837" s="5">
        <f>[1]!nefin_factors__1[[#This Row],[SMB]]/D836-1</f>
        <v>-1.9396841030943064</v>
      </c>
      <c r="F837" s="5">
        <v>913456458021603</v>
      </c>
      <c r="G837" s="5">
        <f>[1]!nefin_factors__1[[#This Row],[HML]]/F836-1</f>
        <v>1.1630872966255743</v>
      </c>
      <c r="H837" s="5">
        <v>478075166427283</v>
      </c>
      <c r="I837" s="6">
        <f>[1]!nefin_factors__1[[#This Row],[Risk_Free]]/H836-1</f>
        <v>-1.4701256779376948E-3</v>
      </c>
      <c r="J837">
        <v>64872</v>
      </c>
      <c r="K837">
        <v>65327</v>
      </c>
      <c r="L837">
        <v>64292</v>
      </c>
      <c r="M837">
        <v>64677</v>
      </c>
      <c r="N837">
        <v>3112100</v>
      </c>
      <c r="O837">
        <v>64677</v>
      </c>
      <c r="P837">
        <v>-2.8522093059110101E-3</v>
      </c>
      <c r="Q837">
        <v>-2.8562846057901699E-3</v>
      </c>
      <c r="R837" s="8">
        <v>24.7998657226562</v>
      </c>
      <c r="S837" s="8">
        <v>-4.9602375498810601E-3</v>
      </c>
      <c r="T837" s="9">
        <v>-4.9725803605881096E-3</v>
      </c>
      <c r="U837" s="12">
        <v>4.5512999999999998E-2</v>
      </c>
      <c r="V837" s="16">
        <v>3.0922999999999998</v>
      </c>
      <c r="W837" s="17">
        <f t="shared" si="13"/>
        <v>-9.8619960936249251E-3</v>
      </c>
    </row>
    <row r="838" spans="1:23" x14ac:dyDescent="0.2">
      <c r="A838" s="14">
        <v>42759</v>
      </c>
      <c r="B838" s="3">
        <v>191315913189072</v>
      </c>
      <c r="C838" s="3">
        <f>[1]!nefin_factors__1[[#This Row],[Rm_minus_Rf]]/B837-1</f>
        <v>0.18316944190911277</v>
      </c>
      <c r="D838" s="3">
        <v>564751920018025</v>
      </c>
      <c r="E838" s="3">
        <f>[1]!nefin_factors__1[[#This Row],[SMB]]/D837-1</f>
        <v>-6.0805893345397193</v>
      </c>
      <c r="F838" s="3">
        <v>100078225048917</v>
      </c>
      <c r="G838" s="3">
        <f>[1]!nefin_factors__1[[#This Row],[HML]]/F837-1</f>
        <v>-0.8904400706020843</v>
      </c>
      <c r="H838" s="3">
        <v>478427114638302</v>
      </c>
      <c r="I838" s="4">
        <f>[1]!nefin_factors__1[[#This Row],[Risk_Free]]/H837-1</f>
        <v>7.3617756314159344E-4</v>
      </c>
      <c r="J838">
        <v>64679</v>
      </c>
      <c r="K838">
        <v>65403</v>
      </c>
      <c r="L838">
        <v>64592</v>
      </c>
      <c r="M838">
        <v>65403</v>
      </c>
      <c r="N838">
        <v>2973700</v>
      </c>
      <c r="O838">
        <v>65403</v>
      </c>
      <c r="P838">
        <v>1.12250104364766E-2</v>
      </c>
      <c r="Q838">
        <v>1.11624775267384E-2</v>
      </c>
      <c r="R838" s="8">
        <v>25.516908645629901</v>
      </c>
      <c r="S838" s="8">
        <v>2.8913236109366899E-2</v>
      </c>
      <c r="T838" s="9">
        <v>2.8503134647106201E-2</v>
      </c>
      <c r="U838" s="12">
        <v>4.5512999999999998E-2</v>
      </c>
      <c r="V838" s="16">
        <v>3.1160000000000001</v>
      </c>
      <c r="W838" s="17">
        <f t="shared" si="13"/>
        <v>7.6641981696472516E-3</v>
      </c>
    </row>
    <row r="839" spans="1:23" x14ac:dyDescent="0.2">
      <c r="A839" s="15">
        <v>42761</v>
      </c>
      <c r="B839" s="5">
        <v>645131133430389</v>
      </c>
      <c r="C839" s="5">
        <f>[1]!nefin_factors__1[[#This Row],[Rm_minus_Rf]]/B838-1</f>
        <v>2.3720725196174586</v>
      </c>
      <c r="D839" s="5">
        <v>927569843385815</v>
      </c>
      <c r="E839" s="5">
        <f>[1]!nefin_factors__1[[#This Row],[SMB]]/D838-1</f>
        <v>0.64243769787663596</v>
      </c>
      <c r="F839" s="5">
        <v>317123320953691</v>
      </c>
      <c r="G839" s="5">
        <f>[1]!nefin_factors__1[[#This Row],[HML]]/F838-1</f>
        <v>2.1687544498184801</v>
      </c>
      <c r="H839" s="5">
        <v>478427114638302</v>
      </c>
      <c r="I839" s="6">
        <f>[1]!nefin_factors__1[[#This Row],[Risk_Free]]/H838-1</f>
        <v>0</v>
      </c>
      <c r="J839">
        <v>65404</v>
      </c>
      <c r="K839">
        <v>66877</v>
      </c>
      <c r="L839">
        <v>65404</v>
      </c>
      <c r="M839">
        <v>66722</v>
      </c>
      <c r="N839">
        <v>3497000</v>
      </c>
      <c r="O839">
        <v>66722</v>
      </c>
      <c r="P839">
        <v>2.01672706144977E-2</v>
      </c>
      <c r="Q839">
        <v>1.9966604649685801E-2</v>
      </c>
      <c r="R839" s="8">
        <v>25.599327087402301</v>
      </c>
      <c r="S839" s="8">
        <v>8.6316020323957705E-3</v>
      </c>
      <c r="T839" s="9">
        <v>8.5945627419072908E-3</v>
      </c>
      <c r="U839" s="12">
        <v>4.5512999999999998E-2</v>
      </c>
      <c r="V839" s="16">
        <v>3.1301999999999999</v>
      </c>
      <c r="W839" s="17">
        <f t="shared" si="13"/>
        <v>4.5571245186135645E-3</v>
      </c>
    </row>
    <row r="840" spans="1:23" x14ac:dyDescent="0.2">
      <c r="A840" s="14">
        <v>42762</v>
      </c>
      <c r="B840" s="3">
        <v>-286040148248246</v>
      </c>
      <c r="C840" s="3">
        <f>[1]!nefin_factors__1[[#This Row],[Rm_minus_Rf]]/B839-1</f>
        <v>-1.4433829549153363</v>
      </c>
      <c r="D840" s="3">
        <v>262276619267188</v>
      </c>
      <c r="E840" s="3">
        <f>[1]!nefin_factors__1[[#This Row],[SMB]]/D839-1</f>
        <v>-0.71724326622152135</v>
      </c>
      <c r="F840" s="3">
        <v>547978139006447</v>
      </c>
      <c r="G840" s="3">
        <f>[1]!nefin_factors__1[[#This Row],[HML]]/F839-1</f>
        <v>0.72796544056899348</v>
      </c>
      <c r="H840" s="3">
        <v>478427114638302</v>
      </c>
      <c r="I840" s="4">
        <f>[1]!nefin_factors__1[[#This Row],[Risk_Free]]/H839-1</f>
        <v>0</v>
      </c>
      <c r="J840">
        <v>66720</v>
      </c>
      <c r="K840">
        <v>66758</v>
      </c>
      <c r="L840">
        <v>65898</v>
      </c>
      <c r="M840">
        <v>66094</v>
      </c>
      <c r="N840">
        <v>3446400</v>
      </c>
      <c r="O840">
        <v>66094</v>
      </c>
      <c r="P840">
        <v>-9.4121878840561796E-3</v>
      </c>
      <c r="Q840">
        <v>-9.4567624409957196E-3</v>
      </c>
      <c r="R840" s="8">
        <v>25.920761108398398</v>
      </c>
      <c r="S840" s="8">
        <v>1.25564482076117E-2</v>
      </c>
      <c r="T840" s="9">
        <v>1.2478269760669999E-2</v>
      </c>
      <c r="U840" s="12">
        <v>4.5512999999999998E-2</v>
      </c>
      <c r="V840" s="16">
        <v>3.1408999999999998</v>
      </c>
      <c r="W840" s="17">
        <f t="shared" si="13"/>
        <v>3.4183119289501462E-3</v>
      </c>
    </row>
    <row r="841" spans="1:23" x14ac:dyDescent="0.2">
      <c r="A841" s="15">
        <v>42765</v>
      </c>
      <c r="B841" s="5">
        <v>-252008658565773</v>
      </c>
      <c r="C841" s="5">
        <f>[1]!nefin_factors__1[[#This Row],[Rm_minus_Rf]]/B840-1</f>
        <v>-0.11897452120231056</v>
      </c>
      <c r="D841" s="5">
        <v>-353964412574953</v>
      </c>
      <c r="E841" s="5">
        <f>[1]!nefin_factors__1[[#This Row],[SMB]]/D840-1</f>
        <v>-2.3495843188918046</v>
      </c>
      <c r="F841" s="5">
        <v>-108966753110343</v>
      </c>
      <c r="G841" s="5">
        <f>[1]!nefin_factors__1[[#This Row],[HML]]/F840-1</f>
        <v>-1.1988523726656566</v>
      </c>
      <c r="H841" s="5">
        <v>478075166427283</v>
      </c>
      <c r="I841" s="6">
        <f>[1]!nefin_factors__1[[#This Row],[Risk_Free]]/H840-1</f>
        <v>-7.356360044206145E-4</v>
      </c>
      <c r="J841">
        <v>66069</v>
      </c>
      <c r="K841">
        <v>66099</v>
      </c>
      <c r="L841">
        <v>64721</v>
      </c>
      <c r="M841">
        <v>64863</v>
      </c>
      <c r="N841">
        <v>3779900</v>
      </c>
      <c r="O841">
        <v>64863</v>
      </c>
      <c r="P841">
        <v>-1.8624988652525199E-2</v>
      </c>
      <c r="Q841">
        <v>-1.88006179008849E-2</v>
      </c>
      <c r="R841" s="8">
        <v>25.508668899536101</v>
      </c>
      <c r="S841" s="8">
        <v>-1.5898213046829299E-2</v>
      </c>
      <c r="T841" s="9">
        <v>-1.6025945254061001E-2</v>
      </c>
      <c r="U841" s="12">
        <v>4.5512999999999998E-2</v>
      </c>
      <c r="V841" s="16">
        <v>3.1423999999999999</v>
      </c>
      <c r="W841" s="17">
        <f t="shared" si="13"/>
        <v>4.7757012321314463E-4</v>
      </c>
    </row>
    <row r="842" spans="1:23" x14ac:dyDescent="0.2">
      <c r="A842" s="14">
        <v>42766</v>
      </c>
      <c r="B842" s="3">
        <v>635796344440807</v>
      </c>
      <c r="C842" s="3">
        <f>[1]!nefin_factors__1[[#This Row],[Rm_minus_Rf]]/B841-1</f>
        <v>-3.5229146810242131</v>
      </c>
      <c r="D842" s="3">
        <v>159885837178687</v>
      </c>
      <c r="E842" s="3">
        <f>[1]!nefin_factors__1[[#This Row],[SMB]]/D841-1</f>
        <v>-1.4517003164684832</v>
      </c>
      <c r="F842" s="3">
        <v>192578423890089</v>
      </c>
      <c r="G842" s="3">
        <f>[1]!nefin_factors__1[[#This Row],[HML]]/F841-1</f>
        <v>-2.7673135923860954</v>
      </c>
      <c r="H842" s="3">
        <v>47701913530096</v>
      </c>
      <c r="I842" s="4">
        <f>[1]!nefin_factors__1[[#This Row],[Risk_Free]]/H841-1</f>
        <v>-0.90022089227813584</v>
      </c>
      <c r="J842">
        <v>64869</v>
      </c>
      <c r="K842">
        <v>65768</v>
      </c>
      <c r="L842">
        <v>64863</v>
      </c>
      <c r="M842">
        <v>65710</v>
      </c>
      <c r="N842">
        <v>2760000</v>
      </c>
      <c r="O842">
        <v>65710</v>
      </c>
      <c r="P842">
        <v>1.30582920925644E-2</v>
      </c>
      <c r="Q842">
        <v>1.29737676312532E-2</v>
      </c>
      <c r="R842" s="8">
        <v>25.549877166748001</v>
      </c>
      <c r="S842" s="8">
        <v>1.6154436102457899E-3</v>
      </c>
      <c r="T842" s="9">
        <v>1.6141401847682799E-3</v>
      </c>
      <c r="U842" s="12">
        <v>4.5512999999999998E-2</v>
      </c>
      <c r="V842" s="16">
        <v>3.1463000000000001</v>
      </c>
      <c r="W842" s="17">
        <f t="shared" si="13"/>
        <v>1.2410896130345961E-3</v>
      </c>
    </row>
    <row r="843" spans="1:23" x14ac:dyDescent="0.2">
      <c r="A843" s="15">
        <v>42767</v>
      </c>
      <c r="B843" s="5">
        <v>321228374833599</v>
      </c>
      <c r="C843" s="5">
        <f>[1]!nefin_factors__1[[#This Row],[Rm_minus_Rf]]/B842-1</f>
        <v>-0.49476215514242305</v>
      </c>
      <c r="D843" s="5">
        <v>55890167172412</v>
      </c>
      <c r="E843" s="5">
        <f>[1]!nefin_factors__1[[#This Row],[SMB]]/D842-1</f>
        <v>-0.65043703583357648</v>
      </c>
      <c r="F843" s="5">
        <v>120901969174688</v>
      </c>
      <c r="G843" s="5">
        <f>[1]!nefin_factors__1[[#This Row],[HML]]/F842-1</f>
        <v>-0.37219358881194897</v>
      </c>
      <c r="H843" s="5">
        <v>475962824318055</v>
      </c>
      <c r="I843" s="6">
        <f>[1]!nefin_factors__1[[#This Row],[Risk_Free]]/H842-1</f>
        <v>8.9778560039894728</v>
      </c>
      <c r="J843">
        <v>65705</v>
      </c>
      <c r="K843">
        <v>66015</v>
      </c>
      <c r="L843">
        <v>65295</v>
      </c>
      <c r="M843">
        <v>65526</v>
      </c>
      <c r="N843">
        <v>2273300</v>
      </c>
      <c r="O843">
        <v>65526</v>
      </c>
      <c r="P843">
        <v>-2.8001826206056602E-3</v>
      </c>
      <c r="Q843">
        <v>-2.80411046613013E-3</v>
      </c>
      <c r="R843" s="8">
        <v>26.0114231109619</v>
      </c>
      <c r="S843" s="8">
        <v>1.8064476324768201E-2</v>
      </c>
      <c r="T843" s="9">
        <v>1.7903252394548399E-2</v>
      </c>
      <c r="U843" s="12">
        <v>4.1957000000000001E-2</v>
      </c>
      <c r="V843" s="16">
        <v>3.1269</v>
      </c>
      <c r="W843" s="17">
        <f t="shared" si="13"/>
        <v>-6.1659727298731815E-3</v>
      </c>
    </row>
    <row r="844" spans="1:23" x14ac:dyDescent="0.2">
      <c r="A844" s="14">
        <v>42768</v>
      </c>
      <c r="B844" s="3">
        <v>-439932429304377</v>
      </c>
      <c r="C844" s="3">
        <f>[1]!nefin_factors__1[[#This Row],[Rm_minus_Rf]]/B843-1</f>
        <v>-2.3695316596246156</v>
      </c>
      <c r="D844" s="3">
        <v>285727207822035</v>
      </c>
      <c r="E844" s="3">
        <f>[1]!nefin_factors__1[[#This Row],[SMB]]/D843-1</f>
        <v>4.1122983214670557</v>
      </c>
      <c r="F844" s="3">
        <v>-615830780183359</v>
      </c>
      <c r="G844" s="3">
        <f>[1]!nefin_factors__1[[#This Row],[HML]]/F843-1</f>
        <v>-6.0936373029091175</v>
      </c>
      <c r="H844" s="3">
        <v>474553974085357</v>
      </c>
      <c r="I844" s="4">
        <f>[1]!nefin_factors__1[[#This Row],[Risk_Free]]/H843-1</f>
        <v>-2.9600005729787382E-3</v>
      </c>
      <c r="J844">
        <v>65533</v>
      </c>
      <c r="K844">
        <v>66536</v>
      </c>
      <c r="L844">
        <v>65533</v>
      </c>
      <c r="M844">
        <v>66278</v>
      </c>
      <c r="N844">
        <v>2679100</v>
      </c>
      <c r="O844">
        <v>66278</v>
      </c>
      <c r="P844">
        <v>1.14763605286452E-2</v>
      </c>
      <c r="Q844">
        <v>1.1411006644353501E-2</v>
      </c>
      <c r="R844" s="8">
        <v>26.291648864746101</v>
      </c>
      <c r="S844" s="8">
        <v>1.07732226960764E-2</v>
      </c>
      <c r="T844" s="9">
        <v>1.0715604982029401E-2</v>
      </c>
      <c r="U844" s="12">
        <v>4.1957000000000001E-2</v>
      </c>
      <c r="V844" s="16">
        <v>3.1036000000000001</v>
      </c>
      <c r="W844" s="17">
        <f t="shared" si="13"/>
        <v>-7.451469506539965E-3</v>
      </c>
    </row>
    <row r="845" spans="1:23" x14ac:dyDescent="0.2">
      <c r="A845" s="15">
        <v>42769</v>
      </c>
      <c r="B845" s="5">
        <v>74172099224995</v>
      </c>
      <c r="C845" s="5">
        <f>[1]!nefin_factors__1[[#This Row],[Rm_minus_Rf]]/B844-1</f>
        <v>-1.1685988444686295</v>
      </c>
      <c r="D845" s="5">
        <v>648710102306339</v>
      </c>
      <c r="E845" s="5">
        <f>[1]!nefin_factors__1[[#This Row],[SMB]]/D844-1</f>
        <v>1.270382674618749</v>
      </c>
      <c r="F845" s="5">
        <v>408147838141062</v>
      </c>
      <c r="G845" s="5">
        <f>[1]!nefin_factors__1[[#This Row],[HML]]/F844-1</f>
        <v>-1.6627597243832779</v>
      </c>
      <c r="H845" s="5">
        <v>47384936218875</v>
      </c>
      <c r="I845" s="6">
        <f>[1]!nefin_factors__1[[#This Row],[Risk_Free]]/H844-1</f>
        <v>-0.90014847876850368</v>
      </c>
      <c r="J845">
        <v>66284</v>
      </c>
      <c r="K845">
        <v>67528</v>
      </c>
      <c r="L845">
        <v>66284</v>
      </c>
      <c r="M845">
        <v>67350</v>
      </c>
      <c r="N845">
        <v>3174100</v>
      </c>
      <c r="O845">
        <v>67350</v>
      </c>
      <c r="P845">
        <v>1.61742961465343E-2</v>
      </c>
      <c r="Q845">
        <v>1.6044885768373301E-2</v>
      </c>
      <c r="R845" s="8">
        <v>26.547145843505898</v>
      </c>
      <c r="S845" s="8">
        <v>9.7178477480404108E-3</v>
      </c>
      <c r="T845" s="9">
        <v>9.6709331599609295E-3</v>
      </c>
      <c r="U845" s="12">
        <v>4.1957000000000001E-2</v>
      </c>
      <c r="V845" s="16">
        <v>3.0958000000000001</v>
      </c>
      <c r="W845" s="17">
        <f t="shared" si="13"/>
        <v>-2.5132104652662024E-3</v>
      </c>
    </row>
    <row r="846" spans="1:23" x14ac:dyDescent="0.2">
      <c r="A846" s="14">
        <v>42772</v>
      </c>
      <c r="B846" s="3">
        <v>-134008339548112</v>
      </c>
      <c r="C846" s="3">
        <f>[1]!nefin_factors__1[[#This Row],[Rm_minus_Rf]]/B845-1</f>
        <v>-2.8067216776703146</v>
      </c>
      <c r="D846" s="3">
        <v>127911797806675</v>
      </c>
      <c r="E846" s="3">
        <f>[1]!nefin_factors__1[[#This Row],[SMB]]/D845-1</f>
        <v>-0.80282132596376388</v>
      </c>
      <c r="F846" s="3">
        <v>430087563321135</v>
      </c>
      <c r="G846" s="3">
        <f>[1]!nefin_factors__1[[#This Row],[HML]]/F845-1</f>
        <v>5.3754358420710968E-2</v>
      </c>
      <c r="H846" s="3">
        <v>471382239201512</v>
      </c>
      <c r="I846" s="4">
        <f>[1]!nefin_factors__1[[#This Row],[Risk_Free]]/H845-1</f>
        <v>8.9479344453300058</v>
      </c>
      <c r="J846">
        <v>67355</v>
      </c>
      <c r="K846">
        <v>67709</v>
      </c>
      <c r="L846">
        <v>67191</v>
      </c>
      <c r="M846">
        <v>67538</v>
      </c>
      <c r="N846">
        <v>2872600</v>
      </c>
      <c r="O846">
        <v>67538</v>
      </c>
      <c r="P846">
        <v>2.7913882702301799E-3</v>
      </c>
      <c r="Q846">
        <v>2.78749958087299E-3</v>
      </c>
      <c r="R846" s="8">
        <v>25.961971282958999</v>
      </c>
      <c r="S846" s="8">
        <v>-2.2042911653163501E-2</v>
      </c>
      <c r="T846" s="9">
        <v>-2.2289486855915999E-2</v>
      </c>
      <c r="U846" s="12">
        <v>4.1957000000000001E-2</v>
      </c>
      <c r="V846" s="16">
        <v>3.1294</v>
      </c>
      <c r="W846" s="17">
        <f t="shared" si="13"/>
        <v>1.0853414303249487E-2</v>
      </c>
    </row>
    <row r="847" spans="1:23" x14ac:dyDescent="0.2">
      <c r="A847" s="15">
        <v>42773</v>
      </c>
      <c r="B847" s="5">
        <v>239945609984954</v>
      </c>
      <c r="C847" s="5">
        <f>[1]!nefin_factors__1[[#This Row],[Rm_minus_Rf]]/B846-1</f>
        <v>-2.7905274462326144</v>
      </c>
      <c r="D847" s="5">
        <v>-982556829707604</v>
      </c>
      <c r="E847" s="5">
        <f>[1]!nefin_factors__1[[#This Row],[SMB]]/D846-1</f>
        <v>-8.6815184099955616</v>
      </c>
      <c r="F847" s="5">
        <v>-761612247404881</v>
      </c>
      <c r="G847" s="5">
        <f>[1]!nefin_factors__1[[#This Row],[HML]]/F846-1</f>
        <v>-2.7708306688147717</v>
      </c>
      <c r="H847" s="5">
        <v>469971768724209</v>
      </c>
      <c r="I847" s="6">
        <f>[1]!nefin_factors__1[[#This Row],[Risk_Free]]/H846-1</f>
        <v>-2.9922011480369992E-3</v>
      </c>
      <c r="J847">
        <v>67536</v>
      </c>
      <c r="K847">
        <v>68429</v>
      </c>
      <c r="L847">
        <v>67536</v>
      </c>
      <c r="M847">
        <v>68222</v>
      </c>
      <c r="N847">
        <v>3822600</v>
      </c>
      <c r="O847">
        <v>68222</v>
      </c>
      <c r="P847">
        <v>1.01276318516983E-2</v>
      </c>
      <c r="Q847">
        <v>1.00766910393818E-2</v>
      </c>
      <c r="R847" s="8">
        <v>26.3658256530762</v>
      </c>
      <c r="S847" s="8">
        <v>1.5555606613665699E-2</v>
      </c>
      <c r="T847" s="9">
        <v>1.5435858405876499E-2</v>
      </c>
      <c r="U847" s="12">
        <v>4.1957000000000001E-2</v>
      </c>
      <c r="V847" s="16">
        <v>3.1453000000000002</v>
      </c>
      <c r="W847" s="17">
        <f t="shared" si="13"/>
        <v>5.0808461685947215E-3</v>
      </c>
    </row>
    <row r="848" spans="1:23" x14ac:dyDescent="0.2">
      <c r="A848" s="14">
        <v>42774</v>
      </c>
      <c r="B848" s="3">
        <v>925314884246708</v>
      </c>
      <c r="C848" s="3">
        <f>[1]!nefin_factors__1[[#This Row],[Rm_minus_Rf]]/B847-1</f>
        <v>2.8563526305179354</v>
      </c>
      <c r="D848" s="3">
        <v>-333869252947801</v>
      </c>
      <c r="E848" s="3">
        <f>[1]!nefin_factors__1[[#This Row],[SMB]]/D847-1</f>
        <v>-0.66020362094764928</v>
      </c>
      <c r="F848" s="3">
        <v>-146724110460517</v>
      </c>
      <c r="G848" s="3">
        <f>[1]!nefin_factors__1[[#This Row],[HML]]/F847-1</f>
        <v>-0.80735064206167251</v>
      </c>
      <c r="H848" s="3">
        <v>468207978462143</v>
      </c>
      <c r="I848" s="4">
        <f>[1]!nefin_factors__1[[#This Row],[Risk_Free]]/H847-1</f>
        <v>-3.7529706664168883E-3</v>
      </c>
      <c r="J848">
        <v>68227</v>
      </c>
      <c r="K848">
        <v>68593</v>
      </c>
      <c r="L848">
        <v>68081</v>
      </c>
      <c r="M848">
        <v>68474</v>
      </c>
      <c r="N848">
        <v>3290300</v>
      </c>
      <c r="O848">
        <v>68474</v>
      </c>
      <c r="P848">
        <v>3.69382310691568E-3</v>
      </c>
      <c r="Q848">
        <v>3.6870176958510299E-3</v>
      </c>
      <c r="R848" s="8">
        <v>25.879552841186499</v>
      </c>
      <c r="S848" s="8">
        <v>-1.8443335239701798E-2</v>
      </c>
      <c r="T848" s="9">
        <v>-1.8615534114675699E-2</v>
      </c>
      <c r="U848" s="12">
        <v>4.1957000000000001E-2</v>
      </c>
      <c r="V848" s="16">
        <v>3.1251000000000002</v>
      </c>
      <c r="W848" s="17">
        <f t="shared" si="13"/>
        <v>-6.4222808635105988E-3</v>
      </c>
    </row>
    <row r="849" spans="1:23" x14ac:dyDescent="0.2">
      <c r="A849" s="15">
        <v>42775</v>
      </c>
      <c r="B849" s="5">
        <v>121248572418259</v>
      </c>
      <c r="C849" s="5">
        <f>[1]!nefin_factors__1[[#This Row],[Rm_minus_Rf]]/B848-1</f>
        <v>-0.86896506855937306</v>
      </c>
      <c r="D849" s="5">
        <v>956446823479653</v>
      </c>
      <c r="E849" s="5">
        <f>[1]!nefin_factors__1[[#This Row],[SMB]]/D848-1</f>
        <v>-3.8647346679425714</v>
      </c>
      <c r="F849" s="5">
        <v>725741419707729</v>
      </c>
      <c r="G849" s="5">
        <f>[1]!nefin_factors__1[[#This Row],[HML]]/F848-1</f>
        <v>-5.9462996737882676</v>
      </c>
      <c r="H849" s="5">
        <v>467149329550498</v>
      </c>
      <c r="I849" s="6">
        <f>[1]!nefin_factors__1[[#This Row],[Risk_Free]]/H848-1</f>
        <v>-2.2610655100799848E-3</v>
      </c>
      <c r="J849">
        <v>68473</v>
      </c>
      <c r="K849">
        <v>68792</v>
      </c>
      <c r="L849">
        <v>68124</v>
      </c>
      <c r="M849">
        <v>68684</v>
      </c>
      <c r="N849">
        <v>3672400</v>
      </c>
      <c r="O849">
        <v>68684</v>
      </c>
      <c r="P849">
        <v>3.06685749335522E-3</v>
      </c>
      <c r="Q849">
        <v>3.0621642790774999E-3</v>
      </c>
      <c r="R849" s="8">
        <v>26.942756652831999</v>
      </c>
      <c r="S849" s="8">
        <v>4.1082810321531903E-2</v>
      </c>
      <c r="T849" s="9">
        <v>4.0261335288907699E-2</v>
      </c>
      <c r="U849" s="12">
        <v>4.1957000000000001E-2</v>
      </c>
      <c r="V849" s="16">
        <v>3.1577000000000002</v>
      </c>
      <c r="W849" s="17">
        <f t="shared" si="13"/>
        <v>1.043166618668212E-2</v>
      </c>
    </row>
    <row r="850" spans="1:23" x14ac:dyDescent="0.2">
      <c r="A850" s="14">
        <v>42776</v>
      </c>
      <c r="B850" s="3">
        <v>161315732840861</v>
      </c>
      <c r="C850" s="3">
        <f>[1]!nefin_factors__1[[#This Row],[Rm_minus_Rf]]/B849-1</f>
        <v>0.33045469833975738</v>
      </c>
      <c r="D850" s="3">
        <v>72516882545416</v>
      </c>
      <c r="E850" s="3">
        <f>[1]!nefin_factors__1[[#This Row],[SMB]]/D849-1</f>
        <v>-0.92418095730446148</v>
      </c>
      <c r="F850" s="3">
        <v>123941015471485</v>
      </c>
      <c r="G850" s="3">
        <f>[1]!nefin_factors__1[[#This Row],[HML]]/F849-1</f>
        <v>-0.82922152145953221</v>
      </c>
      <c r="H850" s="3">
        <v>466443407369788</v>
      </c>
      <c r="I850" s="4">
        <f>[1]!nefin_factors__1[[#This Row],[Risk_Free]]/H849-1</f>
        <v>-1.5111274619387105E-3</v>
      </c>
      <c r="J850">
        <v>68674</v>
      </c>
      <c r="K850">
        <v>68674</v>
      </c>
      <c r="L850">
        <v>67163</v>
      </c>
      <c r="M850">
        <v>67540</v>
      </c>
      <c r="N850">
        <v>3317200</v>
      </c>
      <c r="O850">
        <v>67540</v>
      </c>
      <c r="P850">
        <v>-1.66559897501601E-2</v>
      </c>
      <c r="Q850">
        <v>-1.6796260494134501E-2</v>
      </c>
      <c r="R850" s="8">
        <v>26.835613250732401</v>
      </c>
      <c r="S850" s="8">
        <v>-3.9767362670521901E-3</v>
      </c>
      <c r="T850" s="9">
        <v>-3.9846645087188897E-3</v>
      </c>
      <c r="U850" s="12">
        <v>4.1957000000000001E-2</v>
      </c>
      <c r="V850" s="16">
        <v>3.1846999999999999</v>
      </c>
      <c r="W850" s="17">
        <f t="shared" si="13"/>
        <v>8.5505272825157075E-3</v>
      </c>
    </row>
    <row r="851" spans="1:23" x14ac:dyDescent="0.2">
      <c r="A851" s="15">
        <v>42779</v>
      </c>
      <c r="B851" s="5">
        <v>983772235760405</v>
      </c>
      <c r="C851" s="5">
        <f>[1]!nefin_factors__1[[#This Row],[Rm_minus_Rf]]/B850-1</f>
        <v>5.0984270934745251</v>
      </c>
      <c r="D851" s="5">
        <v>426873956060961</v>
      </c>
      <c r="E851" s="5">
        <f>[1]!nefin_factors__1[[#This Row],[SMB]]/D850-1</f>
        <v>4.8865458783838047</v>
      </c>
      <c r="F851" s="5">
        <v>655886861428664</v>
      </c>
      <c r="G851" s="5">
        <f>[1]!nefin_factors__1[[#This Row],[HML]]/F850-1</f>
        <v>4.291927445757965</v>
      </c>
      <c r="H851" s="5">
        <v>46432489038728</v>
      </c>
      <c r="I851" s="6">
        <f>[1]!nefin_factors__1[[#This Row],[Risk_Free]]/H850-1</f>
        <v>-0.90045418521283305</v>
      </c>
      <c r="J851">
        <v>67536</v>
      </c>
      <c r="K851">
        <v>67536</v>
      </c>
      <c r="L851">
        <v>60315</v>
      </c>
      <c r="M851">
        <v>61597</v>
      </c>
      <c r="N851">
        <v>11046700</v>
      </c>
      <c r="O851">
        <v>61597</v>
      </c>
      <c r="P851">
        <v>-8.7992300858750302E-2</v>
      </c>
      <c r="Q851">
        <v>-9.2106846902595504E-2</v>
      </c>
      <c r="R851" s="8">
        <v>24.321834564208999</v>
      </c>
      <c r="S851" s="8">
        <v>-9.3673160275853595E-2</v>
      </c>
      <c r="T851" s="9">
        <v>-9.8355287746480793E-2</v>
      </c>
      <c r="U851" s="12">
        <v>4.1957000000000001E-2</v>
      </c>
      <c r="V851" s="16">
        <v>3.1762999999999999</v>
      </c>
      <c r="W851" s="17">
        <f t="shared" si="13"/>
        <v>-2.6376110779665618E-3</v>
      </c>
    </row>
    <row r="852" spans="1:23" x14ac:dyDescent="0.2">
      <c r="A852" s="14">
        <v>42780</v>
      </c>
      <c r="B852" s="3">
        <v>-327305240123288</v>
      </c>
      <c r="C852" s="3">
        <f>[1]!nefin_factors__1[[#This Row],[Rm_minus_Rf]]/B851-1</f>
        <v>-1.332704286851822</v>
      </c>
      <c r="D852" s="3">
        <v>731944299206372</v>
      </c>
      <c r="E852" s="3">
        <f>[1]!nefin_factors__1[[#This Row],[SMB]]/D851-1</f>
        <v>0.71466140956569513</v>
      </c>
      <c r="F852" s="3">
        <v>-453417930176095</v>
      </c>
      <c r="G852" s="3">
        <f>[1]!nefin_factors__1[[#This Row],[HML]]/F851-1</f>
        <v>-1.6913050967181325</v>
      </c>
      <c r="H852" s="3">
        <v>46291191992176</v>
      </c>
      <c r="I852" s="4">
        <f>[1]!nefin_factors__1[[#This Row],[Risk_Free]]/H851-1</f>
        <v>-3.0430642310419476E-3</v>
      </c>
      <c r="J852">
        <v>61597</v>
      </c>
      <c r="K852">
        <v>63488</v>
      </c>
      <c r="L852">
        <v>61597</v>
      </c>
      <c r="M852">
        <v>62639</v>
      </c>
      <c r="N852">
        <v>6120800</v>
      </c>
      <c r="O852">
        <v>62639</v>
      </c>
      <c r="P852">
        <v>1.6916408266636401E-2</v>
      </c>
      <c r="Q852">
        <v>1.6774919260189699E-2</v>
      </c>
      <c r="R852" s="8">
        <v>24.272382736206101</v>
      </c>
      <c r="S852" s="8">
        <v>-2.0332878310866899E-3</v>
      </c>
      <c r="T852" s="9">
        <v>-2.0353577671151498E-3</v>
      </c>
      <c r="U852" s="12">
        <v>4.1957000000000001E-2</v>
      </c>
      <c r="V852" s="16">
        <v>3.1983999999999999</v>
      </c>
      <c r="W852" s="17">
        <f t="shared" si="13"/>
        <v>6.9577810660201855E-3</v>
      </c>
    </row>
    <row r="853" spans="1:23" x14ac:dyDescent="0.2">
      <c r="A853" s="15">
        <v>42781</v>
      </c>
      <c r="B853" s="5">
        <v>18440377565938</v>
      </c>
      <c r="C853" s="5">
        <f>[1]!nefin_factors__1[[#This Row],[Rm_minus_Rf]]/B852-1</f>
        <v>-1.0563400010308175</v>
      </c>
      <c r="D853" s="5">
        <v>-2520642922.3888898</v>
      </c>
      <c r="E853" s="5">
        <f>[1]!nefin_factors__1[[#This Row],[SMB]]/D852-1</f>
        <v>-1.0000034437633099</v>
      </c>
      <c r="F853" s="5">
        <v>-120912038721146</v>
      </c>
      <c r="G853" s="5">
        <f>[1]!nefin_factors__1[[#This Row],[HML]]/F852-1</f>
        <v>-0.7333320306186677</v>
      </c>
      <c r="H853" s="5">
        <v>461145002177199</v>
      </c>
      <c r="I853" s="6">
        <f>[1]!nefin_factors__1[[#This Row],[Risk_Free]]/H852-1</f>
        <v>8.9618303684022731</v>
      </c>
      <c r="J853">
        <v>62638</v>
      </c>
      <c r="K853">
        <v>62638</v>
      </c>
      <c r="L853">
        <v>60925</v>
      </c>
      <c r="M853">
        <v>61673</v>
      </c>
      <c r="N853">
        <v>5815800</v>
      </c>
      <c r="O853">
        <v>61673</v>
      </c>
      <c r="P853">
        <v>-1.5421702134452899E-2</v>
      </c>
      <c r="Q853">
        <v>-1.55418534756593E-2</v>
      </c>
      <c r="R853" s="8">
        <v>23.036098480224599</v>
      </c>
      <c r="S853" s="8">
        <v>-5.093366788255E-2</v>
      </c>
      <c r="T853" s="9">
        <v>-5.2276585957715303E-2</v>
      </c>
      <c r="U853" s="12">
        <v>4.1957000000000001E-2</v>
      </c>
      <c r="V853" s="16">
        <v>3.1724000000000001</v>
      </c>
      <c r="W853" s="17">
        <f t="shared" si="13"/>
        <v>-8.1290645322660282E-3</v>
      </c>
    </row>
    <row r="854" spans="1:23" x14ac:dyDescent="0.2">
      <c r="A854" s="14">
        <v>42782</v>
      </c>
      <c r="B854" s="3">
        <v>-165175133673452</v>
      </c>
      <c r="C854" s="3">
        <f>[1]!nefin_factors__1[[#This Row],[Rm_minus_Rf]]/B853-1</f>
        <v>-9.9572533470547793</v>
      </c>
      <c r="D854" s="3">
        <v>876985011758512</v>
      </c>
      <c r="E854" s="3">
        <f>[1]!nefin_factors__1[[#This Row],[SMB]]/D853-1</f>
        <v>-347922.16089468426</v>
      </c>
      <c r="F854" s="3">
        <v>323176640351928</v>
      </c>
      <c r="G854" s="3">
        <f>[1]!nefin_factors__1[[#This Row],[HML]]/F853-1</f>
        <v>-3.6728243421422722</v>
      </c>
      <c r="H854" s="3">
        <v>460084475443434</v>
      </c>
      <c r="I854" s="4">
        <f>[1]!nefin_factors__1[[#This Row],[Risk_Free]]/H853-1</f>
        <v>-2.2997684649251893E-3</v>
      </c>
      <c r="J854">
        <v>61670</v>
      </c>
      <c r="K854">
        <v>62775</v>
      </c>
      <c r="L854">
        <v>61670</v>
      </c>
      <c r="M854">
        <v>62662</v>
      </c>
      <c r="N854">
        <v>4753500</v>
      </c>
      <c r="O854">
        <v>62662</v>
      </c>
      <c r="P854">
        <v>1.6036190877693601E-2</v>
      </c>
      <c r="Q854">
        <v>1.5908969464491201E-2</v>
      </c>
      <c r="R854" s="8">
        <v>23.687208175659201</v>
      </c>
      <c r="S854" s="8">
        <v>2.82648048504213E-2</v>
      </c>
      <c r="T854" s="9">
        <v>2.78727261287284E-2</v>
      </c>
      <c r="U854" s="12">
        <v>4.1957000000000001E-2</v>
      </c>
      <c r="V854" s="16">
        <v>3.1488999999999998</v>
      </c>
      <c r="W854" s="17">
        <f t="shared" si="13"/>
        <v>-7.4076409027866719E-3</v>
      </c>
    </row>
    <row r="855" spans="1:23" x14ac:dyDescent="0.2">
      <c r="A855" s="15">
        <v>42783</v>
      </c>
      <c r="B855" s="5">
        <v>-140684336842027</v>
      </c>
      <c r="C855" s="5">
        <f>[1]!nefin_factors__1[[#This Row],[Rm_minus_Rf]]/B854-1</f>
        <v>-0.14827169372747606</v>
      </c>
      <c r="D855" s="5">
        <v>936049040678411</v>
      </c>
      <c r="E855" s="5">
        <f>[1]!nefin_factors__1[[#This Row],[SMB]]/D854-1</f>
        <v>6.7348960504427513E-2</v>
      </c>
      <c r="F855" s="5">
        <v>462164772217212</v>
      </c>
      <c r="G855" s="5">
        <f>[1]!nefin_factors__1[[#This Row],[HML]]/F854-1</f>
        <v>0.43006862041121163</v>
      </c>
      <c r="H855" s="5">
        <v>459023666460334</v>
      </c>
      <c r="I855" s="6">
        <f>[1]!nefin_factors__1[[#This Row],[Risk_Free]]/H854-1</f>
        <v>-2.3056830641320358E-3</v>
      </c>
      <c r="J855">
        <v>62673</v>
      </c>
      <c r="K855">
        <v>64016</v>
      </c>
      <c r="L855">
        <v>62673</v>
      </c>
      <c r="M855">
        <v>63257</v>
      </c>
      <c r="N855">
        <v>4181200</v>
      </c>
      <c r="O855">
        <v>63257</v>
      </c>
      <c r="P855">
        <v>9.4953879544221707E-3</v>
      </c>
      <c r="Q855">
        <v>9.4505901168539398E-3</v>
      </c>
      <c r="R855" s="8">
        <v>24.511398315429702</v>
      </c>
      <c r="S855" s="8">
        <v>3.4794624558457797E-2</v>
      </c>
      <c r="T855" s="9">
        <v>3.4202976649118498E-2</v>
      </c>
      <c r="U855" s="12">
        <v>4.1957000000000001E-2</v>
      </c>
      <c r="V855" s="16">
        <v>3.1779999999999999</v>
      </c>
      <c r="W855" s="17">
        <f t="shared" si="13"/>
        <v>9.2413223665406274E-3</v>
      </c>
    </row>
    <row r="856" spans="1:23" x14ac:dyDescent="0.2">
      <c r="A856" s="14">
        <v>42786</v>
      </c>
      <c r="B856" s="3">
        <v>962369043527212</v>
      </c>
      <c r="C856" s="3">
        <f>[1]!nefin_factors__1[[#This Row],[Rm_minus_Rf]]/B855-1</f>
        <v>-7.8406267899449693</v>
      </c>
      <c r="D856" s="3">
        <v>494233644826187</v>
      </c>
      <c r="E856" s="3">
        <f>[1]!nefin_factors__1[[#This Row],[SMB]]/D855-1</f>
        <v>-0.47200026563994324</v>
      </c>
      <c r="F856" s="3">
        <v>994625561211211</v>
      </c>
      <c r="G856" s="3">
        <f>[1]!nefin_factors__1[[#This Row],[HML]]/F855-1</f>
        <v>1.1521016334489222</v>
      </c>
      <c r="H856" s="3">
        <v>457255023859071</v>
      </c>
      <c r="I856" s="4">
        <f>[1]!nefin_factors__1[[#This Row],[Risk_Free]]/H855-1</f>
        <v>-3.8530531876526108E-3</v>
      </c>
      <c r="J856">
        <v>63256</v>
      </c>
      <c r="K856">
        <v>63991</v>
      </c>
      <c r="L856">
        <v>62762</v>
      </c>
      <c r="M856">
        <v>63227</v>
      </c>
      <c r="N856">
        <v>4001000</v>
      </c>
      <c r="O856">
        <v>63227</v>
      </c>
      <c r="P856">
        <v>-4.7425581358584402E-4</v>
      </c>
      <c r="Q856">
        <v>-4.7436830844317001E-4</v>
      </c>
      <c r="R856" s="8">
        <v>24.585575103759801</v>
      </c>
      <c r="S856" s="8">
        <v>3.0262647030521199E-3</v>
      </c>
      <c r="T856" s="9">
        <v>3.02169478156564E-3</v>
      </c>
      <c r="U856" s="12">
        <v>4.1957000000000001E-2</v>
      </c>
      <c r="V856" s="16">
        <v>3.1764000000000001</v>
      </c>
      <c r="W856" s="17">
        <f t="shared" si="13"/>
        <v>-5.0346129641276605E-4</v>
      </c>
    </row>
    <row r="857" spans="1:23" x14ac:dyDescent="0.2">
      <c r="A857" s="15">
        <v>42787</v>
      </c>
      <c r="B857" s="5">
        <v>785978642480349</v>
      </c>
      <c r="C857" s="5">
        <f>[1]!nefin_factors__1[[#This Row],[Rm_minus_Rf]]/B856-1</f>
        <v>-0.18328769221458796</v>
      </c>
      <c r="D857" s="5">
        <v>-513916116888124</v>
      </c>
      <c r="E857" s="5">
        <f>[1]!nefin_factors__1[[#This Row],[SMB]]/D856-1</f>
        <v>-2.0398242253800003</v>
      </c>
      <c r="F857" s="5">
        <v>313202452262491</v>
      </c>
      <c r="G857" s="5">
        <f>[1]!nefin_factors__1[[#This Row],[HML]]/F856-1</f>
        <v>-0.68510516472039296</v>
      </c>
      <c r="H857" s="5">
        <v>455485596115857</v>
      </c>
      <c r="I857" s="6">
        <f>[1]!nefin_factors__1[[#This Row],[Risk_Free]]/H856-1</f>
        <v>-3.8696737069844334E-3</v>
      </c>
      <c r="J857">
        <v>63228</v>
      </c>
      <c r="K857">
        <v>64170</v>
      </c>
      <c r="L857">
        <v>63228</v>
      </c>
      <c r="M857">
        <v>64085</v>
      </c>
      <c r="N857">
        <v>3849400</v>
      </c>
      <c r="O857">
        <v>64085</v>
      </c>
      <c r="P857">
        <v>1.35701519920288E-2</v>
      </c>
      <c r="Q857">
        <v>1.34789020695291E-2</v>
      </c>
      <c r="R857" s="8">
        <v>25.632295608520501</v>
      </c>
      <c r="S857" s="8">
        <v>4.2574459842477097E-2</v>
      </c>
      <c r="T857" s="9">
        <v>4.1693096449555503E-2</v>
      </c>
      <c r="U857" s="12">
        <v>4.1957000000000001E-2</v>
      </c>
      <c r="V857" s="16">
        <v>3.1938</v>
      </c>
      <c r="W857" s="17">
        <f t="shared" si="13"/>
        <v>5.4778995088780036E-3</v>
      </c>
    </row>
    <row r="858" spans="1:23" x14ac:dyDescent="0.2">
      <c r="A858" s="14">
        <v>42788</v>
      </c>
      <c r="B858" s="3">
        <v>-560740073943955</v>
      </c>
      <c r="C858" s="3">
        <f>[1]!nefin_factors__1[[#This Row],[Rm_minus_Rf]]/B857-1</f>
        <v>-1.7134291488817071</v>
      </c>
      <c r="D858" s="3">
        <v>-643272322824082</v>
      </c>
      <c r="E858" s="3">
        <f>[1]!nefin_factors__1[[#This Row],[SMB]]/D857-1</f>
        <v>0.25170684803434162</v>
      </c>
      <c r="F858" s="3">
        <v>-12241584168973</v>
      </c>
      <c r="G858" s="3">
        <f>[1]!nefin_factors__1[[#This Row],[HML]]/F857-1</f>
        <v>-1.0390852117553457</v>
      </c>
      <c r="H858" s="3">
        <v>454423562311179</v>
      </c>
      <c r="I858" s="4">
        <f>[1]!nefin_factors__1[[#This Row],[Risk_Free]]/H857-1</f>
        <v>-2.3316517881892818E-3</v>
      </c>
      <c r="J858">
        <v>64055</v>
      </c>
      <c r="K858">
        <v>64055</v>
      </c>
      <c r="L858">
        <v>63531</v>
      </c>
      <c r="M858">
        <v>63761</v>
      </c>
      <c r="N858">
        <v>1646300</v>
      </c>
      <c r="O858">
        <v>63761</v>
      </c>
      <c r="P858">
        <v>-5.0557852851681497E-3</v>
      </c>
      <c r="Q858">
        <v>-5.0686090085138398E-3</v>
      </c>
      <c r="R858" s="8">
        <v>25.632295608520501</v>
      </c>
      <c r="S858" s="8">
        <v>0</v>
      </c>
      <c r="T858" s="9">
        <v>0</v>
      </c>
      <c r="U858" s="12">
        <v>4.1957000000000001E-2</v>
      </c>
      <c r="V858" s="16">
        <v>3.1857000000000002</v>
      </c>
      <c r="W858" s="17">
        <f t="shared" si="13"/>
        <v>-2.5361638173961865E-3</v>
      </c>
    </row>
    <row r="859" spans="1:23" x14ac:dyDescent="0.2">
      <c r="A859" s="15">
        <v>42789</v>
      </c>
      <c r="B859" s="5">
        <v>-147191430697868</v>
      </c>
      <c r="C859" s="5">
        <f>[1]!nefin_factors__1[[#This Row],[Rm_minus_Rf]]/B858-1</f>
        <v>-0.73750506243900182</v>
      </c>
      <c r="D859" s="5">
        <v>-3462291605197</v>
      </c>
      <c r="E859" s="5">
        <f>[1]!nefin_factors__1[[#This Row],[SMB]]/D858-1</f>
        <v>-0.99461768914602622</v>
      </c>
      <c r="F859" s="5">
        <v>-219321295745858</v>
      </c>
      <c r="G859" s="5">
        <f>[1]!nefin_factors__1[[#This Row],[HML]]/F858-1</f>
        <v>16.916087715325315</v>
      </c>
      <c r="H859" s="5">
        <v>454423562311179</v>
      </c>
      <c r="I859" s="6">
        <f>[1]!nefin_factors__1[[#This Row],[Risk_Free]]/H858-1</f>
        <v>0</v>
      </c>
      <c r="J859">
        <v>63765</v>
      </c>
      <c r="K859">
        <v>64107</v>
      </c>
      <c r="L859">
        <v>63720</v>
      </c>
      <c r="M859">
        <v>63962</v>
      </c>
      <c r="N859">
        <v>2235300</v>
      </c>
      <c r="O859">
        <v>63962</v>
      </c>
      <c r="P859">
        <v>3.1523972334186498E-3</v>
      </c>
      <c r="Q859">
        <v>3.14743884706276E-3</v>
      </c>
      <c r="R859" s="8">
        <v>25.426248550415</v>
      </c>
      <c r="S859" s="8">
        <v>-8.0384902626783293E-3</v>
      </c>
      <c r="T859" s="9">
        <v>-8.0709731180521604E-3</v>
      </c>
      <c r="U859" s="12">
        <v>4.1957000000000001E-2</v>
      </c>
      <c r="V859" s="16">
        <v>3.1606000000000001</v>
      </c>
      <c r="W859" s="17">
        <f t="shared" si="13"/>
        <v>-7.8789590984713609E-3</v>
      </c>
    </row>
    <row r="860" spans="1:23" x14ac:dyDescent="0.2">
      <c r="A860" s="14">
        <v>42790</v>
      </c>
      <c r="B860" s="3">
        <v>-112534947841809</v>
      </c>
      <c r="C860" s="3">
        <f>[1]!nefin_factors__1[[#This Row],[Rm_minus_Rf]]/B859-1</f>
        <v>-0.23545176979220017</v>
      </c>
      <c r="D860" s="3">
        <v>226642115689063</v>
      </c>
      <c r="E860" s="3">
        <f>[1]!nefin_factors__1[[#This Row],[SMB]]/D859-1</f>
        <v>-66.460146496287777</v>
      </c>
      <c r="F860" s="3">
        <v>849485008829011</v>
      </c>
      <c r="G860" s="3">
        <f>[1]!nefin_factors__1[[#This Row],[HML]]/F859-1</f>
        <v>-4.8732445289460866</v>
      </c>
      <c r="H860" s="3">
        <v>454423562311179</v>
      </c>
      <c r="I860" s="4">
        <f>[1]!nefin_factors__1[[#This Row],[Risk_Free]]/H859-1</f>
        <v>0</v>
      </c>
      <c r="J860">
        <v>63961</v>
      </c>
      <c r="K860">
        <v>63984</v>
      </c>
      <c r="L860">
        <v>62673</v>
      </c>
      <c r="M860">
        <v>62711</v>
      </c>
      <c r="N860">
        <v>4535100</v>
      </c>
      <c r="O860">
        <v>62711</v>
      </c>
      <c r="P860">
        <v>-1.9558487852162201E-2</v>
      </c>
      <c r="Q860">
        <v>-1.9752286172520801E-2</v>
      </c>
      <c r="R860" s="8">
        <v>24.7256870269775</v>
      </c>
      <c r="S860" s="8">
        <v>-2.7552792288731899E-2</v>
      </c>
      <c r="T860" s="9">
        <v>-2.79394900928281E-2</v>
      </c>
      <c r="U860" s="12">
        <v>4.1957000000000001E-2</v>
      </c>
      <c r="V860" s="16">
        <v>3.1558999999999999</v>
      </c>
      <c r="W860" s="17">
        <f t="shared" si="13"/>
        <v>-1.4870594190976583E-3</v>
      </c>
    </row>
    <row r="861" spans="1:23" x14ac:dyDescent="0.2">
      <c r="A861" s="15">
        <v>42795</v>
      </c>
      <c r="B861" s="5">
        <v>489561755944789</v>
      </c>
      <c r="C861" s="5">
        <f>[1]!nefin_factors__1[[#This Row],[Rm_minus_Rf]]/B860-1</f>
        <v>-5.3503086404142532</v>
      </c>
      <c r="D861" s="5">
        <v>193502022149143</v>
      </c>
      <c r="E861" s="5">
        <f>[1]!nefin_factors__1[[#This Row],[SMB]]/D860-1</f>
        <v>-0.1462221328068869</v>
      </c>
      <c r="F861" s="5">
        <v>352803491799912</v>
      </c>
      <c r="G861" s="5">
        <f>[1]!nefin_factors__1[[#This Row],[HML]]/F860-1</f>
        <v>-0.58468544102238984</v>
      </c>
      <c r="H861" s="5">
        <v>454423562311179</v>
      </c>
      <c r="I861" s="6">
        <f>[1]!nefin_factors__1[[#This Row],[Risk_Free]]/H860-1</f>
        <v>0</v>
      </c>
      <c r="J861">
        <v>62711</v>
      </c>
      <c r="K861">
        <v>63293</v>
      </c>
      <c r="L861">
        <v>62165</v>
      </c>
      <c r="M861">
        <v>62289</v>
      </c>
      <c r="N861">
        <v>3370200</v>
      </c>
      <c r="O861">
        <v>62289</v>
      </c>
      <c r="P861">
        <v>-6.7292819441565604E-3</v>
      </c>
      <c r="Q861">
        <v>-6.7520256518696998E-3</v>
      </c>
      <c r="R861" s="8">
        <v>24.602058410644499</v>
      </c>
      <c r="S861" s="8">
        <v>-4.99987779324496E-3</v>
      </c>
      <c r="T861" s="9">
        <v>-5.0124190026924796E-3</v>
      </c>
      <c r="U861" s="12">
        <v>4.1957000000000001E-2</v>
      </c>
      <c r="V861" s="16">
        <v>3.129</v>
      </c>
      <c r="W861" s="17">
        <f t="shared" si="13"/>
        <v>-8.5237174815424588E-3</v>
      </c>
    </row>
    <row r="862" spans="1:23" x14ac:dyDescent="0.2">
      <c r="A862" s="14">
        <v>42796</v>
      </c>
      <c r="B862" s="3">
        <v>-164738324592424</v>
      </c>
      <c r="C862" s="3">
        <f>[1]!nefin_factors__1[[#This Row],[Rm_minus_Rf]]/B861-1</f>
        <v>-1.3365016212806513</v>
      </c>
      <c r="D862" s="3">
        <v>-627205131194309</v>
      </c>
      <c r="E862" s="3">
        <f>[1]!nefin_factors__1[[#This Row],[SMB]]/D861-1</f>
        <v>-4.2413363138442364</v>
      </c>
      <c r="F862" s="3">
        <v>249205256189962</v>
      </c>
      <c r="G862" s="3">
        <f>[1]!nefin_factors__1[[#This Row],[HML]]/F861-1</f>
        <v>-0.29364288624644452</v>
      </c>
      <c r="H862" s="3">
        <v>454423562311179</v>
      </c>
      <c r="I862" s="4">
        <f>[1]!nefin_factors__1[[#This Row],[Risk_Free]]/H861-1</f>
        <v>0</v>
      </c>
      <c r="J862">
        <v>62289</v>
      </c>
      <c r="K862">
        <v>62773</v>
      </c>
      <c r="L862">
        <v>62161</v>
      </c>
      <c r="M862">
        <v>62511</v>
      </c>
      <c r="N862">
        <v>2874500</v>
      </c>
      <c r="O862">
        <v>62511</v>
      </c>
      <c r="P862">
        <v>3.5640321726146998E-3</v>
      </c>
      <c r="Q862">
        <v>3.5576960602270902E-3</v>
      </c>
      <c r="R862" s="8">
        <v>25.261411666870099</v>
      </c>
      <c r="S862" s="8">
        <v>2.6800700643231399E-2</v>
      </c>
      <c r="T862" s="9">
        <v>2.6447852370703701E-2</v>
      </c>
      <c r="U862" s="12">
        <v>4.1957000000000001E-2</v>
      </c>
      <c r="V862" s="16">
        <v>3.1011000000000002</v>
      </c>
      <c r="W862" s="17">
        <f t="shared" si="13"/>
        <v>-8.916586768935697E-3</v>
      </c>
    </row>
    <row r="863" spans="1:23" x14ac:dyDescent="0.2">
      <c r="A863" s="15">
        <v>42797</v>
      </c>
      <c r="B863" s="5">
        <v>132249981726436</v>
      </c>
      <c r="C863" s="5">
        <f>[1]!nefin_factors__1[[#This Row],[Rm_minus_Rf]]/B862-1</f>
        <v>-1.8027881918408069</v>
      </c>
      <c r="D863" s="5">
        <v>-63950905472129</v>
      </c>
      <c r="E863" s="5">
        <f>[1]!nefin_factors__1[[#This Row],[SMB]]/D862-1</f>
        <v>-0.89803829354782982</v>
      </c>
      <c r="F863" s="5">
        <v>933133802809794</v>
      </c>
      <c r="G863" s="5">
        <f>[1]!nefin_factors__1[[#This Row],[HML]]/F862-1</f>
        <v>2.7444386891201562</v>
      </c>
      <c r="H863" s="5">
        <v>454423562311179</v>
      </c>
      <c r="I863" s="6">
        <f>[1]!nefin_factors__1[[#This Row],[Risk_Free]]/H862-1</f>
        <v>0</v>
      </c>
      <c r="J863">
        <v>62503</v>
      </c>
      <c r="K863">
        <v>62800</v>
      </c>
      <c r="L863">
        <v>62010</v>
      </c>
      <c r="M863">
        <v>62450</v>
      </c>
      <c r="N863">
        <v>2421700</v>
      </c>
      <c r="O863">
        <v>62450</v>
      </c>
      <c r="P863">
        <v>-9.7582825422726205E-4</v>
      </c>
      <c r="Q863">
        <v>-9.7630468458615696E-4</v>
      </c>
      <c r="R863" s="8">
        <v>25.418006896972699</v>
      </c>
      <c r="S863" s="8">
        <v>6.1989255237049302E-3</v>
      </c>
      <c r="T863" s="9">
        <v>6.1797912189205497E-3</v>
      </c>
      <c r="U863" s="12">
        <v>4.1957000000000001E-2</v>
      </c>
      <c r="V863" s="16">
        <v>3.0924</v>
      </c>
      <c r="W863" s="17">
        <f t="shared" si="13"/>
        <v>-2.805456128470607E-3</v>
      </c>
    </row>
    <row r="864" spans="1:23" x14ac:dyDescent="0.2">
      <c r="A864" s="14">
        <v>42800</v>
      </c>
      <c r="B864" s="3">
        <v>-563367385368548</v>
      </c>
      <c r="C864" s="3">
        <f>[1]!nefin_factors__1[[#This Row],[Rm_minus_Rf]]/B863-1</f>
        <v>-5.259867396684367</v>
      </c>
      <c r="D864" s="3">
        <v>268612443017738</v>
      </c>
      <c r="E864" s="3">
        <f>[1]!nefin_factors__1[[#This Row],[SMB]]/D863-1</f>
        <v>-5.2002914741340813</v>
      </c>
      <c r="F864" s="3">
        <v>886602053928935</v>
      </c>
      <c r="G864" s="3">
        <f>[1]!nefin_factors__1[[#This Row],[HML]]/F863-1</f>
        <v>-4.9866105740404509E-2</v>
      </c>
      <c r="H864" s="3">
        <v>453007076906653</v>
      </c>
      <c r="I864" s="4">
        <f>[1]!nefin_factors__1[[#This Row],[Risk_Free]]/H863-1</f>
        <v>-3.1171037815949099E-3</v>
      </c>
      <c r="J864">
        <v>62450</v>
      </c>
      <c r="K864">
        <v>63302</v>
      </c>
      <c r="L864">
        <v>62426</v>
      </c>
      <c r="M864">
        <v>62955</v>
      </c>
      <c r="N864">
        <v>2993300</v>
      </c>
      <c r="O864">
        <v>62955</v>
      </c>
      <c r="P864">
        <v>8.0864691753401701E-3</v>
      </c>
      <c r="Q864">
        <v>8.0539488820771006E-3</v>
      </c>
      <c r="R864" s="8">
        <v>25.797134399414102</v>
      </c>
      <c r="S864" s="8">
        <v>1.49157080752511E-2</v>
      </c>
      <c r="T864" s="9">
        <v>1.4805562813941801E-2</v>
      </c>
      <c r="U864" s="12">
        <v>4.1957000000000001E-2</v>
      </c>
      <c r="V864" s="16">
        <v>3.1076000000000001</v>
      </c>
      <c r="W864" s="17">
        <f t="shared" si="13"/>
        <v>4.9152761609105866E-3</v>
      </c>
    </row>
    <row r="865" spans="1:23" x14ac:dyDescent="0.2">
      <c r="A865" s="15">
        <v>42801</v>
      </c>
      <c r="B865" s="5">
        <v>-108511600974117</v>
      </c>
      <c r="C865" s="5">
        <f>[1]!nefin_factors__1[[#This Row],[Rm_minus_Rf]]/B864-1</f>
        <v>-0.80738749918380515</v>
      </c>
      <c r="D865" s="5">
        <v>218904277478219</v>
      </c>
      <c r="E865" s="5">
        <f>[1]!nefin_factors__1[[#This Row],[SMB]]/D864-1</f>
        <v>-0.1850553346712851</v>
      </c>
      <c r="F865" s="5">
        <v>268329981850513</v>
      </c>
      <c r="G865" s="5">
        <f>[1]!nefin_factors__1[[#This Row],[HML]]/F864-1</f>
        <v>-0.69735014636902615</v>
      </c>
      <c r="H865" s="5">
        <v>45229864538987</v>
      </c>
      <c r="I865" s="6">
        <f>[1]!nefin_factors__1[[#This Row],[Risk_Free]]/H864-1</f>
        <v>-0.90015638420521382</v>
      </c>
      <c r="J865">
        <v>62955</v>
      </c>
      <c r="K865">
        <v>63637</v>
      </c>
      <c r="L865">
        <v>62912</v>
      </c>
      <c r="M865">
        <v>63171</v>
      </c>
      <c r="N865">
        <v>2892300</v>
      </c>
      <c r="O865">
        <v>63171</v>
      </c>
      <c r="P865">
        <v>3.4310221586848501E-3</v>
      </c>
      <c r="Q865">
        <v>3.4251496308400002E-3</v>
      </c>
      <c r="R865" s="8">
        <v>26.3658256530762</v>
      </c>
      <c r="S865" s="8">
        <v>2.2044749071139302E-2</v>
      </c>
      <c r="T865" s="9">
        <v>2.1805276606836899E-2</v>
      </c>
      <c r="U865" s="12">
        <v>4.1957000000000001E-2</v>
      </c>
      <c r="V865" s="16">
        <v>3.3807</v>
      </c>
      <c r="W865" s="17">
        <f t="shared" si="13"/>
        <v>8.7881323207620099E-2</v>
      </c>
    </row>
    <row r="866" spans="1:23" x14ac:dyDescent="0.2">
      <c r="A866" s="14">
        <v>42802</v>
      </c>
      <c r="B866" s="3">
        <v>-137160224772174</v>
      </c>
      <c r="C866" s="3">
        <f>[1]!nefin_factors__1[[#This Row],[Rm_minus_Rf]]/B865-1</f>
        <v>0.26401438685703749</v>
      </c>
      <c r="D866" s="3">
        <v>-150047229530161</v>
      </c>
      <c r="E866" s="3">
        <f>[1]!nefin_factors__1[[#This Row],[SMB]]/D865-1</f>
        <v>-1.6854467681431702</v>
      </c>
      <c r="F866" s="3">
        <v>-112841061364991</v>
      </c>
      <c r="G866" s="3">
        <f>[1]!nefin_factors__1[[#This Row],[HML]]/F865-1</f>
        <v>-1.4205309469586402</v>
      </c>
      <c r="H866" s="3">
        <v>45123576197037</v>
      </c>
      <c r="I866" s="4">
        <f>[1]!nefin_factors__1[[#This Row],[Risk_Free]]/H865-1</f>
        <v>-2.3499593251795625E-3</v>
      </c>
      <c r="J866">
        <v>63171</v>
      </c>
      <c r="K866">
        <v>63171</v>
      </c>
      <c r="L866">
        <v>62376</v>
      </c>
      <c r="M866">
        <v>62756</v>
      </c>
      <c r="N866">
        <v>2702400</v>
      </c>
      <c r="O866">
        <v>62756</v>
      </c>
      <c r="P866">
        <v>-6.5694701682733597E-3</v>
      </c>
      <c r="Q866">
        <v>-6.5911441137946397E-3</v>
      </c>
      <c r="R866" s="8">
        <v>27.363094329833999</v>
      </c>
      <c r="S866" s="8">
        <v>3.7824277341736101E-2</v>
      </c>
      <c r="T866" s="9">
        <v>3.71264807610798E-2</v>
      </c>
      <c r="U866" s="12">
        <v>4.1957000000000001E-2</v>
      </c>
      <c r="V866" s="16">
        <v>3.2877999999999998</v>
      </c>
      <c r="W866" s="17">
        <f t="shared" si="13"/>
        <v>-2.7479516076552302E-2</v>
      </c>
    </row>
    <row r="867" spans="1:23" x14ac:dyDescent="0.2">
      <c r="A867" s="15">
        <v>42803</v>
      </c>
      <c r="B867" s="5">
        <v>-205602098400807</v>
      </c>
      <c r="C867" s="5">
        <f>[1]!nefin_factors__1[[#This Row],[Rm_minus_Rf]]/B866-1</f>
        <v>0.49899213669499587</v>
      </c>
      <c r="D867" s="5">
        <v>955389234701742</v>
      </c>
      <c r="E867" s="5">
        <f>[1]!nefin_factors__1[[#This Row],[SMB]]/D866-1</f>
        <v>-7.3672567477142197</v>
      </c>
      <c r="F867" s="5">
        <v>-208657901245437</v>
      </c>
      <c r="G867" s="5">
        <f>[1]!nefin_factors__1[[#This Row],[HML]]/F866-1</f>
        <v>0.84913096989154369</v>
      </c>
      <c r="H867" s="5">
        <v>450527015529056</v>
      </c>
      <c r="I867" s="6">
        <f>[1]!nefin_factors__1[[#This Row],[Risk_Free]]/H866-1</f>
        <v>8.9842932120845393</v>
      </c>
      <c r="J867">
        <v>62755</v>
      </c>
      <c r="K867">
        <v>63066</v>
      </c>
      <c r="L867">
        <v>62095</v>
      </c>
      <c r="M867">
        <v>62211</v>
      </c>
      <c r="N867">
        <v>3099900</v>
      </c>
      <c r="O867">
        <v>62211</v>
      </c>
      <c r="P867">
        <v>-8.6844285805340905E-3</v>
      </c>
      <c r="Q867">
        <v>-8.7223579868960302E-3</v>
      </c>
      <c r="R867" s="8">
        <v>27.602109909057599</v>
      </c>
      <c r="S867" s="8">
        <v>8.73501648626074E-3</v>
      </c>
      <c r="T867" s="9">
        <v>8.6970869464879103E-3</v>
      </c>
      <c r="U867" s="12">
        <v>4.1957000000000001E-2</v>
      </c>
      <c r="V867" s="16">
        <v>3.2863000000000002</v>
      </c>
      <c r="W867" s="17">
        <f t="shared" si="13"/>
        <v>-4.5623213090806303E-4</v>
      </c>
    </row>
    <row r="868" spans="1:23" x14ac:dyDescent="0.2">
      <c r="A868" s="14">
        <v>42804</v>
      </c>
      <c r="B868" s="3">
        <v>-556729397268415</v>
      </c>
      <c r="C868" s="3">
        <f>[1]!nefin_factors__1[[#This Row],[Rm_minus_Rf]]/B867-1</f>
        <v>1.7078001712954785</v>
      </c>
      <c r="D868" s="3">
        <v>536530748058282</v>
      </c>
      <c r="E868" s="3">
        <f>[1]!nefin_factors__1[[#This Row],[SMB]]/D867-1</f>
        <v>-0.43841658606737521</v>
      </c>
      <c r="F868" s="3">
        <v>-492522633465022</v>
      </c>
      <c r="G868" s="3">
        <f>[1]!nefin_factors__1[[#This Row],[HML]]/F867-1</f>
        <v>1.3604312634472673</v>
      </c>
      <c r="H868" s="3">
        <v>450172595043208</v>
      </c>
      <c r="I868" s="4">
        <f>[1]!nefin_factors__1[[#This Row],[Risk_Free]]/H867-1</f>
        <v>-7.8667976310320409E-4</v>
      </c>
      <c r="J868">
        <v>62219</v>
      </c>
      <c r="K868">
        <v>62286</v>
      </c>
      <c r="L868">
        <v>61279</v>
      </c>
      <c r="M868">
        <v>61700</v>
      </c>
      <c r="N868">
        <v>3026600</v>
      </c>
      <c r="O868">
        <v>61700</v>
      </c>
      <c r="P868">
        <v>-8.21398145022589E-3</v>
      </c>
      <c r="Q868">
        <v>-8.2479020724709595E-3</v>
      </c>
      <c r="R868" s="8">
        <v>27.074628829956101</v>
      </c>
      <c r="S868" s="8">
        <v>-1.9110189739348599E-2</v>
      </c>
      <c r="T868" s="9">
        <v>-1.9295149618896699E-2</v>
      </c>
      <c r="U868" s="12">
        <v>4.1957000000000001E-2</v>
      </c>
      <c r="V868" s="16">
        <v>3.2654000000000001</v>
      </c>
      <c r="W868" s="17">
        <f t="shared" si="13"/>
        <v>-6.3597358731705134E-3</v>
      </c>
    </row>
    <row r="869" spans="1:23" x14ac:dyDescent="0.2">
      <c r="A869" s="15">
        <v>42807</v>
      </c>
      <c r="B869" s="5">
        <v>110742519552781</v>
      </c>
      <c r="C869" s="5">
        <f>[1]!nefin_factors__1[[#This Row],[Rm_minus_Rf]]/B868-1</f>
        <v>-1.1989162420668598</v>
      </c>
      <c r="D869" s="5">
        <v>-627265611610315</v>
      </c>
      <c r="E869" s="5">
        <f>[1]!nefin_factors__1[[#This Row],[SMB]]/D868-1</f>
        <v>-2.1691140048923661</v>
      </c>
      <c r="F869" s="5">
        <v>104243255312937</v>
      </c>
      <c r="G869" s="5">
        <f>[1]!nefin_factors__1[[#This Row],[HML]]/F868-1</f>
        <v>-1.2116517053836879</v>
      </c>
      <c r="H869" s="5">
        <v>448400019735562</v>
      </c>
      <c r="I869" s="6">
        <f>[1]!nefin_factors__1[[#This Row],[Risk_Free]]/H868-1</f>
        <v>-3.937546014936455E-3</v>
      </c>
      <c r="J869">
        <v>61708</v>
      </c>
      <c r="K869">
        <v>62012</v>
      </c>
      <c r="L869">
        <v>61510</v>
      </c>
      <c r="M869">
        <v>61829</v>
      </c>
      <c r="N869">
        <v>2469100</v>
      </c>
      <c r="O869">
        <v>61829</v>
      </c>
      <c r="P869">
        <v>2.09076175040512E-3</v>
      </c>
      <c r="Q869">
        <v>2.0885791497258699E-3</v>
      </c>
      <c r="R869" s="8">
        <v>27.857608795166001</v>
      </c>
      <c r="S869" s="8">
        <v>2.8919318304865299E-2</v>
      </c>
      <c r="T869" s="9">
        <v>2.85090459108631E-2</v>
      </c>
      <c r="U869" s="12">
        <v>4.1957000000000001E-2</v>
      </c>
      <c r="V869" s="16">
        <v>3.2629000000000001</v>
      </c>
      <c r="W869" s="17">
        <f t="shared" si="13"/>
        <v>-7.6560298891403811E-4</v>
      </c>
    </row>
    <row r="870" spans="1:23" x14ac:dyDescent="0.2">
      <c r="A870" s="14">
        <v>42808</v>
      </c>
      <c r="B870" s="3">
        <v>-127799430782037</v>
      </c>
      <c r="C870" s="3">
        <f>[1]!nefin_factors__1[[#This Row],[Rm_minus_Rf]]/B869-1</f>
        <v>-2.1540231457450858</v>
      </c>
      <c r="D870" s="3">
        <v>303002135764748</v>
      </c>
      <c r="E870" s="3">
        <f>[1]!nefin_factors__1[[#This Row],[SMB]]/D869-1</f>
        <v>-1.483052362757272</v>
      </c>
      <c r="F870" s="3">
        <v>-302467125454976</v>
      </c>
      <c r="G870" s="3">
        <f>[1]!nefin_factors__1[[#This Row],[HML]]/F869-1</f>
        <v>-3.9015510360547867</v>
      </c>
      <c r="H870" s="3">
        <v>447690768831333</v>
      </c>
      <c r="I870" s="4">
        <f>[1]!nefin_factors__1[[#This Row],[Risk_Free]]/H869-1</f>
        <v>-1.5817370049342472E-3</v>
      </c>
      <c r="J870">
        <v>61831</v>
      </c>
      <c r="K870">
        <v>62475</v>
      </c>
      <c r="L870">
        <v>61508</v>
      </c>
      <c r="M870">
        <v>61923</v>
      </c>
      <c r="N870">
        <v>4328500</v>
      </c>
      <c r="O870">
        <v>61923</v>
      </c>
      <c r="P870">
        <v>1.52032217891285E-3</v>
      </c>
      <c r="Q870">
        <v>1.51916765916219E-3</v>
      </c>
      <c r="R870" s="8">
        <v>28.022445678710898</v>
      </c>
      <c r="S870" s="8">
        <v>5.9170613094241499E-3</v>
      </c>
      <c r="T870" s="9">
        <v>5.8996242524345698E-3</v>
      </c>
      <c r="U870" s="12">
        <v>4.1957000000000001E-2</v>
      </c>
      <c r="V870" s="16">
        <v>3.2824</v>
      </c>
      <c r="W870" s="17">
        <f t="shared" si="13"/>
        <v>5.9762787704189524E-3</v>
      </c>
    </row>
    <row r="871" spans="1:23" x14ac:dyDescent="0.2">
      <c r="A871" s="15">
        <v>42809</v>
      </c>
      <c r="B871" s="5">
        <v>205334009452821</v>
      </c>
      <c r="C871" s="5">
        <f>[1]!nefin_factors__1[[#This Row],[Rm_minus_Rf]]/B870-1</f>
        <v>-2.606689546239215</v>
      </c>
      <c r="D871" s="5">
        <v>-414704967882498</v>
      </c>
      <c r="E871" s="5">
        <f>[1]!nefin_factors__1[[#This Row],[SMB]]/D870-1</f>
        <v>-2.3686536130704914</v>
      </c>
      <c r="F871" s="5">
        <v>82494720928067</v>
      </c>
      <c r="G871" s="5">
        <f>[1]!nefin_factors__1[[#This Row],[HML]]/F870-1</f>
        <v>-1.2727394615331404</v>
      </c>
      <c r="H871" s="5">
        <v>446981391698742</v>
      </c>
      <c r="I871" s="6">
        <f>[1]!nefin_factors__1[[#This Row],[Risk_Free]]/H870-1</f>
        <v>-1.5845248148466107E-3</v>
      </c>
      <c r="R871" s="8">
        <v>28.022445678710898</v>
      </c>
      <c r="S871" s="8">
        <v>0</v>
      </c>
      <c r="T871" s="9">
        <v>0</v>
      </c>
      <c r="U871" s="12">
        <v>4.1957000000000001E-2</v>
      </c>
      <c r="V871" s="16">
        <v>3.2614000000000001</v>
      </c>
      <c r="W871" s="17">
        <f t="shared" si="13"/>
        <v>-6.3977577382402506E-3</v>
      </c>
    </row>
    <row r="872" spans="1:23" x14ac:dyDescent="0.2">
      <c r="A872" s="14">
        <v>42810</v>
      </c>
      <c r="B872" s="3">
        <v>-525240429843486</v>
      </c>
      <c r="C872" s="3">
        <f>[1]!nefin_factors__1[[#This Row],[Rm_minus_Rf]]/B871-1</f>
        <v>-3.5579806834881338</v>
      </c>
      <c r="D872" s="3">
        <v>291033057595227</v>
      </c>
      <c r="E872" s="3">
        <f>[1]!nefin_factors__1[[#This Row],[SMB]]/D871-1</f>
        <v>-1.7017833885165512</v>
      </c>
      <c r="F872" s="3">
        <v>-697039924545022</v>
      </c>
      <c r="G872" s="3">
        <f>[1]!nefin_factors__1[[#This Row],[HML]]/F871-1</f>
        <v>-9.4495094559180401</v>
      </c>
      <c r="H872" s="3">
        <v>446981391698742</v>
      </c>
      <c r="I872" s="4">
        <f>[1]!nefin_factors__1[[#This Row],[Risk_Free]]/H871-1</f>
        <v>0</v>
      </c>
      <c r="J872">
        <v>61911</v>
      </c>
      <c r="K872">
        <v>61921</v>
      </c>
      <c r="L872">
        <v>61269</v>
      </c>
      <c r="M872">
        <v>61626</v>
      </c>
      <c r="N872">
        <v>5088000</v>
      </c>
      <c r="O872">
        <v>61626</v>
      </c>
      <c r="R872" s="8">
        <v>28.228492736816399</v>
      </c>
      <c r="S872" s="8">
        <v>7.3529940340630899E-3</v>
      </c>
      <c r="T872" s="9">
        <v>7.3260925638421901E-3</v>
      </c>
      <c r="U872" s="12">
        <v>4.1957000000000001E-2</v>
      </c>
      <c r="V872" s="16">
        <v>3.2709000000000001</v>
      </c>
      <c r="W872" s="17">
        <f t="shared" si="13"/>
        <v>2.9128595081866493E-3</v>
      </c>
    </row>
    <row r="873" spans="1:23" x14ac:dyDescent="0.2">
      <c r="A873" s="15">
        <v>42811</v>
      </c>
      <c r="B873" s="5">
        <v>-231230132832005</v>
      </c>
      <c r="C873" s="5">
        <f>[1]!nefin_factors__1[[#This Row],[Rm_minus_Rf]]/B872-1</f>
        <v>-0.55976326327181591</v>
      </c>
      <c r="D873" s="5">
        <v>100046209682832</v>
      </c>
      <c r="E873" s="5">
        <f>[1]!nefin_factors__1[[#This Row],[SMB]]/D872-1</f>
        <v>-0.65623764355327041</v>
      </c>
      <c r="F873" s="5">
        <v>-102810072775167</v>
      </c>
      <c r="G873" s="5">
        <f>[1]!nefin_factors__1[[#This Row],[HML]]/F872-1</f>
        <v>-0.85250475739639431</v>
      </c>
      <c r="H873" s="5">
        <v>446626655782767</v>
      </c>
      <c r="I873" s="6">
        <f>[1]!nefin_factors__1[[#This Row],[Risk_Free]]/H872-1</f>
        <v>-7.9362569127727767E-4</v>
      </c>
      <c r="J873">
        <v>61620</v>
      </c>
      <c r="K873">
        <v>62272</v>
      </c>
      <c r="L873">
        <v>61620</v>
      </c>
      <c r="M873">
        <v>62014</v>
      </c>
      <c r="N873">
        <v>2752600</v>
      </c>
      <c r="O873">
        <v>62014</v>
      </c>
      <c r="P873">
        <v>6.2960438775840899E-3</v>
      </c>
      <c r="Q873">
        <v>6.27630659454252E-3</v>
      </c>
      <c r="R873" s="8">
        <v>28.343879699706999</v>
      </c>
      <c r="S873" s="8">
        <v>4.0875649840939098E-3</v>
      </c>
      <c r="T873" s="9">
        <v>4.0792335860482601E-3</v>
      </c>
      <c r="U873" s="12">
        <v>4.1957000000000001E-2</v>
      </c>
      <c r="V873" s="16">
        <v>3.2658999999999998</v>
      </c>
      <c r="W873" s="17">
        <f t="shared" si="13"/>
        <v>-1.5286312635667265E-3</v>
      </c>
    </row>
    <row r="874" spans="1:23" x14ac:dyDescent="0.2">
      <c r="A874" s="14">
        <v>42814</v>
      </c>
      <c r="B874" s="3">
        <v>106265896956071</v>
      </c>
      <c r="C874" s="3">
        <f>[1]!nefin_factors__1[[#This Row],[Rm_minus_Rf]]/B873-1</f>
        <v>-1.4595676854680357</v>
      </c>
      <c r="D874" s="3">
        <v>-16549445212087</v>
      </c>
      <c r="E874" s="3">
        <f>[1]!nefin_factors__1[[#This Row],[SMB]]/D873-1</f>
        <v>-1.1654180129817242</v>
      </c>
      <c r="F874" s="3">
        <v>-823528221363024</v>
      </c>
      <c r="G874" s="3">
        <f>[1]!nefin_factors__1[[#This Row],[HML]]/F873-1</f>
        <v>7.0101900439656237</v>
      </c>
      <c r="H874" s="3">
        <v>444852502481607</v>
      </c>
      <c r="I874" s="4">
        <f>[1]!nefin_factors__1[[#This Row],[Risk_Free]]/H873-1</f>
        <v>-3.9723408314055186E-3</v>
      </c>
      <c r="J874">
        <v>62011</v>
      </c>
      <c r="K874">
        <v>62011</v>
      </c>
      <c r="L874">
        <v>60766</v>
      </c>
      <c r="M874">
        <v>60766</v>
      </c>
      <c r="N874">
        <v>3956200</v>
      </c>
      <c r="O874">
        <v>60766</v>
      </c>
      <c r="P874">
        <v>-2.0124488018834499E-2</v>
      </c>
      <c r="Q874">
        <v>-2.0329743976981601E-2</v>
      </c>
      <c r="R874" s="8">
        <v>27.6927700042725</v>
      </c>
      <c r="S874" s="8">
        <v>-2.2971834455405599E-2</v>
      </c>
      <c r="T874" s="9">
        <v>-2.32397987524397E-2</v>
      </c>
      <c r="U874" s="12">
        <v>4.1957000000000001E-2</v>
      </c>
      <c r="V874" s="16">
        <v>3.2437</v>
      </c>
      <c r="W874" s="17">
        <f t="shared" si="13"/>
        <v>-6.7975137021953902E-3</v>
      </c>
    </row>
    <row r="875" spans="1:23" x14ac:dyDescent="0.2">
      <c r="A875" s="15">
        <v>42815</v>
      </c>
      <c r="B875" s="5">
        <v>-262747026314397</v>
      </c>
      <c r="C875" s="5">
        <f>[1]!nefin_factors__1[[#This Row],[Rm_minus_Rf]]/B874-1</f>
        <v>-3.472543250851337</v>
      </c>
      <c r="D875" s="5">
        <v>-616959621183722</v>
      </c>
      <c r="E875" s="5">
        <f>[1]!nefin_factors__1[[#This Row],[SMB]]/D874-1</f>
        <v>36.279776649740583</v>
      </c>
      <c r="F875" s="5">
        <v>-179741456613286</v>
      </c>
      <c r="G875" s="5">
        <f>[1]!nefin_factors__1[[#This Row],[HML]]/F874-1</f>
        <v>-0.78174220148060569</v>
      </c>
      <c r="H875" s="5">
        <v>44378763132058</v>
      </c>
      <c r="I875" s="6">
        <f>[1]!nefin_factors__1[[#This Row],[Risk_Free]]/H874-1</f>
        <v>-0.90023937623259098</v>
      </c>
      <c r="J875">
        <v>60783</v>
      </c>
      <c r="K875">
        <v>61188</v>
      </c>
      <c r="L875">
        <v>60544</v>
      </c>
      <c r="M875">
        <v>60762</v>
      </c>
      <c r="N875">
        <v>3274700</v>
      </c>
      <c r="O875">
        <v>60762</v>
      </c>
      <c r="P875">
        <v>-6.5826284435410707E-5</v>
      </c>
      <c r="Q875">
        <v>-6.5828451080353998E-5</v>
      </c>
      <c r="R875" s="8">
        <v>26.786161422729499</v>
      </c>
      <c r="S875" s="8">
        <v>-3.27380485761967E-2</v>
      </c>
      <c r="T875" s="9">
        <v>-3.32859293922435E-2</v>
      </c>
      <c r="U875" s="12">
        <v>3.8370000000000001E-2</v>
      </c>
      <c r="V875" s="16">
        <v>3.2307000000000001</v>
      </c>
      <c r="W875" s="17">
        <f t="shared" si="13"/>
        <v>-4.0077689058790611E-3</v>
      </c>
    </row>
    <row r="876" spans="1:23" x14ac:dyDescent="0.2">
      <c r="A876" s="14">
        <v>42816</v>
      </c>
      <c r="B876" s="3">
        <v>772756620956554</v>
      </c>
      <c r="C876" s="3">
        <f>[1]!nefin_factors__1[[#This Row],[Rm_minus_Rf]]/B875-1</f>
        <v>-3.9410670476319352</v>
      </c>
      <c r="D876" s="3">
        <v>211744788889671</v>
      </c>
      <c r="E876" s="3">
        <f>[1]!nefin_factors__1[[#This Row],[SMB]]/D875-1</f>
        <v>-1.3432068835937909</v>
      </c>
      <c r="F876" s="3">
        <v>322098366797495</v>
      </c>
      <c r="G876" s="3">
        <f>[1]!nefin_factors__1[[#This Row],[HML]]/F875-1</f>
        <v>-2.7920093275447861</v>
      </c>
      <c r="H876" s="3">
        <v>442722475588075</v>
      </c>
      <c r="I876" s="4">
        <f>[1]!nefin_factors__1[[#This Row],[Risk_Free]]/H875-1</f>
        <v>8.9759985259315265</v>
      </c>
      <c r="J876">
        <v>60762</v>
      </c>
      <c r="K876">
        <v>61354</v>
      </c>
      <c r="L876">
        <v>60758</v>
      </c>
      <c r="M876">
        <v>61272</v>
      </c>
      <c r="N876">
        <v>3066900</v>
      </c>
      <c r="O876">
        <v>61272</v>
      </c>
      <c r="P876">
        <v>8.3934037720943006E-3</v>
      </c>
      <c r="Q876">
        <v>8.3583750290893398E-3</v>
      </c>
      <c r="R876" s="8">
        <v>26.82737159729</v>
      </c>
      <c r="S876" s="8">
        <v>1.53854556042865E-3</v>
      </c>
      <c r="T876" s="9">
        <v>1.5373632117840401E-3</v>
      </c>
      <c r="U876" s="12">
        <v>3.8370000000000001E-2</v>
      </c>
      <c r="V876" s="16">
        <v>3.2401</v>
      </c>
      <c r="W876" s="17">
        <f t="shared" si="13"/>
        <v>2.9095861577985715E-3</v>
      </c>
    </row>
    <row r="877" spans="1:23" x14ac:dyDescent="0.2">
      <c r="A877" s="15">
        <v>42817</v>
      </c>
      <c r="B877" s="5">
        <v>583812621268831</v>
      </c>
      <c r="C877" s="5">
        <f>[1]!nefin_factors__1[[#This Row],[Rm_minus_Rf]]/B876-1</f>
        <v>-0.24450647793070912</v>
      </c>
      <c r="D877" s="5">
        <v>645212242272801</v>
      </c>
      <c r="E877" s="5">
        <f>[1]!nefin_factors__1[[#This Row],[SMB]]/D876-1</f>
        <v>2.0471221778637818</v>
      </c>
      <c r="F877" s="5">
        <v>230030159937586</v>
      </c>
      <c r="G877" s="5">
        <f>[1]!nefin_factors__1[[#This Row],[HML]]/F876-1</f>
        <v>-0.28583878824133491</v>
      </c>
      <c r="H877" s="5">
        <v>44236736041281</v>
      </c>
      <c r="I877" s="6">
        <f>[1]!nefin_factors__1[[#This Row],[Risk_Free]]/H876-1</f>
        <v>-0.90008021168900298</v>
      </c>
      <c r="J877">
        <v>61272</v>
      </c>
      <c r="K877">
        <v>61400</v>
      </c>
      <c r="L877">
        <v>60992</v>
      </c>
      <c r="M877">
        <v>61087</v>
      </c>
      <c r="N877">
        <v>2836700</v>
      </c>
      <c r="O877">
        <v>61087</v>
      </c>
      <c r="P877">
        <v>-3.0193236714976001E-3</v>
      </c>
      <c r="Q877">
        <v>-3.0238910250770098E-3</v>
      </c>
      <c r="R877" s="8">
        <v>26.819129943847699</v>
      </c>
      <c r="S877" s="8">
        <v>-3.0728015581105199E-4</v>
      </c>
      <c r="T877" s="9">
        <v>-3.0732737603160102E-4</v>
      </c>
      <c r="U877" s="12">
        <v>3.8370000000000001E-2</v>
      </c>
      <c r="V877" s="16">
        <v>3.282</v>
      </c>
      <c r="W877" s="17">
        <f t="shared" si="13"/>
        <v>1.2931699638899952E-2</v>
      </c>
    </row>
    <row r="878" spans="1:23" x14ac:dyDescent="0.2">
      <c r="A878" s="14">
        <v>42818</v>
      </c>
      <c r="B878" s="3">
        <v>379016341077179</v>
      </c>
      <c r="C878" s="3">
        <f>[1]!nefin_factors__1[[#This Row],[Rm_minus_Rf]]/B877-1</f>
        <v>-0.35079111470142144</v>
      </c>
      <c r="D878" s="3">
        <v>-194336526958791</v>
      </c>
      <c r="E878" s="3">
        <f>[1]!nefin_factors__1[[#This Row],[SMB]]/D877-1</f>
        <v>-1.3011978295300601</v>
      </c>
      <c r="F878" s="3">
        <v>-14427555677087</v>
      </c>
      <c r="G878" s="3">
        <f>[1]!nefin_factors__1[[#This Row],[HML]]/F877-1</f>
        <v>-1.0627202784234973</v>
      </c>
      <c r="H878" s="3">
        <v>441301825014895</v>
      </c>
      <c r="I878" s="4">
        <f>[1]!nefin_factors__1[[#This Row],[Risk_Free]]/H877-1</f>
        <v>8.9759128838773119</v>
      </c>
      <c r="J878">
        <v>61088</v>
      </c>
      <c r="K878">
        <v>62251</v>
      </c>
      <c r="L878">
        <v>61088</v>
      </c>
      <c r="M878">
        <v>62188</v>
      </c>
      <c r="N878">
        <v>2599200</v>
      </c>
      <c r="O878">
        <v>62188</v>
      </c>
      <c r="P878">
        <v>1.8023474716388099E-2</v>
      </c>
      <c r="Q878">
        <v>1.7862977505278901E-2</v>
      </c>
      <c r="R878" s="8">
        <v>27.363094329833999</v>
      </c>
      <c r="S878" s="8">
        <v>2.0282713171946298E-2</v>
      </c>
      <c r="T878" s="9">
        <v>2.0079758668151398E-2</v>
      </c>
      <c r="U878" s="12">
        <v>3.8370000000000001E-2</v>
      </c>
      <c r="V878" s="16">
        <v>3.2816999999999998</v>
      </c>
      <c r="W878" s="17">
        <f t="shared" si="13"/>
        <v>-9.140767824500351E-5</v>
      </c>
    </row>
    <row r="879" spans="1:23" x14ac:dyDescent="0.2">
      <c r="A879" s="15">
        <v>42821</v>
      </c>
      <c r="B879" s="5">
        <v>602587956166999</v>
      </c>
      <c r="C879" s="5">
        <f>[1]!nefin_factors__1[[#This Row],[Rm_minus_Rf]]/B878-1</f>
        <v>0.58987328740080414</v>
      </c>
      <c r="D879" s="5">
        <v>-193120133885107</v>
      </c>
      <c r="E879" s="5">
        <f>[1]!nefin_factors__1[[#This Row],[SMB]]/D878-1</f>
        <v>-6.2592096952619469E-3</v>
      </c>
      <c r="F879" s="5">
        <v>-205543906908046</v>
      </c>
      <c r="G879" s="5">
        <f>[1]!nefin_factors__1[[#This Row],[HML]]/F878-1</f>
        <v>13.246620252831795</v>
      </c>
      <c r="H879" s="5">
        <v>439880667904236</v>
      </c>
      <c r="I879" s="6">
        <f>[1]!nefin_factors__1[[#This Row],[Risk_Free]]/H878-1</f>
        <v>-3.2203744242640386E-3</v>
      </c>
      <c r="J879">
        <v>62188</v>
      </c>
      <c r="K879">
        <v>62424</v>
      </c>
      <c r="L879">
        <v>61580</v>
      </c>
      <c r="M879">
        <v>61675</v>
      </c>
      <c r="N879">
        <v>3275700</v>
      </c>
      <c r="O879">
        <v>61675</v>
      </c>
      <c r="P879">
        <v>-8.2491799060911992E-3</v>
      </c>
      <c r="Q879">
        <v>-8.2833926720739092E-3</v>
      </c>
      <c r="R879" s="8">
        <v>26.992208480835</v>
      </c>
      <c r="S879" s="8">
        <v>-1.3554170796689601E-2</v>
      </c>
      <c r="T879" s="9">
        <v>-1.3646867137369199E-2</v>
      </c>
      <c r="U879" s="12">
        <v>3.8370000000000001E-2</v>
      </c>
      <c r="V879" s="16">
        <v>3.2747000000000002</v>
      </c>
      <c r="W879" s="17">
        <f t="shared" si="13"/>
        <v>-2.1330408020232561E-3</v>
      </c>
    </row>
    <row r="880" spans="1:23" x14ac:dyDescent="0.2">
      <c r="A880" s="14">
        <v>42822</v>
      </c>
      <c r="B880" s="3">
        <v>458094122998501</v>
      </c>
      <c r="C880" s="3">
        <f>[1]!nefin_factors__1[[#This Row],[Rm_minus_Rf]]/B879-1</f>
        <v>-0.23978878384428504</v>
      </c>
      <c r="D880" s="3">
        <v>-968992628825565</v>
      </c>
      <c r="E880" s="3">
        <f>[1]!nefin_factors__1[[#This Row],[SMB]]/D879-1</f>
        <v>4.0175639863736219</v>
      </c>
      <c r="F880" s="3">
        <v>-401290531291042</v>
      </c>
      <c r="G880" s="3">
        <f>[1]!nefin_factors__1[[#This Row],[HML]]/F879-1</f>
        <v>0.95233484333139096</v>
      </c>
      <c r="H880" s="3">
        <v>439169899284275</v>
      </c>
      <c r="I880" s="4">
        <f>[1]!nefin_factors__1[[#This Row],[Risk_Free]]/H879-1</f>
        <v>-1.6158214530030968E-3</v>
      </c>
      <c r="J880">
        <v>61684</v>
      </c>
      <c r="K880">
        <v>62057</v>
      </c>
      <c r="L880">
        <v>61433</v>
      </c>
      <c r="M880">
        <v>62018</v>
      </c>
      <c r="N880">
        <v>2719100</v>
      </c>
      <c r="O880">
        <v>62018</v>
      </c>
      <c r="P880">
        <v>5.5614106201864501E-3</v>
      </c>
      <c r="Q880">
        <v>5.54600307487094E-3</v>
      </c>
      <c r="R880" s="8">
        <v>26.497695922851602</v>
      </c>
      <c r="S880" s="8">
        <v>-1.83205958638855E-2</v>
      </c>
      <c r="T880" s="9">
        <v>-1.8490496297858101E-2</v>
      </c>
      <c r="U880" s="12">
        <v>3.8370000000000001E-2</v>
      </c>
      <c r="V880" s="16">
        <v>3.2837999999999998</v>
      </c>
      <c r="W880" s="17">
        <f t="shared" si="13"/>
        <v>2.7788805081381263E-3</v>
      </c>
    </row>
    <row r="881" spans="1:23" x14ac:dyDescent="0.2">
      <c r="A881" s="15">
        <v>42823</v>
      </c>
      <c r="B881" s="5">
        <v>130115337094329</v>
      </c>
      <c r="C881" s="5">
        <f>[1]!nefin_factors__1[[#This Row],[Rm_minus_Rf]]/B880-1</f>
        <v>-0.71596374945252295</v>
      </c>
      <c r="D881" s="5">
        <v>550510900073798</v>
      </c>
      <c r="E881" s="5">
        <f>[1]!nefin_factors__1[[#This Row],[SMB]]/D880-1</f>
        <v>-1.5681270256317905</v>
      </c>
      <c r="F881" s="5">
        <v>-126964791340664</v>
      </c>
      <c r="G881" s="5">
        <f>[1]!nefin_factors__1[[#This Row],[HML]]/F880-1</f>
        <v>-0.6836088034965847</v>
      </c>
      <c r="H881" s="5">
        <v>437747981688608</v>
      </c>
      <c r="I881" s="6">
        <f>[1]!nefin_factors__1[[#This Row],[Risk_Free]]/H880-1</f>
        <v>-3.2377391938389621E-3</v>
      </c>
      <c r="J881">
        <v>62010</v>
      </c>
      <c r="K881">
        <v>62499</v>
      </c>
      <c r="L881">
        <v>61689</v>
      </c>
      <c r="M881">
        <v>62239</v>
      </c>
      <c r="N881">
        <v>2915500</v>
      </c>
      <c r="O881">
        <v>62239</v>
      </c>
      <c r="P881">
        <v>3.5634815698668602E-3</v>
      </c>
      <c r="Q881">
        <v>3.55714741272556E-3</v>
      </c>
      <c r="R881" s="8">
        <v>26.374067306518601</v>
      </c>
      <c r="S881" s="8">
        <v>-4.6656629189366604E-3</v>
      </c>
      <c r="T881" s="9">
        <v>-4.6765810977715799E-3</v>
      </c>
      <c r="U881" s="12">
        <v>3.8370000000000001E-2</v>
      </c>
      <c r="V881" s="16">
        <v>3.274</v>
      </c>
      <c r="W881" s="17">
        <f t="shared" si="13"/>
        <v>-2.9843474023996119E-3</v>
      </c>
    </row>
    <row r="882" spans="1:23" x14ac:dyDescent="0.2">
      <c r="A882" s="14">
        <v>42824</v>
      </c>
      <c r="B882" s="3">
        <v>-384190159471229</v>
      </c>
      <c r="C882" s="3">
        <f>[1]!nefin_factors__1[[#This Row],[Rm_minus_Rf]]/B881-1</f>
        <v>-3.9526892682351873</v>
      </c>
      <c r="D882" s="3">
        <v>799784893751731</v>
      </c>
      <c r="E882" s="3">
        <f>[1]!nefin_factors__1[[#This Row],[SMB]]/D881-1</f>
        <v>0.45280482846845893</v>
      </c>
      <c r="F882" s="3">
        <v>477478589074324</v>
      </c>
      <c r="G882" s="3">
        <f>[1]!nefin_factors__1[[#This Row],[HML]]/F881-1</f>
        <v>-4.76071652646743</v>
      </c>
      <c r="H882" s="3">
        <v>437392423015881</v>
      </c>
      <c r="I882" s="4">
        <f>[1]!nefin_factors__1[[#This Row],[Risk_Free]]/H881-1</f>
        <v>-8.1224514469591114E-4</v>
      </c>
      <c r="J882">
        <v>62238</v>
      </c>
      <c r="K882">
        <v>63038</v>
      </c>
      <c r="L882">
        <v>62238</v>
      </c>
      <c r="M882">
        <v>62900</v>
      </c>
      <c r="N882">
        <v>2688200</v>
      </c>
      <c r="O882">
        <v>62900</v>
      </c>
      <c r="P882">
        <v>1.0620350584039E-2</v>
      </c>
      <c r="Q882">
        <v>1.0564350803378E-2</v>
      </c>
      <c r="R882" s="8">
        <v>26.695501327514599</v>
      </c>
      <c r="S882" s="8">
        <v>1.21875274371941E-2</v>
      </c>
      <c r="T882" s="9">
        <v>1.21138574903406E-2</v>
      </c>
      <c r="U882" s="12">
        <v>3.8370000000000001E-2</v>
      </c>
      <c r="V882" s="16">
        <v>3.2986</v>
      </c>
      <c r="W882" s="17">
        <f t="shared" si="13"/>
        <v>7.5137446548563247E-3</v>
      </c>
    </row>
    <row r="883" spans="1:23" x14ac:dyDescent="0.2">
      <c r="A883" s="15">
        <v>42825</v>
      </c>
      <c r="B883" s="5">
        <v>-320131168618609</v>
      </c>
      <c r="C883" s="5">
        <f>[1]!nefin_factors__1[[#This Row],[Rm_minus_Rf]]/B882-1</f>
        <v>-0.16673771900036705</v>
      </c>
      <c r="D883" s="5">
        <v>224214678232484</v>
      </c>
      <c r="E883" s="5">
        <f>[1]!nefin_factors__1[[#This Row],[SMB]]/D882-1</f>
        <v>-0.71965627260011156</v>
      </c>
      <c r="F883" s="5">
        <v>158959451367508</v>
      </c>
      <c r="G883" s="5">
        <f>[1]!nefin_factors__1[[#This Row],[HML]]/F882-1</f>
        <v>-0.66708569765258208</v>
      </c>
      <c r="H883" s="5">
        <v>435614153725616</v>
      </c>
      <c r="I883" s="6">
        <f>[1]!nefin_factors__1[[#This Row],[Risk_Free]]/H882-1</f>
        <v>-4.0656152157451109E-3</v>
      </c>
      <c r="J883">
        <v>62901</v>
      </c>
      <c r="K883">
        <v>63338</v>
      </c>
      <c r="L883">
        <v>62901</v>
      </c>
      <c r="M883">
        <v>63280</v>
      </c>
      <c r="N883">
        <v>2086300</v>
      </c>
      <c r="O883">
        <v>63280</v>
      </c>
      <c r="P883">
        <v>6.0413354531001504E-3</v>
      </c>
      <c r="Q883">
        <v>6.0231597530035798E-3</v>
      </c>
      <c r="R883" s="8">
        <v>26.992208480835</v>
      </c>
      <c r="S883" s="8">
        <v>1.1114532432478201E-2</v>
      </c>
      <c r="T883" s="9">
        <v>1.1053219905289201E-2</v>
      </c>
      <c r="U883" s="12">
        <v>3.8370000000000001E-2</v>
      </c>
      <c r="V883" s="16">
        <v>3.3208000000000002</v>
      </c>
      <c r="W883" s="17">
        <f t="shared" si="13"/>
        <v>6.7301279330624908E-3</v>
      </c>
    </row>
    <row r="884" spans="1:23" x14ac:dyDescent="0.2">
      <c r="A884" s="14">
        <v>42828</v>
      </c>
      <c r="B884" s="3">
        <v>275979672956072</v>
      </c>
      <c r="C884" s="3">
        <f>[1]!nefin_factors__1[[#This Row],[Rm_minus_Rf]]/B883-1</f>
        <v>-1.8620831084550307</v>
      </c>
      <c r="D884" s="3">
        <v>301735251827779</v>
      </c>
      <c r="E884" s="3">
        <f>[1]!nefin_factors__1[[#This Row],[SMB]]/D883-1</f>
        <v>0.34574263472133326</v>
      </c>
      <c r="F884" s="3">
        <v>17607679966899</v>
      </c>
      <c r="G884" s="3">
        <f>[1]!nefin_factors__1[[#This Row],[HML]]/F883-1</f>
        <v>-0.88923162595603866</v>
      </c>
      <c r="H884" s="3">
        <v>434190966840831</v>
      </c>
      <c r="I884" s="4">
        <f>[1]!nefin_factors__1[[#This Row],[Risk_Free]]/H883-1</f>
        <v>-3.2670813668773668E-3</v>
      </c>
      <c r="J884">
        <v>63268</v>
      </c>
      <c r="K884">
        <v>63346</v>
      </c>
      <c r="L884">
        <v>63076</v>
      </c>
      <c r="M884">
        <v>63232</v>
      </c>
      <c r="N884">
        <v>950700</v>
      </c>
      <c r="O884">
        <v>63232</v>
      </c>
      <c r="P884">
        <v>-7.5853350189636305E-4</v>
      </c>
      <c r="Q884">
        <v>-7.5882133399584402E-4</v>
      </c>
      <c r="R884" s="8">
        <v>27.074628829956101</v>
      </c>
      <c r="S884" s="8">
        <v>3.0534567961077999E-3</v>
      </c>
      <c r="T884" s="9">
        <v>3.0488044649604998E-3</v>
      </c>
      <c r="U884" s="12">
        <v>3.8370000000000001E-2</v>
      </c>
      <c r="V884" s="16">
        <v>3.2835999999999999</v>
      </c>
      <c r="W884" s="17">
        <f t="shared" si="13"/>
        <v>-1.120211997109144E-2</v>
      </c>
    </row>
    <row r="885" spans="1:23" x14ac:dyDescent="0.2">
      <c r="A885" s="15">
        <v>42829</v>
      </c>
      <c r="B885" s="5">
        <v>6798874620582</v>
      </c>
      <c r="C885" s="5">
        <f>[1]!nefin_factors__1[[#This Row],[Rm_minus_Rf]]/B884-1</f>
        <v>-0.97536458193548126</v>
      </c>
      <c r="D885" s="5">
        <v>-20940406754356</v>
      </c>
      <c r="E885" s="5">
        <f>[1]!nefin_factors__1[[#This Row],[SMB]]/D884-1</f>
        <v>-1.0693999346364347</v>
      </c>
      <c r="F885" s="5">
        <v>-352153562961739</v>
      </c>
      <c r="G885" s="5">
        <f>[1]!nefin_factors__1[[#This Row],[HML]]/F884-1</f>
        <v>-20.999997934069619</v>
      </c>
      <c r="H885" s="5">
        <v>432411268323163</v>
      </c>
      <c r="I885" s="6">
        <f>[1]!nefin_factors__1[[#This Row],[Risk_Free]]/H884-1</f>
        <v>-4.0988842550481186E-3</v>
      </c>
      <c r="J885">
        <v>63215</v>
      </c>
      <c r="K885">
        <v>63485</v>
      </c>
      <c r="L885">
        <v>62708</v>
      </c>
      <c r="M885">
        <v>63154</v>
      </c>
      <c r="N885">
        <v>3169900</v>
      </c>
      <c r="O885">
        <v>63154</v>
      </c>
      <c r="P885">
        <v>-1.23355263157898E-3</v>
      </c>
      <c r="Q885">
        <v>-1.2343140838851599E-3</v>
      </c>
      <c r="R885" s="8">
        <v>27.445512771606399</v>
      </c>
      <c r="S885" s="8">
        <v>1.36985104036544E-2</v>
      </c>
      <c r="T885" s="9">
        <v>1.36055339404578E-2</v>
      </c>
      <c r="U885" s="12">
        <v>3.8370000000000001E-2</v>
      </c>
      <c r="V885" s="16">
        <v>3.2892000000000001</v>
      </c>
      <c r="W885" s="17">
        <f t="shared" si="13"/>
        <v>1.7054452430260714E-3</v>
      </c>
    </row>
    <row r="886" spans="1:23" x14ac:dyDescent="0.2">
      <c r="A886" s="14">
        <v>42830</v>
      </c>
      <c r="B886" s="3">
        <v>-14344694054544</v>
      </c>
      <c r="C886" s="3">
        <f>[1]!nefin_factors__1[[#This Row],[Rm_minus_Rf]]/B885-1</f>
        <v>-3.1098630074922693</v>
      </c>
      <c r="D886" s="3">
        <v>-219650243924379</v>
      </c>
      <c r="E886" s="3">
        <f>[1]!nefin_factors__1[[#This Row],[SMB]]/D885-1</f>
        <v>9.4893016884062007</v>
      </c>
      <c r="F886" s="3">
        <v>-157108448623845</v>
      </c>
      <c r="G886" s="3">
        <f>[1]!nefin_factors__1[[#This Row],[HML]]/F885-1</f>
        <v>-0.55386381071227553</v>
      </c>
      <c r="H886" s="3">
        <v>4302745806255</v>
      </c>
      <c r="I886" s="4">
        <f>[1]!nefin_factors__1[[#This Row],[Risk_Free]]/H885-1</f>
        <v>-0.9900494133213954</v>
      </c>
      <c r="J886">
        <v>63156</v>
      </c>
      <c r="K886">
        <v>63188</v>
      </c>
      <c r="L886">
        <v>62354</v>
      </c>
      <c r="M886">
        <v>62470</v>
      </c>
      <c r="N886">
        <v>3038700</v>
      </c>
      <c r="O886">
        <v>62470</v>
      </c>
      <c r="P886">
        <v>-1.0830667891186601E-2</v>
      </c>
      <c r="Q886">
        <v>-1.08897465360389E-2</v>
      </c>
      <c r="R886" s="8">
        <v>28.187284469604499</v>
      </c>
      <c r="S886" s="8">
        <v>2.7027079027319899E-2</v>
      </c>
      <c r="T886" s="9">
        <v>2.6668297714024201E-2</v>
      </c>
      <c r="U886" s="12">
        <v>3.8370000000000001E-2</v>
      </c>
      <c r="V886" s="16">
        <v>3.2974999999999999</v>
      </c>
      <c r="W886" s="17">
        <f t="shared" si="13"/>
        <v>2.5234099477076111E-3</v>
      </c>
    </row>
    <row r="887" spans="1:23" x14ac:dyDescent="0.2">
      <c r="A887" s="15">
        <v>42831</v>
      </c>
      <c r="B887" s="5">
        <v>-801166615278997</v>
      </c>
      <c r="C887" s="5">
        <f>[1]!nefin_factors__1[[#This Row],[Rm_minus_Rf]]/B886-1</f>
        <v>54.851077215913833</v>
      </c>
      <c r="D887" s="5">
        <v>-209358895673763</v>
      </c>
      <c r="E887" s="5">
        <f>[1]!nefin_factors__1[[#This Row],[SMB]]/D886-1</f>
        <v>-4.6853343145656146E-2</v>
      </c>
      <c r="F887" s="5">
        <v>-951745048946564</v>
      </c>
      <c r="G887" s="5">
        <f>[1]!nefin_factors__1[[#This Row],[HML]]/F886-1</f>
        <v>5.0578858570825052</v>
      </c>
      <c r="H887" s="5">
        <v>428493132144769</v>
      </c>
      <c r="I887" s="6">
        <f>[1]!nefin_factors__1[[#This Row],[Risk_Free]]/H886-1</f>
        <v>98.585974035895575</v>
      </c>
      <c r="J887">
        <v>62474</v>
      </c>
      <c r="K887">
        <v>62926</v>
      </c>
      <c r="L887">
        <v>62035</v>
      </c>
      <c r="M887">
        <v>62322</v>
      </c>
      <c r="N887">
        <v>2894200</v>
      </c>
      <c r="O887">
        <v>62322</v>
      </c>
      <c r="P887">
        <v>-2.3691371858491901E-3</v>
      </c>
      <c r="Q887">
        <v>-2.3719480317491702E-3</v>
      </c>
      <c r="R887" s="8">
        <v>28.0389308929443</v>
      </c>
      <c r="S887" s="8">
        <v>-5.2630844933422303E-3</v>
      </c>
      <c r="T887" s="9">
        <v>-5.2769833110847099E-3</v>
      </c>
      <c r="U887" s="12">
        <v>3.8370000000000001E-2</v>
      </c>
      <c r="V887" s="16">
        <v>3.3144999999999998</v>
      </c>
      <c r="W887" s="17">
        <f t="shared" si="13"/>
        <v>5.1554207733131019E-3</v>
      </c>
    </row>
    <row r="888" spans="1:23" x14ac:dyDescent="0.2">
      <c r="A888" s="14">
        <v>42832</v>
      </c>
      <c r="B888" s="3">
        <v>534599478391128</v>
      </c>
      <c r="C888" s="3">
        <f>[1]!nefin_factors__1[[#This Row],[Rm_minus_Rf]]/B887-1</f>
        <v>-1.6672762796100282</v>
      </c>
      <c r="D888" s="3">
        <v>965956878948061</v>
      </c>
      <c r="E888" s="3">
        <f>[1]!nefin_factors__1[[#This Row],[SMB]]/D887-1</f>
        <v>-5.6138802740595244</v>
      </c>
      <c r="F888" s="3">
        <v>-242099526934307</v>
      </c>
      <c r="G888" s="3">
        <f>[1]!nefin_factors__1[[#This Row],[HML]]/F887-1</f>
        <v>-0.74562565132093506</v>
      </c>
      <c r="H888" s="3">
        <v>426710887086124</v>
      </c>
      <c r="I888" s="4">
        <f>[1]!nefin_factors__1[[#This Row],[Risk_Free]]/H887-1</f>
        <v>-4.1593316787230661E-3</v>
      </c>
      <c r="J888">
        <v>62322</v>
      </c>
      <c r="K888">
        <v>63135</v>
      </c>
      <c r="L888">
        <v>62322</v>
      </c>
      <c r="M888">
        <v>63025</v>
      </c>
      <c r="N888">
        <v>2224000</v>
      </c>
      <c r="O888">
        <v>63025</v>
      </c>
      <c r="P888">
        <v>1.12801257982735E-2</v>
      </c>
      <c r="Q888">
        <v>1.1216979600254201E-2</v>
      </c>
      <c r="R888" s="8">
        <v>27.874092102050799</v>
      </c>
      <c r="S888" s="8">
        <v>-5.8789363480494803E-3</v>
      </c>
      <c r="T888" s="9">
        <v>-5.8962853234397396E-3</v>
      </c>
      <c r="U888" s="12">
        <v>3.8370000000000001E-2</v>
      </c>
      <c r="V888" s="16">
        <v>3.3247</v>
      </c>
      <c r="W888" s="17">
        <f t="shared" si="13"/>
        <v>3.0773872378941913E-3</v>
      </c>
    </row>
    <row r="889" spans="1:23" x14ac:dyDescent="0.2">
      <c r="A889" s="15">
        <v>42835</v>
      </c>
      <c r="B889" s="5">
        <v>-150792918234891</v>
      </c>
      <c r="C889" s="5">
        <f>[1]!nefin_factors__1[[#This Row],[Rm_minus_Rf]]/B888-1</f>
        <v>-1.2820670882221974</v>
      </c>
      <c r="D889" s="5">
        <v>676782421965405</v>
      </c>
      <c r="E889" s="5">
        <f>[1]!nefin_factors__1[[#This Row],[SMB]]/D888-1</f>
        <v>-0.2993658032619122</v>
      </c>
      <c r="F889" s="5">
        <v>-267543048364181</v>
      </c>
      <c r="G889" s="5">
        <f>[1]!nefin_factors__1[[#This Row],[HML]]/F888-1</f>
        <v>0.10509529593908717</v>
      </c>
      <c r="H889" s="5">
        <v>423857636326908</v>
      </c>
      <c r="I889" s="6">
        <f>[1]!nefin_factors__1[[#This Row],[Risk_Free]]/H888-1</f>
        <v>-6.6866134555412238E-3</v>
      </c>
      <c r="J889">
        <v>63027</v>
      </c>
      <c r="K889">
        <v>63891</v>
      </c>
      <c r="L889">
        <v>62908</v>
      </c>
      <c r="M889">
        <v>63832</v>
      </c>
      <c r="N889">
        <v>2566700</v>
      </c>
      <c r="O889">
        <v>63832</v>
      </c>
      <c r="P889">
        <v>1.28044426814755E-2</v>
      </c>
      <c r="Q889">
        <v>1.2723158931996201E-2</v>
      </c>
      <c r="R889" s="8">
        <v>27.907058715820298</v>
      </c>
      <c r="S889" s="8">
        <v>1.1826843946771701E-3</v>
      </c>
      <c r="T889" s="9">
        <v>1.1819855744234001E-3</v>
      </c>
      <c r="U889" s="12">
        <v>3.8370000000000001E-2</v>
      </c>
      <c r="V889" s="16">
        <v>3.3361999999999998</v>
      </c>
      <c r="W889" s="17">
        <f t="shared" si="13"/>
        <v>3.4589587030409152E-3</v>
      </c>
    </row>
    <row r="890" spans="1:23" x14ac:dyDescent="0.2">
      <c r="A890" s="14">
        <v>42836</v>
      </c>
      <c r="B890" s="3">
        <v>-480078267836084</v>
      </c>
      <c r="C890" s="3">
        <f>[1]!nefin_factors__1[[#This Row],[Rm_minus_Rf]]/B889-1</f>
        <v>2.1836924005162053</v>
      </c>
      <c r="D890" s="3">
        <v>309023981309885</v>
      </c>
      <c r="E890" s="3">
        <f>[1]!nefin_factors__1[[#This Row],[SMB]]/D889-1</f>
        <v>-0.54339242379778985</v>
      </c>
      <c r="F890" s="3">
        <v>110722047693403</v>
      </c>
      <c r="G890" s="3">
        <f>[1]!nefin_factors__1[[#This Row],[HML]]/F889-1</f>
        <v>-1.4138475971264541</v>
      </c>
      <c r="H890" s="3">
        <v>421716357043911</v>
      </c>
      <c r="I890" s="4">
        <f>[1]!nefin_factors__1[[#This Row],[Risk_Free]]/H889-1</f>
        <v>-5.0518832255873614E-3</v>
      </c>
      <c r="J890">
        <v>63840</v>
      </c>
      <c r="K890">
        <v>64938</v>
      </c>
      <c r="L890">
        <v>63827</v>
      </c>
      <c r="M890">
        <v>64836</v>
      </c>
      <c r="N890">
        <v>4116300</v>
      </c>
      <c r="O890">
        <v>64836</v>
      </c>
      <c r="P890">
        <v>1.5728788068680302E-2</v>
      </c>
      <c r="Q890">
        <v>1.56063726439492E-2</v>
      </c>
      <c r="R890" s="8">
        <v>28.187284469604499</v>
      </c>
      <c r="S890" s="8">
        <v>1.00413625759408E-2</v>
      </c>
      <c r="T890" s="9">
        <v>9.99128306010094E-3</v>
      </c>
      <c r="U890" s="12">
        <v>3.8370000000000001E-2</v>
      </c>
      <c r="V890" s="16">
        <v>3.3342000000000001</v>
      </c>
      <c r="W890" s="17">
        <f t="shared" si="13"/>
        <v>-5.9948444337865059E-4</v>
      </c>
    </row>
    <row r="891" spans="1:23" x14ac:dyDescent="0.2">
      <c r="A891" s="15">
        <v>42837</v>
      </c>
      <c r="B891" s="5">
        <v>-599389965067332</v>
      </c>
      <c r="C891" s="5">
        <f>[1]!nefin_factors__1[[#This Row],[Rm_minus_Rf]]/B890-1</f>
        <v>0.24852551182755334</v>
      </c>
      <c r="D891" s="5">
        <v>-145890279612201</v>
      </c>
      <c r="E891" s="5">
        <f>[1]!nefin_factors__1[[#This Row],[SMB]]/D890-1</f>
        <v>-1.4721001878035616</v>
      </c>
      <c r="F891" s="5">
        <v>-107214115695374</v>
      </c>
      <c r="G891" s="5">
        <f>[1]!nefin_factors__1[[#This Row],[HML]]/F890-1</f>
        <v>-1.96831767411182</v>
      </c>
      <c r="H891" s="5">
        <v>419931078467384</v>
      </c>
      <c r="I891" s="6">
        <f>[1]!nefin_factors__1[[#This Row],[Risk_Free]]/H890-1</f>
        <v>-4.2333633654648706E-3</v>
      </c>
      <c r="J891">
        <v>64854</v>
      </c>
      <c r="K891">
        <v>65302</v>
      </c>
      <c r="L891">
        <v>64854</v>
      </c>
      <c r="M891">
        <v>65178</v>
      </c>
      <c r="N891">
        <v>3121700</v>
      </c>
      <c r="O891">
        <v>65178</v>
      </c>
      <c r="P891">
        <v>5.2748473070516298E-3</v>
      </c>
      <c r="Q891">
        <v>5.2609840297397998E-3</v>
      </c>
      <c r="R891" s="8">
        <v>28.7065238952637</v>
      </c>
      <c r="S891" s="8">
        <v>1.84210732643093E-2</v>
      </c>
      <c r="T891" s="9">
        <v>1.82534605688787E-2</v>
      </c>
      <c r="U891" s="12">
        <v>3.8370000000000001E-2</v>
      </c>
      <c r="V891" s="16">
        <v>3.3128000000000002</v>
      </c>
      <c r="W891" s="17">
        <f t="shared" si="13"/>
        <v>-6.4183312338791376E-3</v>
      </c>
    </row>
    <row r="892" spans="1:23" x14ac:dyDescent="0.2">
      <c r="A892" s="14">
        <v>42838</v>
      </c>
      <c r="B892" s="3">
        <v>-137883185848609</v>
      </c>
      <c r="C892" s="3">
        <f>[1]!nefin_factors__1[[#This Row],[Rm_minus_Rf]]/B891-1</f>
        <v>-0.76996080367625108</v>
      </c>
      <c r="D892" s="3">
        <v>890050495985359</v>
      </c>
      <c r="E892" s="3">
        <f>[1]!nefin_factors__1[[#This Row],[SMB]]/D891-1</f>
        <v>-7.1008210989193472</v>
      </c>
      <c r="F892" s="3">
        <v>-264305556756028</v>
      </c>
      <c r="G892" s="3">
        <f>[1]!nefin_factors__1[[#This Row],[HML]]/F891-1</f>
        <v>1.4652123000948474</v>
      </c>
      <c r="H892" s="3">
        <v>418859527360427</v>
      </c>
      <c r="I892" s="4">
        <f>[1]!nefin_factors__1[[#This Row],[Risk_Free]]/H891-1</f>
        <v>-2.5517308956217732E-3</v>
      </c>
      <c r="J892">
        <v>65178</v>
      </c>
      <c r="K892">
        <v>65624</v>
      </c>
      <c r="L892">
        <v>65178</v>
      </c>
      <c r="M892">
        <v>65436</v>
      </c>
      <c r="N892">
        <v>2711600</v>
      </c>
      <c r="O892">
        <v>65436</v>
      </c>
      <c r="P892">
        <v>3.9583908680842503E-3</v>
      </c>
      <c r="Q892">
        <v>3.9505770522559203E-3</v>
      </c>
      <c r="R892" s="8">
        <v>28.723007202148398</v>
      </c>
      <c r="S892" s="8">
        <v>5.7426259817949799E-4</v>
      </c>
      <c r="T892" s="9">
        <v>5.7409777251278896E-4</v>
      </c>
      <c r="U892" s="12">
        <v>3.8370000000000001E-2</v>
      </c>
      <c r="V892" s="16">
        <v>3.3172000000000001</v>
      </c>
      <c r="W892" s="17">
        <f t="shared" si="13"/>
        <v>1.3281815986476708E-3</v>
      </c>
    </row>
    <row r="893" spans="1:23" x14ac:dyDescent="0.2">
      <c r="A893" s="15">
        <v>42842</v>
      </c>
      <c r="B893" s="5">
        <v>215012441549968</v>
      </c>
      <c r="C893" s="5">
        <f>[1]!nefin_factors__1[[#This Row],[Rm_minus_Rf]]/B892-1</f>
        <v>-2.5593811546104268</v>
      </c>
      <c r="D893" s="5">
        <v>145748244084586</v>
      </c>
      <c r="E893" s="5">
        <f>[1]!nefin_factors__1[[#This Row],[SMB]]/D892-1</f>
        <v>-0.83624721884657705</v>
      </c>
      <c r="F893" s="5">
        <v>566229174684566</v>
      </c>
      <c r="G893" s="5">
        <f>[1]!nefin_factors__1[[#This Row],[HML]]/F892-1</f>
        <v>-3.1423279239158561</v>
      </c>
      <c r="H893" s="5">
        <v>418859527360427</v>
      </c>
      <c r="I893" s="6">
        <f>[1]!nefin_factors__1[[#This Row],[Risk_Free]]/H892-1</f>
        <v>0</v>
      </c>
      <c r="J893">
        <v>65431</v>
      </c>
      <c r="K893">
        <v>65478</v>
      </c>
      <c r="L893">
        <v>65119</v>
      </c>
      <c r="M893">
        <v>65212</v>
      </c>
      <c r="N893">
        <v>2255300</v>
      </c>
      <c r="O893">
        <v>65212</v>
      </c>
      <c r="P893">
        <v>-3.4231921266580901E-3</v>
      </c>
      <c r="Q893">
        <v>-3.4290646545169401E-3</v>
      </c>
      <c r="R893" s="8">
        <v>28.104864120483398</v>
      </c>
      <c r="S893" s="8">
        <v>-2.1520887750237701E-2</v>
      </c>
      <c r="T893" s="9">
        <v>-2.1755839078232201E-2</v>
      </c>
      <c r="U893" s="12">
        <v>3.8370000000000001E-2</v>
      </c>
      <c r="V893" s="16">
        <v>3.3029999999999999</v>
      </c>
      <c r="W893" s="17">
        <f t="shared" si="13"/>
        <v>-4.2807186784035167E-3</v>
      </c>
    </row>
    <row r="894" spans="1:23" x14ac:dyDescent="0.2">
      <c r="A894" s="14">
        <v>42843</v>
      </c>
      <c r="B894" s="3">
        <v>-245703602196751</v>
      </c>
      <c r="C894" s="3">
        <f>[1]!nefin_factors__1[[#This Row],[Rm_minus_Rf]]/B893-1</f>
        <v>-2.1427413242951827</v>
      </c>
      <c r="D894" s="3">
        <v>-484507222062932</v>
      </c>
      <c r="E894" s="3">
        <f>[1]!nefin_factors__1[[#This Row],[SMB]]/D893-1</f>
        <v>-4.3242748487710418</v>
      </c>
      <c r="F894" s="3">
        <v>-911264902037525</v>
      </c>
      <c r="G894" s="3">
        <f>[1]!nefin_factors__1[[#This Row],[HML]]/F893-1</f>
        <v>-2.6093570285303134</v>
      </c>
      <c r="H894" s="3">
        <v>418859527360427</v>
      </c>
      <c r="I894" s="4">
        <f>[1]!nefin_factors__1[[#This Row],[Risk_Free]]/H893-1</f>
        <v>0</v>
      </c>
      <c r="J894">
        <v>65208</v>
      </c>
      <c r="K894">
        <v>65338</v>
      </c>
      <c r="L894">
        <v>64943</v>
      </c>
      <c r="M894">
        <v>65338</v>
      </c>
      <c r="N894">
        <v>2213500</v>
      </c>
      <c r="O894">
        <v>65338</v>
      </c>
      <c r="P894">
        <v>1.9321597252040001E-3</v>
      </c>
      <c r="Q894">
        <v>1.93029550552935E-3</v>
      </c>
      <c r="R894" s="8">
        <v>28.2779445648193</v>
      </c>
      <c r="S894" s="8">
        <v>6.1583879940312301E-3</v>
      </c>
      <c r="T894" s="9">
        <v>6.1395026186735896E-3</v>
      </c>
      <c r="U894" s="12">
        <v>3.8370000000000001E-2</v>
      </c>
      <c r="V894" s="16">
        <v>3.2951999999999999</v>
      </c>
      <c r="W894" s="17">
        <f t="shared" si="13"/>
        <v>-2.3614895549500803E-3</v>
      </c>
    </row>
    <row r="895" spans="1:23" x14ac:dyDescent="0.2">
      <c r="A895" s="15">
        <v>42844</v>
      </c>
      <c r="B895" s="5">
        <v>-10663303901632</v>
      </c>
      <c r="C895" s="5">
        <f>[1]!nefin_factors__1[[#This Row],[Rm_minus_Rf]]/B894-1</f>
        <v>-0.95660094599226431</v>
      </c>
      <c r="D895" s="5">
        <v>116969267335136</v>
      </c>
      <c r="E895" s="5">
        <f>[1]!nefin_factors__1[[#This Row],[SMB]]/D894-1</f>
        <v>-1.2414190377536685</v>
      </c>
      <c r="F895" s="5">
        <v>-199286328018868</v>
      </c>
      <c r="G895" s="5">
        <f>[1]!nefin_factors__1[[#This Row],[HML]]/F894-1</f>
        <v>-0.78130801748945056</v>
      </c>
      <c r="H895" s="5">
        <v>418859527360427</v>
      </c>
      <c r="I895" s="6">
        <f>[1]!nefin_factors__1[[#This Row],[Risk_Free]]/H894-1</f>
        <v>0</v>
      </c>
      <c r="J895">
        <v>65337</v>
      </c>
      <c r="K895">
        <v>65604</v>
      </c>
      <c r="L895">
        <v>64874</v>
      </c>
      <c r="M895">
        <v>65180</v>
      </c>
      <c r="N895">
        <v>2622700</v>
      </c>
      <c r="O895">
        <v>65180</v>
      </c>
      <c r="P895">
        <v>-2.4181946187516999E-3</v>
      </c>
      <c r="Q895">
        <v>-2.42112317352167E-3</v>
      </c>
      <c r="R895" s="8">
        <v>28.3521213531494</v>
      </c>
      <c r="S895" s="8">
        <v>2.6231744962261802E-3</v>
      </c>
      <c r="T895" s="9">
        <v>2.6197399789217E-3</v>
      </c>
      <c r="U895" s="12">
        <v>3.8370000000000001E-2</v>
      </c>
      <c r="V895" s="16">
        <v>3.3081999999999998</v>
      </c>
      <c r="W895" s="17">
        <f t="shared" si="13"/>
        <v>3.9451323136683314E-3</v>
      </c>
    </row>
    <row r="896" spans="1:23" x14ac:dyDescent="0.2">
      <c r="A896" s="14">
        <v>42845</v>
      </c>
      <c r="B896" s="3">
        <v>411399409189238</v>
      </c>
      <c r="C896" s="3">
        <f>[1]!nefin_factors__1[[#This Row],[Rm_minus_Rf]]/B895-1</f>
        <v>-39.580857582636661</v>
      </c>
      <c r="D896" s="3">
        <v>-342135930125708</v>
      </c>
      <c r="E896" s="3">
        <f>[1]!nefin_factors__1[[#This Row],[SMB]]/D895-1</f>
        <v>-3.9250070374933004</v>
      </c>
      <c r="F896" s="3">
        <v>39866505527776</v>
      </c>
      <c r="G896" s="3">
        <f>[1]!nefin_factors__1[[#This Row],[HML]]/F895-1</f>
        <v>-1.200046365067259</v>
      </c>
      <c r="H896" s="3">
        <v>418859527360427</v>
      </c>
      <c r="I896" s="4">
        <f>[1]!nefin_factors__1[[#This Row],[Risk_Free]]/H895-1</f>
        <v>0</v>
      </c>
      <c r="J896">
        <v>65178</v>
      </c>
      <c r="K896">
        <v>65505</v>
      </c>
      <c r="L896">
        <v>64898</v>
      </c>
      <c r="M896">
        <v>64938</v>
      </c>
      <c r="N896">
        <v>2252900</v>
      </c>
      <c r="O896">
        <v>64938</v>
      </c>
      <c r="P896">
        <v>-3.71279533599267E-3</v>
      </c>
      <c r="Q896">
        <v>-3.71970486835116E-3</v>
      </c>
      <c r="R896" s="8">
        <v>28.838394165039102</v>
      </c>
      <c r="S896" s="8">
        <v>1.71511604846468E-2</v>
      </c>
      <c r="T896" s="9">
        <v>1.7005739733077702E-2</v>
      </c>
      <c r="U896" s="12">
        <v>3.8370000000000001E-2</v>
      </c>
      <c r="V896" s="16">
        <v>3.3014999999999999</v>
      </c>
      <c r="W896" s="17">
        <f t="shared" si="13"/>
        <v>-2.0252705398705606E-3</v>
      </c>
    </row>
    <row r="897" spans="1:23" x14ac:dyDescent="0.2">
      <c r="A897" s="15">
        <v>42849</v>
      </c>
      <c r="B897" s="5">
        <v>832949147428001</v>
      </c>
      <c r="C897" s="5">
        <f>[1]!nefin_factors__1[[#This Row],[Rm_minus_Rf]]/B896-1</f>
        <v>1.0246726874730538</v>
      </c>
      <c r="D897" s="5">
        <v>126083381127018</v>
      </c>
      <c r="E897" s="5">
        <f>[1]!nefin_factors__1[[#This Row],[SMB]]/D896-1</f>
        <v>-1.3685183870653173</v>
      </c>
      <c r="F897" s="5">
        <v>-213159076293303</v>
      </c>
      <c r="G897" s="5">
        <f>[1]!nefin_factors__1[[#This Row],[HML]]/F896-1</f>
        <v>-6.3468211841338764</v>
      </c>
      <c r="H897" s="5">
        <v>418859527360427</v>
      </c>
      <c r="I897" s="6">
        <f>[1]!nefin_factors__1[[#This Row],[Risk_Free]]/H896-1</f>
        <v>0</v>
      </c>
      <c r="J897">
        <v>64936</v>
      </c>
      <c r="K897">
        <v>65150</v>
      </c>
      <c r="L897">
        <v>64599</v>
      </c>
      <c r="M897">
        <v>64684</v>
      </c>
      <c r="N897">
        <v>2125500</v>
      </c>
      <c r="O897">
        <v>64684</v>
      </c>
      <c r="P897">
        <v>-3.9114232036712203E-3</v>
      </c>
      <c r="Q897">
        <v>-3.9190928253669899E-3</v>
      </c>
      <c r="R897" s="8">
        <v>28.813667297363299</v>
      </c>
      <c r="S897" s="8">
        <v>-8.5742104595332201E-4</v>
      </c>
      <c r="T897" s="9">
        <v>-8.5778884163054201E-4</v>
      </c>
      <c r="U897" s="12">
        <v>3.8370000000000001E-2</v>
      </c>
      <c r="V897" s="16">
        <v>3.3050000000000002</v>
      </c>
      <c r="W897" s="17">
        <f t="shared" si="13"/>
        <v>1.06012418597623E-3</v>
      </c>
    </row>
    <row r="898" spans="1:23" x14ac:dyDescent="0.2">
      <c r="A898" s="14">
        <v>42850</v>
      </c>
      <c r="B898" s="3">
        <v>121819919702136</v>
      </c>
      <c r="C898" s="3">
        <f>[1]!nefin_factors__1[[#This Row],[Rm_minus_Rf]]/B897-1</f>
        <v>-0.85374867111840591</v>
      </c>
      <c r="D898" s="3">
        <v>308197153586853</v>
      </c>
      <c r="E898" s="3">
        <f>[1]!nefin_factors__1[[#This Row],[SMB]]/D897-1</f>
        <v>1.4443915671675338</v>
      </c>
      <c r="F898" s="3">
        <v>435355354083634</v>
      </c>
      <c r="G898" s="3">
        <f>[1]!nefin_factors__1[[#This Row],[HML]]/F897-1</f>
        <v>-3.0423965127555395</v>
      </c>
      <c r="H898" s="3">
        <v>41850227963014</v>
      </c>
      <c r="I898" s="4">
        <f>[1]!nefin_factors__1[[#This Row],[Risk_Free]]/H897-1</f>
        <v>-0.90008529058239128</v>
      </c>
      <c r="J898">
        <v>64695</v>
      </c>
      <c r="K898">
        <v>65104</v>
      </c>
      <c r="L898">
        <v>64678</v>
      </c>
      <c r="M898">
        <v>65100</v>
      </c>
      <c r="N898">
        <v>1908900</v>
      </c>
      <c r="O898">
        <v>65100</v>
      </c>
      <c r="P898">
        <v>6.4312658462679596E-3</v>
      </c>
      <c r="Q898">
        <v>6.4106734988261197E-3</v>
      </c>
      <c r="R898" s="8">
        <v>28.846635818481399</v>
      </c>
      <c r="S898" s="8">
        <v>1.1442543809576701E-3</v>
      </c>
      <c r="T898" s="9">
        <v>1.14360022088296E-3</v>
      </c>
      <c r="U898" s="12">
        <v>3.8370000000000001E-2</v>
      </c>
      <c r="V898" s="16">
        <v>3.3193000000000001</v>
      </c>
      <c r="W898" s="17">
        <f t="shared" si="13"/>
        <v>4.326777609682253E-3</v>
      </c>
    </row>
    <row r="899" spans="1:23" x14ac:dyDescent="0.2">
      <c r="A899" s="15">
        <v>42851</v>
      </c>
      <c r="B899" s="5">
        <v>-389753410678784</v>
      </c>
      <c r="C899" s="5">
        <f>[1]!nefin_factors__1[[#This Row],[Rm_minus_Rf]]/B898-1</f>
        <v>-4.1994226529764331</v>
      </c>
      <c r="D899" s="5">
        <v>-283413928383106</v>
      </c>
      <c r="E899" s="5">
        <f>[1]!nefin_factors__1[[#This Row],[SMB]]/D898-1</f>
        <v>-1.9195864565414851</v>
      </c>
      <c r="F899" s="5">
        <v>-286926432846276</v>
      </c>
      <c r="G899" s="5">
        <f>[1]!nefin_factors__1[[#This Row],[HML]]/F898-1</f>
        <v>-1.6590626028941773</v>
      </c>
      <c r="H899" s="5">
        <v>419216743072992</v>
      </c>
      <c r="I899" s="6">
        <f>[1]!nefin_factors__1[[#This Row],[Risk_Free]]/H898-1</f>
        <v>9.0170719128097332</v>
      </c>
      <c r="J899">
        <v>65101</v>
      </c>
      <c r="K899">
        <v>65749</v>
      </c>
      <c r="L899">
        <v>65101</v>
      </c>
      <c r="M899">
        <v>65668</v>
      </c>
      <c r="N899">
        <v>2737400</v>
      </c>
      <c r="O899">
        <v>65668</v>
      </c>
      <c r="P899">
        <v>8.7250384024577504E-3</v>
      </c>
      <c r="Q899">
        <v>8.6871952177482101E-3</v>
      </c>
      <c r="R899" s="8">
        <v>29.258729934692401</v>
      </c>
      <c r="S899" s="8">
        <v>1.42856794179311E-2</v>
      </c>
      <c r="T899" s="9">
        <v>1.41846006152682E-2</v>
      </c>
      <c r="U899" s="12">
        <v>3.8370000000000001E-2</v>
      </c>
      <c r="V899" s="16">
        <v>3.3064</v>
      </c>
      <c r="W899" s="17">
        <f t="shared" si="13"/>
        <v>-3.8863615822614106E-3</v>
      </c>
    </row>
    <row r="900" spans="1:23" x14ac:dyDescent="0.2">
      <c r="A900" s="14">
        <v>42852</v>
      </c>
      <c r="B900" s="3">
        <v>-313789533667354</v>
      </c>
      <c r="C900" s="3">
        <f>[1]!nefin_factors__1[[#This Row],[Rm_minus_Rf]]/B899-1</f>
        <v>-0.19490240477724974</v>
      </c>
      <c r="D900" s="3">
        <v>108122267101228</v>
      </c>
      <c r="E900" s="3">
        <f>[1]!nefin_factors__1[[#This Row],[SMB]]/D899-1</f>
        <v>-1.3814994828167841</v>
      </c>
      <c r="F900" s="3">
        <v>-100827592261542</v>
      </c>
      <c r="G900" s="3">
        <f>[1]!nefin_factors__1[[#This Row],[HML]]/F899-1</f>
        <v>-0.64859427114698254</v>
      </c>
      <c r="H900" s="3">
        <v>418859527360427</v>
      </c>
      <c r="I900" s="4">
        <f>[1]!nefin_factors__1[[#This Row],[Risk_Free]]/H899-1</f>
        <v>-8.5210268546642709E-4</v>
      </c>
      <c r="J900">
        <v>65668</v>
      </c>
      <c r="K900">
        <v>65873</v>
      </c>
      <c r="L900">
        <v>64992</v>
      </c>
      <c r="M900">
        <v>65011</v>
      </c>
      <c r="N900">
        <v>2942300</v>
      </c>
      <c r="O900">
        <v>65011</v>
      </c>
      <c r="P900">
        <v>-1.0004872997502599E-2</v>
      </c>
      <c r="Q900">
        <v>-1.00552580853152E-2</v>
      </c>
      <c r="R900" s="8">
        <v>29.176311492919901</v>
      </c>
      <c r="S900" s="8">
        <v>-2.8169213673733301E-3</v>
      </c>
      <c r="T900" s="9">
        <v>-2.8208963569453E-3</v>
      </c>
      <c r="U900" s="12">
        <v>3.8370000000000001E-2</v>
      </c>
      <c r="V900" s="16">
        <v>3.2894999999999999</v>
      </c>
      <c r="W900" s="17">
        <f t="shared" ref="W900:W963" si="14">V900/V899-1</f>
        <v>-5.1112992983305405E-3</v>
      </c>
    </row>
    <row r="901" spans="1:23" x14ac:dyDescent="0.2">
      <c r="A901" s="15">
        <v>42853</v>
      </c>
      <c r="B901" s="5">
        <v>114756257928455</v>
      </c>
      <c r="C901" s="5">
        <f>[1]!nefin_factors__1[[#This Row],[Rm_minus_Rf]]/B900-1</f>
        <v>-1.3657109164453753</v>
      </c>
      <c r="D901" s="5">
        <v>392243977067492</v>
      </c>
      <c r="E901" s="5">
        <f>[1]!nefin_factors__1[[#This Row],[SMB]]/D900-1</f>
        <v>2.6277816548210087</v>
      </c>
      <c r="F901" s="5">
        <v>-571056677020669</v>
      </c>
      <c r="G901" s="5">
        <f>[1]!nefin_factors__1[[#This Row],[HML]]/F900-1</f>
        <v>4.6636944730305077</v>
      </c>
      <c r="H901" s="5">
        <v>418859527360427</v>
      </c>
      <c r="I901" s="6">
        <f>[1]!nefin_factors__1[[#This Row],[Risk_Free]]/H900-1</f>
        <v>0</v>
      </c>
      <c r="J901">
        <v>65013</v>
      </c>
      <c r="K901">
        <v>65678</v>
      </c>
      <c r="L901">
        <v>65013</v>
      </c>
      <c r="M901">
        <v>65277</v>
      </c>
      <c r="N901">
        <v>2483900</v>
      </c>
      <c r="O901">
        <v>65277</v>
      </c>
      <c r="P901">
        <v>4.0916152651089303E-3</v>
      </c>
      <c r="Q901">
        <v>4.0832673705380801E-3</v>
      </c>
      <c r="R901" s="8">
        <v>29.464778900146499</v>
      </c>
      <c r="S901" s="8">
        <v>9.8870088687870207E-3</v>
      </c>
      <c r="T901" s="9">
        <v>9.8384521878420294E-3</v>
      </c>
      <c r="U901" s="12">
        <v>3.8370000000000001E-2</v>
      </c>
      <c r="V901" s="16">
        <v>3.2650000000000001</v>
      </c>
      <c r="W901" s="17">
        <f t="shared" si="14"/>
        <v>-7.4479404164765617E-3</v>
      </c>
    </row>
    <row r="902" spans="1:23" x14ac:dyDescent="0.2">
      <c r="A902" s="14">
        <v>42857</v>
      </c>
      <c r="B902" s="3">
        <v>182148807594955</v>
      </c>
      <c r="C902" s="3">
        <f>[1]!nefin_factors__1[[#This Row],[Rm_minus_Rf]]/B901-1</f>
        <v>0.58726688097930135</v>
      </c>
      <c r="D902" s="3">
        <v>476502827304065</v>
      </c>
      <c r="E902" s="3">
        <f>[1]!nefin_factors__1[[#This Row],[SMB]]/D901-1</f>
        <v>0.21481234936100724</v>
      </c>
      <c r="F902" s="3">
        <v>244358081483042</v>
      </c>
      <c r="G902" s="3">
        <f>[1]!nefin_factors__1[[#This Row],[HML]]/F901-1</f>
        <v>-1.4279051297638494</v>
      </c>
      <c r="H902" s="3">
        <v>418859527360427</v>
      </c>
      <c r="I902" s="4">
        <f>[1]!nefin_factors__1[[#This Row],[Risk_Free]]/H901-1</f>
        <v>0</v>
      </c>
      <c r="J902">
        <v>65253</v>
      </c>
      <c r="K902">
        <v>65497</v>
      </c>
      <c r="L902">
        <v>64953</v>
      </c>
      <c r="M902">
        <v>65497</v>
      </c>
      <c r="N902">
        <v>2760700</v>
      </c>
      <c r="O902">
        <v>65497</v>
      </c>
      <c r="P902">
        <v>3.37025292216242E-3</v>
      </c>
      <c r="Q902">
        <v>3.3645863480719499E-3</v>
      </c>
      <c r="R902" s="8">
        <v>29.044441223144499</v>
      </c>
      <c r="S902" s="8">
        <v>-1.42656895570045E-2</v>
      </c>
      <c r="T902" s="9">
        <v>-1.43684227162759E-2</v>
      </c>
      <c r="U902" s="12">
        <v>3.8370000000000001E-2</v>
      </c>
      <c r="V902" s="16">
        <v>3.2522000000000002</v>
      </c>
      <c r="W902" s="17">
        <f t="shared" si="14"/>
        <v>-3.9203675344563482E-3</v>
      </c>
    </row>
    <row r="903" spans="1:23" x14ac:dyDescent="0.2">
      <c r="A903" s="15">
        <v>42858</v>
      </c>
      <c r="B903" s="5">
        <v>-754584102397361</v>
      </c>
      <c r="C903" s="5">
        <f>[1]!nefin_factors__1[[#This Row],[Rm_minus_Rf]]/B902-1</f>
        <v>-5.1426793420209069</v>
      </c>
      <c r="D903" s="5">
        <v>159403454238989</v>
      </c>
      <c r="E903" s="5">
        <f>[1]!nefin_factors__1[[#This Row],[SMB]]/D902-1</f>
        <v>-0.66547217538906478</v>
      </c>
      <c r="F903" s="5">
        <v>-272740350477373</v>
      </c>
      <c r="G903" s="5">
        <f>[1]!nefin_factors__1[[#This Row],[HML]]/F902-1</f>
        <v>-2.1161503185082942</v>
      </c>
      <c r="H903" s="5">
        <v>417072968415644</v>
      </c>
      <c r="I903" s="6">
        <f>[1]!nefin_factors__1[[#This Row],[Risk_Free]]/H902-1</f>
        <v>-4.2652937991921602E-3</v>
      </c>
      <c r="J903">
        <v>65503</v>
      </c>
      <c r="K903">
        <v>66048</v>
      </c>
      <c r="L903">
        <v>65503</v>
      </c>
      <c r="M903">
        <v>65920</v>
      </c>
      <c r="N903">
        <v>2572700</v>
      </c>
      <c r="O903">
        <v>65920</v>
      </c>
      <c r="P903">
        <v>6.4583110676825796E-3</v>
      </c>
      <c r="Q903">
        <v>6.4375455356496204E-3</v>
      </c>
      <c r="R903" s="8">
        <v>29.382358551025401</v>
      </c>
      <c r="S903" s="8">
        <v>1.1634440205522401E-2</v>
      </c>
      <c r="T903" s="9">
        <v>1.1567280514416901E-2</v>
      </c>
      <c r="U903" s="12">
        <v>3.8370000000000001E-2</v>
      </c>
      <c r="V903" s="16">
        <v>3.2263999999999999</v>
      </c>
      <c r="W903" s="17">
        <f t="shared" si="14"/>
        <v>-7.9330914457905743E-3</v>
      </c>
    </row>
    <row r="904" spans="1:23" x14ac:dyDescent="0.2">
      <c r="A904" s="14">
        <v>42859</v>
      </c>
      <c r="B904" s="3">
        <v>-166285098399916</v>
      </c>
      <c r="C904" s="3">
        <f>[1]!nefin_factors__1[[#This Row],[Rm_minus_Rf]]/B903-1</f>
        <v>-0.77963344593184802</v>
      </c>
      <c r="D904" s="3">
        <v>-63348117686628</v>
      </c>
      <c r="E904" s="3">
        <f>[1]!nefin_factors__1[[#This Row],[SMB]]/D903-1</f>
        <v>-1.3974074337915663</v>
      </c>
      <c r="F904" s="3">
        <v>-204647309126504</v>
      </c>
      <c r="G904" s="3">
        <f>[1]!nefin_factors__1[[#This Row],[HML]]/F903-1</f>
        <v>-0.24966251319867727</v>
      </c>
      <c r="H904" s="3">
        <v>415643144455302</v>
      </c>
      <c r="I904" s="4">
        <f>[1]!nefin_factors__1[[#This Row],[Risk_Free]]/H903-1</f>
        <v>-3.428234550355902E-3</v>
      </c>
      <c r="J904">
        <v>65925</v>
      </c>
      <c r="K904">
        <v>66606</v>
      </c>
      <c r="L904">
        <v>65925</v>
      </c>
      <c r="M904">
        <v>66516</v>
      </c>
      <c r="N904">
        <v>2762600</v>
      </c>
      <c r="O904">
        <v>66516</v>
      </c>
      <c r="P904">
        <v>9.0412621359223806E-3</v>
      </c>
      <c r="Q904">
        <v>9.0006346244517303E-3</v>
      </c>
      <c r="R904" s="8">
        <v>29.069166183471701</v>
      </c>
      <c r="S904" s="8">
        <v>-1.06592225148894E-2</v>
      </c>
      <c r="T904" s="9">
        <v>-1.07164389791101E-2</v>
      </c>
      <c r="U904" s="12">
        <v>3.8370000000000001E-2</v>
      </c>
      <c r="V904" s="16">
        <v>3.2107999999999999</v>
      </c>
      <c r="W904" s="17">
        <f t="shared" si="14"/>
        <v>-4.8351103396975237E-3</v>
      </c>
    </row>
    <row r="905" spans="1:23" x14ac:dyDescent="0.2">
      <c r="A905" s="15">
        <v>42860</v>
      </c>
      <c r="B905" s="5">
        <v>103797779101563</v>
      </c>
      <c r="C905" s="5">
        <f>[1]!nefin_factors__1[[#This Row],[Rm_minus_Rf]]/B904-1</f>
        <v>-1.6242157601634821</v>
      </c>
      <c r="D905" s="5">
        <v>-49048112819464</v>
      </c>
      <c r="E905" s="5">
        <f>[1]!nefin_factors__1[[#This Row],[SMB]]/D904-1</f>
        <v>-0.22573685516440456</v>
      </c>
      <c r="F905" s="5">
        <v>424632543938156</v>
      </c>
      <c r="G905" s="5">
        <f>[1]!nefin_factors__1[[#This Row],[HML]]/F904-1</f>
        <v>-3.0749480936280809</v>
      </c>
      <c r="H905" s="5">
        <v>415285608305505</v>
      </c>
      <c r="I905" s="6">
        <f>[1]!nefin_factors__1[[#This Row],[Risk_Free]]/H904-1</f>
        <v>-8.6019980015683561E-4</v>
      </c>
      <c r="J905">
        <v>66504</v>
      </c>
      <c r="K905">
        <v>67277</v>
      </c>
      <c r="L905">
        <v>66305</v>
      </c>
      <c r="M905">
        <v>67136</v>
      </c>
      <c r="N905">
        <v>3713700</v>
      </c>
      <c r="O905">
        <v>67136</v>
      </c>
      <c r="P905">
        <v>9.3210656082747308E-3</v>
      </c>
      <c r="Q905">
        <v>9.2778925481640604E-3</v>
      </c>
      <c r="R905" s="8">
        <v>29.415325164794901</v>
      </c>
      <c r="S905" s="8">
        <v>1.19081282806728E-2</v>
      </c>
      <c r="T905" s="9">
        <v>1.18377844129575E-2</v>
      </c>
      <c r="U905" s="12">
        <v>3.8370000000000001E-2</v>
      </c>
      <c r="V905" s="16">
        <v>3.1899000000000002</v>
      </c>
      <c r="W905" s="17">
        <f t="shared" si="14"/>
        <v>-6.5092811760307789E-3</v>
      </c>
    </row>
    <row r="906" spans="1:23" x14ac:dyDescent="0.2">
      <c r="A906" s="14">
        <v>42863</v>
      </c>
      <c r="B906" s="3">
        <v>-233709250075703</v>
      </c>
      <c r="C906" s="3">
        <f>[1]!nefin_factors__1[[#This Row],[Rm_minus_Rf]]/B905-1</f>
        <v>-3.2515823758331623</v>
      </c>
      <c r="D906" s="3">
        <v>565590850639049</v>
      </c>
      <c r="E906" s="3">
        <f>[1]!nefin_factors__1[[#This Row],[SMB]]/D905-1</f>
        <v>-12.53134785676408</v>
      </c>
      <c r="F906" s="3">
        <v>-845105499602823</v>
      </c>
      <c r="G906" s="3">
        <f>[1]!nefin_factors__1[[#This Row],[HML]]/F905-1</f>
        <v>-2.9902042640563726</v>
      </c>
      <c r="H906" s="3">
        <v>412066338871364</v>
      </c>
      <c r="I906" s="4">
        <f>[1]!nefin_factors__1[[#This Row],[Risk_Free]]/H905-1</f>
        <v>-7.7519407601833734E-3</v>
      </c>
      <c r="J906">
        <v>67136</v>
      </c>
      <c r="K906">
        <v>67256</v>
      </c>
      <c r="L906">
        <v>66705</v>
      </c>
      <c r="M906">
        <v>66777</v>
      </c>
      <c r="N906">
        <v>2722400</v>
      </c>
      <c r="O906">
        <v>66777</v>
      </c>
      <c r="P906">
        <v>-5.3473546234509301E-3</v>
      </c>
      <c r="Q906">
        <v>-5.3617028972493099E-3</v>
      </c>
      <c r="R906" s="8">
        <v>28.929054260253899</v>
      </c>
      <c r="S906" s="8">
        <v>-1.6531173564058099E-2</v>
      </c>
      <c r="T906" s="9">
        <v>-1.6669338212622498E-2</v>
      </c>
      <c r="U906" s="12">
        <v>3.8370000000000001E-2</v>
      </c>
      <c r="V906" s="16">
        <v>3.1821000000000002</v>
      </c>
      <c r="W906" s="17">
        <f t="shared" si="14"/>
        <v>-2.4452177184237645E-3</v>
      </c>
    </row>
    <row r="907" spans="1:23" x14ac:dyDescent="0.2">
      <c r="A907" s="15">
        <v>42864</v>
      </c>
      <c r="B907" s="5">
        <v>999787137832475</v>
      </c>
      <c r="C907" s="5">
        <f>[1]!nefin_factors__1[[#This Row],[Rm_minus_Rf]]/B906-1</f>
        <v>-5.2779099993202001</v>
      </c>
      <c r="D907" s="5">
        <v>122024075979923</v>
      </c>
      <c r="E907" s="5">
        <f>[1]!nefin_factors__1[[#This Row],[SMB]]/D906-1</f>
        <v>-0.78425380141483791</v>
      </c>
      <c r="F907" s="5">
        <v>344587810162118</v>
      </c>
      <c r="G907" s="5">
        <f>[1]!nefin_factors__1[[#This Row],[HML]]/F906-1</f>
        <v>-1.407745317388261</v>
      </c>
      <c r="H907" s="5">
        <v>409918713776491</v>
      </c>
      <c r="I907" s="6">
        <f>[1]!nefin_factors__1[[#This Row],[Risk_Free]]/H906-1</f>
        <v>-5.2118430754506395E-3</v>
      </c>
      <c r="J907">
        <v>66783</v>
      </c>
      <c r="K907">
        <v>67104</v>
      </c>
      <c r="L907">
        <v>66525</v>
      </c>
      <c r="M907">
        <v>66898</v>
      </c>
      <c r="N907">
        <v>2370900</v>
      </c>
      <c r="O907">
        <v>66898</v>
      </c>
      <c r="P907">
        <v>1.81200113811641E-3</v>
      </c>
      <c r="Q907">
        <v>1.81036144450647E-3</v>
      </c>
      <c r="R907" s="8">
        <v>29.0526828765869</v>
      </c>
      <c r="S907" s="8">
        <v>4.2734670039090697E-3</v>
      </c>
      <c r="T907" s="9">
        <v>4.2643616754556597E-3</v>
      </c>
      <c r="U907" s="12">
        <v>3.8370000000000001E-2</v>
      </c>
      <c r="V907" s="16">
        <v>3.1667999999999998</v>
      </c>
      <c r="W907" s="17">
        <f t="shared" si="14"/>
        <v>-4.8081455642501325E-3</v>
      </c>
    </row>
    <row r="908" spans="1:23" x14ac:dyDescent="0.2">
      <c r="A908" s="14">
        <v>42865</v>
      </c>
      <c r="B908" s="3">
        <v>151934827317275</v>
      </c>
      <c r="C908" s="3">
        <f>[1]!nefin_factors__1[[#This Row],[Rm_minus_Rf]]/B907-1</f>
        <v>-0.84803282462038099</v>
      </c>
      <c r="D908" s="3">
        <v>-734877780794545</v>
      </c>
      <c r="E908" s="3">
        <f>[1]!nefin_factors__1[[#This Row],[SMB]]/D907-1</f>
        <v>-7.0223998820975027</v>
      </c>
      <c r="F908" s="3">
        <v>-762446677045976</v>
      </c>
      <c r="G908" s="3">
        <f>[1]!nefin_factors__1[[#This Row],[HML]]/F907-1</f>
        <v>-3.2126339196017066</v>
      </c>
      <c r="H908" s="3">
        <v>40812814179314</v>
      </c>
      <c r="I908" s="4">
        <f>[1]!nefin_factors__1[[#This Row],[Risk_Free]]/H907-1</f>
        <v>-0.9004368114758301</v>
      </c>
      <c r="J908">
        <v>66898</v>
      </c>
      <c r="K908">
        <v>68043</v>
      </c>
      <c r="L908">
        <v>66887</v>
      </c>
      <c r="M908">
        <v>67940</v>
      </c>
      <c r="N908">
        <v>2996800</v>
      </c>
      <c r="O908">
        <v>67940</v>
      </c>
      <c r="P908">
        <v>1.55759514484739E-2</v>
      </c>
      <c r="Q908">
        <v>1.54558914113488E-2</v>
      </c>
      <c r="R908" s="8">
        <v>29.1351013183594</v>
      </c>
      <c r="S908" s="8">
        <v>2.8368323580243398E-3</v>
      </c>
      <c r="T908" s="9">
        <v>2.8328161428704201E-3</v>
      </c>
      <c r="U908" s="12">
        <v>3.8370000000000001E-2</v>
      </c>
      <c r="V908" s="16">
        <v>3.1533000000000002</v>
      </c>
      <c r="W908" s="17">
        <f t="shared" si="14"/>
        <v>-4.2629784009092786E-3</v>
      </c>
    </row>
    <row r="909" spans="1:23" x14ac:dyDescent="0.2">
      <c r="A909" s="15">
        <v>42866</v>
      </c>
      <c r="B909" s="5">
        <v>492295536701044</v>
      </c>
      <c r="C909" s="5">
        <f>[1]!nefin_factors__1[[#This Row],[Rm_minus_Rf]]/B908-1</f>
        <v>2.2401757081871509</v>
      </c>
      <c r="D909" s="5">
        <v>343605515523501</v>
      </c>
      <c r="E909" s="5">
        <f>[1]!nefin_factors__1[[#This Row],[SMB]]/D908-1</f>
        <v>-1.4675682467253222</v>
      </c>
      <c r="F909" s="5">
        <v>-478788466808239</v>
      </c>
      <c r="G909" s="5">
        <f>[1]!nefin_factors__1[[#This Row],[HML]]/F908-1</f>
        <v>-0.372036784705709</v>
      </c>
      <c r="H909" s="5">
        <v>406336765033322</v>
      </c>
      <c r="I909" s="6">
        <f>[1]!nefin_factors__1[[#This Row],[Risk_Free]]/H908-1</f>
        <v>8.9561074923197541</v>
      </c>
      <c r="J909">
        <v>67936</v>
      </c>
      <c r="K909">
        <v>68500</v>
      </c>
      <c r="L909">
        <v>67671</v>
      </c>
      <c r="M909">
        <v>67899</v>
      </c>
      <c r="N909">
        <v>3134300</v>
      </c>
      <c r="O909">
        <v>67899</v>
      </c>
      <c r="P909">
        <v>-6.0347365322344104E-4</v>
      </c>
      <c r="Q909">
        <v>-6.0365581673944998E-4</v>
      </c>
      <c r="R909" s="8">
        <v>29.0938911437988</v>
      </c>
      <c r="S909" s="8">
        <v>-1.4143701890771999E-3</v>
      </c>
      <c r="T909" s="9">
        <v>-1.4153713547169801E-3</v>
      </c>
      <c r="U909" s="12">
        <v>3.8370000000000001E-2</v>
      </c>
      <c r="V909" s="16">
        <v>3.1402000000000001</v>
      </c>
      <c r="W909" s="17">
        <f t="shared" si="14"/>
        <v>-4.1543779532553504E-3</v>
      </c>
    </row>
    <row r="910" spans="1:23" x14ac:dyDescent="0.2">
      <c r="A910" s="14">
        <v>42867</v>
      </c>
      <c r="B910" s="3">
        <v>954646899360109</v>
      </c>
      <c r="C910" s="3">
        <f>[1]!nefin_factors__1[[#This Row],[Rm_minus_Rf]]/B909-1</f>
        <v>0.93917439462758479</v>
      </c>
      <c r="D910" s="3">
        <v>140381181051686</v>
      </c>
      <c r="E910" s="3">
        <f>[1]!nefin_factors__1[[#This Row],[SMB]]/D909-1</f>
        <v>-0.59144665987736578</v>
      </c>
      <c r="F910" s="3">
        <v>-247468413888263</v>
      </c>
      <c r="G910" s="3">
        <f>[1]!nefin_factors__1[[#This Row],[HML]]/F909-1</f>
        <v>-0.48313622602906736</v>
      </c>
      <c r="H910" s="3">
        <v>405261552383074</v>
      </c>
      <c r="I910" s="4">
        <f>[1]!nefin_factors__1[[#This Row],[Risk_Free]]/H909-1</f>
        <v>-2.6461121482812544E-3</v>
      </c>
      <c r="J910">
        <v>67894</v>
      </c>
      <c r="K910">
        <v>67894</v>
      </c>
      <c r="L910">
        <v>67290</v>
      </c>
      <c r="M910">
        <v>67671</v>
      </c>
      <c r="N910">
        <v>2488000</v>
      </c>
      <c r="O910">
        <v>67671</v>
      </c>
      <c r="P910">
        <v>-3.3579286881986201E-3</v>
      </c>
      <c r="Q910">
        <v>-3.3635791835891602E-3</v>
      </c>
      <c r="R910" s="8">
        <v>29.423568725585898</v>
      </c>
      <c r="S910" s="8">
        <v>1.13315255021169E-2</v>
      </c>
      <c r="T910" s="9">
        <v>1.12678046845668E-2</v>
      </c>
      <c r="U910" s="12">
        <v>3.8370000000000001E-2</v>
      </c>
      <c r="V910" s="16">
        <v>3.1255999999999999</v>
      </c>
      <c r="W910" s="17">
        <f t="shared" si="14"/>
        <v>-4.6493853894656878E-3</v>
      </c>
    </row>
    <row r="911" spans="1:23" x14ac:dyDescent="0.2">
      <c r="A911" s="15">
        <v>42870</v>
      </c>
      <c r="B911" s="5">
        <v>188387607818279</v>
      </c>
      <c r="C911" s="5">
        <f>[1]!nefin_factors__1[[#This Row],[Rm_minus_Rf]]/B910-1</f>
        <v>-0.80266252585688647</v>
      </c>
      <c r="D911" s="5">
        <v>409197009810827</v>
      </c>
      <c r="E911" s="5">
        <f>[1]!nefin_factors__1[[#This Row],[SMB]]/D910-1</f>
        <v>1.9148993244341455</v>
      </c>
      <c r="F911" s="5">
        <v>730729785836695</v>
      </c>
      <c r="G911" s="5">
        <f>[1]!nefin_factors__1[[#This Row],[HML]]/F910-1</f>
        <v>-3.9528204200097807</v>
      </c>
      <c r="H911" s="5">
        <v>401675413897573</v>
      </c>
      <c r="I911" s="6">
        <f>[1]!nefin_factors__1[[#This Row],[Risk_Free]]/H910-1</f>
        <v>-8.8489482024961541E-3</v>
      </c>
      <c r="J911">
        <v>67671</v>
      </c>
      <c r="K911">
        <v>67671</v>
      </c>
      <c r="L911">
        <v>66650</v>
      </c>
      <c r="M911">
        <v>66992</v>
      </c>
      <c r="N911">
        <v>2820800</v>
      </c>
      <c r="O911">
        <v>66992</v>
      </c>
      <c r="P911">
        <v>-1.00338401974258E-2</v>
      </c>
      <c r="Q911">
        <v>-1.0084518455321699E-2</v>
      </c>
      <c r="R911" s="8">
        <v>29.0938911437988</v>
      </c>
      <c r="S911" s="8">
        <v>-1.1204560736392401E-2</v>
      </c>
      <c r="T911" s="9">
        <v>-1.12678046845667E-2</v>
      </c>
      <c r="U911" s="12">
        <v>3.8370000000000001E-2</v>
      </c>
      <c r="V911" s="16">
        <v>3.1459000000000001</v>
      </c>
      <c r="W911" s="17">
        <f t="shared" si="14"/>
        <v>6.4947530074226378E-3</v>
      </c>
    </row>
    <row r="912" spans="1:23" x14ac:dyDescent="0.2">
      <c r="A912" s="14">
        <v>42871</v>
      </c>
      <c r="B912" s="3">
        <v>393089512749638</v>
      </c>
      <c r="C912" s="3">
        <f>[1]!nefin_factors__1[[#This Row],[Rm_minus_Rf]]/B911-1</f>
        <v>1.0865996298908205</v>
      </c>
      <c r="D912" s="3">
        <v>814241550145309</v>
      </c>
      <c r="E912" s="3">
        <f>[1]!nefin_factors__1[[#This Row],[SMB]]/D911-1</f>
        <v>0.98985215097670265</v>
      </c>
      <c r="F912" s="3">
        <v>218424092664375</v>
      </c>
      <c r="G912" s="3">
        <f>[1]!nefin_factors__1[[#This Row],[HML]]/F911-1</f>
        <v>-0.70108773872646157</v>
      </c>
      <c r="H912" s="3">
        <v>399522180986711</v>
      </c>
      <c r="I912" s="4">
        <f>[1]!nefin_factors__1[[#This Row],[Risk_Free]]/H911-1</f>
        <v>-5.3606290959373748E-3</v>
      </c>
      <c r="J912">
        <v>66992</v>
      </c>
      <c r="K912">
        <v>67623</v>
      </c>
      <c r="L912">
        <v>66678</v>
      </c>
      <c r="M912">
        <v>67359</v>
      </c>
      <c r="N912">
        <v>2890000</v>
      </c>
      <c r="O912">
        <v>67359</v>
      </c>
      <c r="P912">
        <v>5.4782660616192703E-3</v>
      </c>
      <c r="Q912">
        <v>5.4633149413859401E-3</v>
      </c>
      <c r="R912" s="8">
        <v>28.772457122802699</v>
      </c>
      <c r="S912" s="8">
        <v>-1.1048183586739001E-2</v>
      </c>
      <c r="T912" s="9">
        <v>-1.1109668047511101E-2</v>
      </c>
      <c r="U912" s="12">
        <v>3.8370000000000001E-2</v>
      </c>
      <c r="V912" s="16">
        <v>3.1556000000000002</v>
      </c>
      <c r="W912" s="17">
        <f t="shared" si="14"/>
        <v>3.0833783654915514E-3</v>
      </c>
    </row>
    <row r="913" spans="1:23" x14ac:dyDescent="0.2">
      <c r="A913" s="15">
        <v>42872</v>
      </c>
      <c r="B913" s="5">
        <v>-165829630527666</v>
      </c>
      <c r="C913" s="5">
        <f>[1]!nefin_factors__1[[#This Row],[Rm_minus_Rf]]/B912-1</f>
        <v>-1.4218622607550568</v>
      </c>
      <c r="D913" s="5">
        <v>220438910277238</v>
      </c>
      <c r="E913" s="5">
        <f>[1]!nefin_factors__1[[#This Row],[SMB]]/D912-1</f>
        <v>-0.72927086533732077</v>
      </c>
      <c r="F913" s="5">
        <v>188868847919774</v>
      </c>
      <c r="G913" s="5">
        <f>[1]!nefin_factors__1[[#This Row],[HML]]/F912-1</f>
        <v>-0.13531128541765236</v>
      </c>
      <c r="H913" s="5">
        <v>39880417810001</v>
      </c>
      <c r="I913" s="6">
        <f>[1]!nefin_factors__1[[#This Row],[Risk_Free]]/H912-1</f>
        <v>-0.90017971540026331</v>
      </c>
      <c r="J913">
        <v>67364</v>
      </c>
      <c r="K913">
        <v>68642</v>
      </c>
      <c r="L913">
        <v>67226</v>
      </c>
      <c r="M913">
        <v>68285</v>
      </c>
      <c r="N913">
        <v>2827300</v>
      </c>
      <c r="O913">
        <v>68285</v>
      </c>
      <c r="P913">
        <v>1.37472349648897E-2</v>
      </c>
      <c r="Q913">
        <v>1.36535989122145E-2</v>
      </c>
      <c r="R913" s="8">
        <v>29.0526828765869</v>
      </c>
      <c r="S913" s="8">
        <v>9.7393449702198893E-3</v>
      </c>
      <c r="T913" s="9">
        <v>9.69222325935774E-3</v>
      </c>
      <c r="U913" s="12">
        <v>3.8370000000000001E-2</v>
      </c>
      <c r="V913" s="16">
        <v>3.1657000000000002</v>
      </c>
      <c r="W913" s="17">
        <f t="shared" si="14"/>
        <v>3.2006591456459343E-3</v>
      </c>
    </row>
    <row r="914" spans="1:23" x14ac:dyDescent="0.2">
      <c r="A914" s="14">
        <v>42873</v>
      </c>
      <c r="B914" s="3">
        <v>-884014579374279</v>
      </c>
      <c r="C914" s="3">
        <f>[1]!nefin_factors__1[[#This Row],[Rm_minus_Rf]]/B913-1</f>
        <v>4.3308602121428201</v>
      </c>
      <c r="D914" s="3">
        <v>-518311475272387</v>
      </c>
      <c r="E914" s="3">
        <f>[1]!nefin_factors__1[[#This Row],[SMB]]/D913-1</f>
        <v>-3.3512703570369018</v>
      </c>
      <c r="F914" s="3">
        <v>-35422406291329</v>
      </c>
      <c r="G914" s="3">
        <f>[1]!nefin_factors__1[[#This Row],[HML]]/F913-1</f>
        <v>-1.1875502851924813</v>
      </c>
      <c r="H914" s="3">
        <v>408486320548684</v>
      </c>
      <c r="I914" s="4">
        <f>[1]!nefin_factors__1[[#This Row],[Risk_Free]]/H913-1</f>
        <v>9.2427793634159467</v>
      </c>
      <c r="J914">
        <v>68296</v>
      </c>
      <c r="K914">
        <v>68846</v>
      </c>
      <c r="L914">
        <v>68293</v>
      </c>
      <c r="M914">
        <v>68355</v>
      </c>
      <c r="N914">
        <v>2753200</v>
      </c>
      <c r="O914">
        <v>68355</v>
      </c>
      <c r="P914">
        <v>1.02511532547411E-3</v>
      </c>
      <c r="Q914">
        <v>1.0245902535677199E-3</v>
      </c>
      <c r="R914" s="8">
        <v>28.731248855590799</v>
      </c>
      <c r="S914" s="8">
        <v>-1.1063787563323201E-2</v>
      </c>
      <c r="T914" s="9">
        <v>-1.11254464701083E-2</v>
      </c>
      <c r="U914" s="12">
        <v>3.4749000000000002E-2</v>
      </c>
      <c r="V914" s="16">
        <v>3.1513</v>
      </c>
      <c r="W914" s="17">
        <f t="shared" si="14"/>
        <v>-4.5487569889756108E-3</v>
      </c>
    </row>
    <row r="915" spans="1:23" x14ac:dyDescent="0.2">
      <c r="A915" s="15">
        <v>42874</v>
      </c>
      <c r="B915" s="5">
        <v>169148571092649</v>
      </c>
      <c r="C915" s="5">
        <f>[1]!nefin_factors__1[[#This Row],[Rm_minus_Rf]]/B914-1</f>
        <v>-1.1913413817364589</v>
      </c>
      <c r="D915" s="5">
        <v>212253913652771</v>
      </c>
      <c r="E915" s="5">
        <f>[1]!nefin_factors__1[[#This Row],[SMB]]/D914-1</f>
        <v>-1.4095103500095685</v>
      </c>
      <c r="F915" s="5">
        <v>162043583348451</v>
      </c>
      <c r="G915" s="5">
        <f>[1]!nefin_factors__1[[#This Row],[HML]]/F914-1</f>
        <v>-5.5746068749744255</v>
      </c>
      <c r="H915" s="5">
        <v>402392899773618</v>
      </c>
      <c r="I915" s="6">
        <f>[1]!nefin_factors__1[[#This Row],[Risk_Free]]/H914-1</f>
        <v>-1.491707425326072E-2</v>
      </c>
      <c r="J915">
        <v>68356</v>
      </c>
      <c r="K915">
        <v>68950</v>
      </c>
      <c r="L915">
        <v>68304</v>
      </c>
      <c r="M915">
        <v>68594</v>
      </c>
      <c r="N915">
        <v>3753400</v>
      </c>
      <c r="O915">
        <v>68594</v>
      </c>
      <c r="P915">
        <v>3.4964523443785601E-3</v>
      </c>
      <c r="Q915">
        <v>3.4903539658726898E-3</v>
      </c>
      <c r="R915" s="8">
        <v>28.0059623718262</v>
      </c>
      <c r="S915" s="8">
        <v>-2.5243902613352E-2</v>
      </c>
      <c r="T915" s="9">
        <v>-2.5567995805167699E-2</v>
      </c>
      <c r="U915" s="12">
        <v>3.4749000000000002E-2</v>
      </c>
      <c r="V915" s="16">
        <v>3.1457000000000002</v>
      </c>
      <c r="W915" s="17">
        <f t="shared" si="14"/>
        <v>-1.7770443943768699E-3</v>
      </c>
    </row>
    <row r="916" spans="1:23" x14ac:dyDescent="0.2">
      <c r="A916" s="14">
        <v>42877</v>
      </c>
      <c r="B916" s="3">
        <v>-164376592825147</v>
      </c>
      <c r="C916" s="3">
        <f>[1]!nefin_factors__1[[#This Row],[Rm_minus_Rf]]/B915-1</f>
        <v>-1.9717882436920604</v>
      </c>
      <c r="D916" s="3">
        <v>-344505709417916</v>
      </c>
      <c r="E916" s="3">
        <f>[1]!nefin_factors__1[[#This Row],[SMB]]/D915-1</f>
        <v>-2.6230829551698984</v>
      </c>
      <c r="F916" s="3">
        <v>-831680282467673</v>
      </c>
      <c r="G916" s="3">
        <f>[1]!nefin_factors__1[[#This Row],[HML]]/F915-1</f>
        <v>-6.1324481061324487</v>
      </c>
      <c r="H916" s="3">
        <v>401316622518966</v>
      </c>
      <c r="I916" s="4">
        <f>[1]!nefin_factors__1[[#This Row],[Risk_Free]]/H915-1</f>
        <v>-2.6746924591798393E-3</v>
      </c>
      <c r="J916">
        <v>68596</v>
      </c>
      <c r="K916">
        <v>68596</v>
      </c>
      <c r="L916">
        <v>67866</v>
      </c>
      <c r="M916">
        <v>67977</v>
      </c>
      <c r="N916">
        <v>2661800</v>
      </c>
      <c r="O916">
        <v>67977</v>
      </c>
      <c r="P916">
        <v>-8.9949558270402408E-3</v>
      </c>
      <c r="Q916">
        <v>-9.0356546822979791E-3</v>
      </c>
      <c r="R916" s="8">
        <v>28.764215469360401</v>
      </c>
      <c r="S916" s="8">
        <v>2.70748460744668E-2</v>
      </c>
      <c r="T916" s="9">
        <v>2.67148066497023E-2</v>
      </c>
      <c r="U916" s="12">
        <v>3.4749000000000002E-2</v>
      </c>
      <c r="V916" s="16">
        <v>3.1307</v>
      </c>
      <c r="W916" s="17">
        <f t="shared" si="14"/>
        <v>-4.7684140254951046E-3</v>
      </c>
    </row>
    <row r="917" spans="1:23" x14ac:dyDescent="0.2">
      <c r="A917" s="15">
        <v>42878</v>
      </c>
      <c r="B917" s="5">
        <v>158440188734585</v>
      </c>
      <c r="C917" s="5">
        <f>[1]!nefin_factors__1[[#This Row],[Rm_minus_Rf]]/B916-1</f>
        <v>-1.9638853440837725</v>
      </c>
      <c r="D917" s="5">
        <v>-69014911913504</v>
      </c>
      <c r="E917" s="5">
        <f>[1]!nefin_factors__1[[#This Row],[SMB]]/D916-1</f>
        <v>-0.79966975865185796</v>
      </c>
      <c r="F917" s="5">
        <v>-10975038720908</v>
      </c>
      <c r="G917" s="5">
        <f>[1]!nefin_factors__1[[#This Row],[HML]]/F916-1</f>
        <v>-0.98680377670089281</v>
      </c>
      <c r="H917" s="5">
        <v>398086045844126</v>
      </c>
      <c r="I917" s="6">
        <f>[1]!nefin_factors__1[[#This Row],[Risk_Free]]/H916-1</f>
        <v>-8.0499448404665053E-3</v>
      </c>
      <c r="J917">
        <v>67990</v>
      </c>
      <c r="K917">
        <v>68808</v>
      </c>
      <c r="L917">
        <v>67979</v>
      </c>
      <c r="M917">
        <v>68715</v>
      </c>
      <c r="N917">
        <v>3464800</v>
      </c>
      <c r="O917">
        <v>68715</v>
      </c>
      <c r="P917">
        <v>1.0856613266251799E-2</v>
      </c>
      <c r="Q917">
        <v>1.07981033392848E-2</v>
      </c>
      <c r="R917" s="8">
        <v>28.879602432251001</v>
      </c>
      <c r="S917" s="8">
        <v>4.0113672971542301E-3</v>
      </c>
      <c r="T917" s="9">
        <v>4.0033432145617498E-3</v>
      </c>
      <c r="U917" s="12">
        <v>3.4749000000000002E-2</v>
      </c>
      <c r="V917" s="16">
        <v>3.1160999999999999</v>
      </c>
      <c r="W917" s="17">
        <f t="shared" si="14"/>
        <v>-4.6634937873319959E-3</v>
      </c>
    </row>
    <row r="918" spans="1:23" x14ac:dyDescent="0.2">
      <c r="A918" s="14">
        <v>42879</v>
      </c>
      <c r="B918" s="3">
        <v>938569005406627</v>
      </c>
      <c r="C918" s="3">
        <f>[1]!nefin_factors__1[[#This Row],[Rm_minus_Rf]]/B917-1</f>
        <v>4.9238064086056728</v>
      </c>
      <c r="D918" s="3">
        <v>181287221716335</v>
      </c>
      <c r="E918" s="3">
        <f>[1]!nefin_factors__1[[#This Row],[SMB]]/D917-1</f>
        <v>-3.6267833529011999</v>
      </c>
      <c r="F918" s="3">
        <v>148050701767564</v>
      </c>
      <c r="G918" s="3">
        <f>[1]!nefin_factors__1[[#This Row],[HML]]/F917-1</f>
        <v>-14.489765779643216</v>
      </c>
      <c r="H918" s="3">
        <v>395571563490682</v>
      </c>
      <c r="I918" s="4">
        <f>[1]!nefin_factors__1[[#This Row],[Risk_Free]]/H917-1</f>
        <v>-6.3164292737569738E-3</v>
      </c>
      <c r="J918">
        <v>68713</v>
      </c>
      <c r="K918">
        <v>69068</v>
      </c>
      <c r="L918">
        <v>68514</v>
      </c>
      <c r="M918">
        <v>68635</v>
      </c>
      <c r="N918">
        <v>2643300</v>
      </c>
      <c r="O918">
        <v>68635</v>
      </c>
      <c r="P918">
        <v>-1.1642290620679199E-3</v>
      </c>
      <c r="Q918">
        <v>-1.1649073031921901E-3</v>
      </c>
      <c r="R918" s="8">
        <v>29.423568725585898</v>
      </c>
      <c r="S918" s="8">
        <v>1.88357378492638E-2</v>
      </c>
      <c r="T918" s="9">
        <v>1.8660541883731899E-2</v>
      </c>
      <c r="U918" s="12">
        <v>3.4749000000000002E-2</v>
      </c>
      <c r="V918" s="16">
        <v>3.1267999999999998</v>
      </c>
      <c r="W918" s="17">
        <f t="shared" si="14"/>
        <v>3.4337794037417879E-3</v>
      </c>
    </row>
    <row r="919" spans="1:23" x14ac:dyDescent="0.2">
      <c r="A919" s="15">
        <v>42880</v>
      </c>
      <c r="B919" s="5">
        <v>-115237940830728</v>
      </c>
      <c r="C919" s="5">
        <f>[1]!nefin_factors__1[[#This Row],[Rm_minus_Rf]]/B918-1</f>
        <v>-1.1227804670374792</v>
      </c>
      <c r="D919" s="5">
        <v>-128071796810706</v>
      </c>
      <c r="E919" s="5">
        <f>[1]!nefin_factors__1[[#This Row],[SMB]]/D918-1</f>
        <v>-1.70645793784133</v>
      </c>
      <c r="F919" s="5">
        <v>15490884580187</v>
      </c>
      <c r="G919" s="5">
        <f>[1]!nefin_factors__1[[#This Row],[HML]]/F918-1</f>
        <v>-0.89536770582481051</v>
      </c>
      <c r="H919" s="5">
        <v>394134003871782</v>
      </c>
      <c r="I919" s="6">
        <f>[1]!nefin_factors__1[[#This Row],[Risk_Free]]/H918-1</f>
        <v>-3.6341328638853643E-3</v>
      </c>
      <c r="J919">
        <v>68645</v>
      </c>
      <c r="K919">
        <v>70278</v>
      </c>
      <c r="L919">
        <v>68645</v>
      </c>
      <c r="M919">
        <v>70011</v>
      </c>
      <c r="N919">
        <v>3907500</v>
      </c>
      <c r="O919">
        <v>70011</v>
      </c>
      <c r="P919">
        <v>2.0048080425438802E-2</v>
      </c>
      <c r="Q919">
        <v>1.9849763857233398E-2</v>
      </c>
      <c r="R919" s="8">
        <v>29.456535339355501</v>
      </c>
      <c r="S919" s="8">
        <v>1.120336429286E-3</v>
      </c>
      <c r="T919" s="9">
        <v>1.1197093207665799E-3</v>
      </c>
      <c r="U919" s="12">
        <v>3.4749000000000002E-2</v>
      </c>
      <c r="V919" s="16">
        <v>3.1194000000000002</v>
      </c>
      <c r="W919" s="17">
        <f t="shared" si="14"/>
        <v>-2.3666368171931795E-3</v>
      </c>
    </row>
    <row r="920" spans="1:23" x14ac:dyDescent="0.2">
      <c r="A920" s="14">
        <v>42881</v>
      </c>
      <c r="B920" s="3">
        <v>119761992448545</v>
      </c>
      <c r="C920" s="3">
        <f>[1]!nefin_factors__1[[#This Row],[Rm_minus_Rf]]/B919-1</f>
        <v>-2.0392583517650871</v>
      </c>
      <c r="D920" s="3">
        <v>539622250051376</v>
      </c>
      <c r="E920" s="3">
        <f>[1]!nefin_factors__1[[#This Row],[SMB]]/D919-1</f>
        <v>-5.2134354595567522</v>
      </c>
      <c r="F920" s="3">
        <v>-108060872169759</v>
      </c>
      <c r="G920" s="3">
        <f>[1]!nefin_factors__1[[#This Row],[HML]]/F919-1</f>
        <v>-7.9757715649092091</v>
      </c>
      <c r="H920" s="3">
        <v>391617026206159</v>
      </c>
      <c r="I920" s="4">
        <f>[1]!nefin_factors__1[[#This Row],[Risk_Free]]/H919-1</f>
        <v>-6.3860962030615198E-3</v>
      </c>
      <c r="J920">
        <v>70011</v>
      </c>
      <c r="K920">
        <v>70587</v>
      </c>
      <c r="L920">
        <v>69947</v>
      </c>
      <c r="M920">
        <v>70478</v>
      </c>
      <c r="N920">
        <v>3348400</v>
      </c>
      <c r="O920">
        <v>70478</v>
      </c>
      <c r="P920">
        <v>6.6703803687990799E-3</v>
      </c>
      <c r="Q920">
        <v>6.6482318199423901E-3</v>
      </c>
      <c r="R920" s="8">
        <v>30.157096862793001</v>
      </c>
      <c r="S920" s="8">
        <v>2.3782913761981599E-2</v>
      </c>
      <c r="T920" s="9">
        <v>2.3504505863189501E-2</v>
      </c>
      <c r="U920" s="12">
        <v>3.4749000000000002E-2</v>
      </c>
      <c r="V920" s="16">
        <v>3.1223999999999998</v>
      </c>
      <c r="W920" s="17">
        <f t="shared" si="14"/>
        <v>9.617234083476589E-4</v>
      </c>
    </row>
    <row r="921" spans="1:23" x14ac:dyDescent="0.2">
      <c r="A921" s="15">
        <v>42884</v>
      </c>
      <c r="B921" s="5">
        <v>-49826087062529</v>
      </c>
      <c r="C921" s="5">
        <f>[1]!nefin_factors__1[[#This Row],[Rm_minus_Rf]]/B920-1</f>
        <v>-1.4160425694649033</v>
      </c>
      <c r="D921" s="5">
        <v>-624253336531353</v>
      </c>
      <c r="E921" s="5">
        <f>[1]!nefin_factors__1[[#This Row],[SMB]]/D920-1</f>
        <v>-2.1568339453607028</v>
      </c>
      <c r="F921" s="5">
        <v>381566034017103</v>
      </c>
      <c r="G921" s="5">
        <f>[1]!nefin_factors__1[[#This Row],[HML]]/F920-1</f>
        <v>-4.5310286355793901</v>
      </c>
      <c r="H921" s="5">
        <v>389458350937621</v>
      </c>
      <c r="I921" s="6">
        <f>[1]!nefin_factors__1[[#This Row],[Risk_Free]]/H920-1</f>
        <v>-5.512209950242597E-3</v>
      </c>
      <c r="J921">
        <v>70482</v>
      </c>
      <c r="K921">
        <v>71238</v>
      </c>
      <c r="L921">
        <v>70482</v>
      </c>
      <c r="M921">
        <v>71133</v>
      </c>
      <c r="N921">
        <v>3113000</v>
      </c>
      <c r="O921">
        <v>71133</v>
      </c>
      <c r="P921">
        <v>9.2936802973977405E-3</v>
      </c>
      <c r="Q921">
        <v>9.2507597721510001E-3</v>
      </c>
      <c r="R921" s="8">
        <v>30.824689865112301</v>
      </c>
      <c r="S921" s="8">
        <v>2.21372109142828E-2</v>
      </c>
      <c r="T921" s="9">
        <v>2.18957400244939E-2</v>
      </c>
      <c r="U921" s="12">
        <v>3.4749000000000002E-2</v>
      </c>
      <c r="V921" s="16">
        <v>3.1267</v>
      </c>
      <c r="W921" s="17">
        <f t="shared" si="14"/>
        <v>1.3771457852933544E-3</v>
      </c>
    </row>
    <row r="922" spans="1:23" x14ac:dyDescent="0.2">
      <c r="A922" s="14">
        <v>42885</v>
      </c>
      <c r="B922" s="3">
        <v>182475624744292</v>
      </c>
      <c r="C922" s="3">
        <f>[1]!nefin_factors__1[[#This Row],[Rm_minus_Rf]]/B921-1</f>
        <v>-4.6622507506016904</v>
      </c>
      <c r="D922" s="3">
        <v>-441209693047377</v>
      </c>
      <c r="E922" s="3">
        <f>[1]!nefin_factors__1[[#This Row],[SMB]]/D921-1</f>
        <v>-0.29322012838738376</v>
      </c>
      <c r="F922" s="3">
        <v>-299078050938648</v>
      </c>
      <c r="G922" s="3">
        <f>[1]!nefin_factors__1[[#This Row],[HML]]/F921-1</f>
        <v>-1.7838172800392458</v>
      </c>
      <c r="H922" s="3">
        <v>388018584277061</v>
      </c>
      <c r="I922" s="4">
        <f>[1]!nefin_factors__1[[#This Row],[Risk_Free]]/H921-1</f>
        <v>-3.6968437243514174E-3</v>
      </c>
      <c r="J922">
        <v>71138</v>
      </c>
      <c r="K922">
        <v>71506</v>
      </c>
      <c r="L922">
        <v>70801</v>
      </c>
      <c r="M922">
        <v>71074</v>
      </c>
      <c r="N922">
        <v>2411000</v>
      </c>
      <c r="O922">
        <v>71074</v>
      </c>
      <c r="P922">
        <v>-8.2943219040387795E-4</v>
      </c>
      <c r="Q922">
        <v>-8.2977635960628795E-4</v>
      </c>
      <c r="R922" s="8">
        <v>30.412595748901399</v>
      </c>
      <c r="S922" s="8">
        <v>-1.3368952063689399E-2</v>
      </c>
      <c r="T922" s="9">
        <v>-1.34591210483137E-2</v>
      </c>
      <c r="U922" s="12">
        <v>3.4749000000000002E-2</v>
      </c>
      <c r="V922" s="16">
        <v>3.1320000000000001</v>
      </c>
      <c r="W922" s="17">
        <f t="shared" si="14"/>
        <v>1.6950778776345654E-3</v>
      </c>
    </row>
    <row r="923" spans="1:23" x14ac:dyDescent="0.2">
      <c r="A923" s="15">
        <v>42886</v>
      </c>
      <c r="B923" s="5">
        <v>-165163260335468</v>
      </c>
      <c r="C923" s="5">
        <f>[1]!nefin_factors__1[[#This Row],[Rm_minus_Rf]]/B922-1</f>
        <v>-1.905125057480503</v>
      </c>
      <c r="D923" s="5">
        <v>-999711097341011</v>
      </c>
      <c r="E923" s="5">
        <f>[1]!nefin_factors__1[[#This Row],[SMB]]/D922-1</f>
        <v>1.2658411931889768</v>
      </c>
      <c r="F923" s="5">
        <v>-538059159574993</v>
      </c>
      <c r="G923" s="5">
        <f>[1]!nefin_factors__1[[#This Row],[HML]]/F922-1</f>
        <v>0.79905933546881669</v>
      </c>
      <c r="H923" s="5">
        <v>385497740444052</v>
      </c>
      <c r="I923" s="6">
        <f>[1]!nefin_factors__1[[#This Row],[Risk_Free]]/H922-1</f>
        <v>-6.4967090112596493E-3</v>
      </c>
      <c r="J923">
        <v>71074</v>
      </c>
      <c r="K923">
        <v>71390</v>
      </c>
      <c r="L923">
        <v>70909</v>
      </c>
      <c r="M923">
        <v>71017</v>
      </c>
      <c r="N923">
        <v>2196400</v>
      </c>
      <c r="O923">
        <v>71017</v>
      </c>
      <c r="P923">
        <v>-8.0198103385209496E-4</v>
      </c>
      <c r="Q923">
        <v>-8.0230279268257904E-4</v>
      </c>
      <c r="R923" s="8">
        <v>30.330177307128899</v>
      </c>
      <c r="S923" s="8">
        <v>-2.7099819630350699E-3</v>
      </c>
      <c r="T923" s="9">
        <v>-2.7136606117058198E-3</v>
      </c>
      <c r="U923" s="12">
        <v>3.4749000000000002E-2</v>
      </c>
      <c r="V923" s="16">
        <v>3.1463999999999999</v>
      </c>
      <c r="W923" s="17">
        <f t="shared" si="14"/>
        <v>4.5977011494251485E-3</v>
      </c>
    </row>
    <row r="924" spans="1:23" x14ac:dyDescent="0.2">
      <c r="A924" s="14">
        <v>42887</v>
      </c>
      <c r="B924" s="3">
        <v>-687227853157907</v>
      </c>
      <c r="C924" s="3">
        <f>[1]!nefin_factors__1[[#This Row],[Rm_minus_Rf]]/B923-1</f>
        <v>3.1609002617292621</v>
      </c>
      <c r="D924" s="3">
        <v>-50605895920697</v>
      </c>
      <c r="E924" s="3">
        <f>[1]!nefin_factors__1[[#This Row],[SMB]]/D923-1</f>
        <v>-0.94937947967638214</v>
      </c>
      <c r="F924" s="3">
        <v>-150160197637635</v>
      </c>
      <c r="G924" s="3">
        <f>[1]!nefin_factors__1[[#This Row],[HML]]/F923-1</f>
        <v>-0.72092251388073225</v>
      </c>
      <c r="H924" s="3">
        <v>383335747417002</v>
      </c>
      <c r="I924" s="4">
        <f>[1]!nefin_factors__1[[#This Row],[Risk_Free]]/H923-1</f>
        <v>-5.6083156922258626E-3</v>
      </c>
      <c r="J924">
        <v>71005</v>
      </c>
      <c r="K924">
        <v>71330</v>
      </c>
      <c r="L924">
        <v>70517</v>
      </c>
      <c r="M924">
        <v>71330</v>
      </c>
      <c r="N924">
        <v>2274700</v>
      </c>
      <c r="O924">
        <v>71330</v>
      </c>
      <c r="P924">
        <v>4.40739541236601E-3</v>
      </c>
      <c r="Q924">
        <v>4.3977112892856001E-3</v>
      </c>
      <c r="R924" s="8">
        <v>30.412595748901399</v>
      </c>
      <c r="S924" s="8">
        <v>2.7173459214695499E-3</v>
      </c>
      <c r="T924" s="9">
        <v>2.7136606117057899E-3</v>
      </c>
      <c r="U924" s="12">
        <v>3.4749000000000002E-2</v>
      </c>
      <c r="V924" s="16">
        <v>3.1543000000000001</v>
      </c>
      <c r="W924" s="17">
        <f t="shared" si="14"/>
        <v>2.5108060005085697E-3</v>
      </c>
    </row>
    <row r="925" spans="1:23" x14ac:dyDescent="0.2">
      <c r="A925" s="15">
        <v>42888</v>
      </c>
      <c r="B925" s="5">
        <v>332570960119837</v>
      </c>
      <c r="C925" s="5">
        <f>[1]!nefin_factors__1[[#This Row],[Rm_minus_Rf]]/B924-1</f>
        <v>-1.4839311424757122</v>
      </c>
      <c r="D925" s="5">
        <v>205500543110424</v>
      </c>
      <c r="E925" s="5">
        <f>[1]!nefin_factors__1[[#This Row],[SMB]]/D924-1</f>
        <v>-5.0608023901495161</v>
      </c>
      <c r="F925" s="5">
        <v>-101965895810315</v>
      </c>
      <c r="G925" s="5">
        <f>[1]!nefin_factors__1[[#This Row],[HML]]/F924-1</f>
        <v>-0.32095257322197979</v>
      </c>
      <c r="H925" s="5">
        <v>383335747417002</v>
      </c>
      <c r="I925" s="6">
        <f>[1]!nefin_factors__1[[#This Row],[Risk_Free]]/H924-1</f>
        <v>0</v>
      </c>
      <c r="J925">
        <v>71328</v>
      </c>
      <c r="K925">
        <v>71454</v>
      </c>
      <c r="L925">
        <v>70755</v>
      </c>
      <c r="M925">
        <v>70886</v>
      </c>
      <c r="N925">
        <v>2663200</v>
      </c>
      <c r="O925">
        <v>70886</v>
      </c>
      <c r="P925">
        <v>-6.2245899341091303E-3</v>
      </c>
      <c r="Q925">
        <v>-6.24404346287311E-3</v>
      </c>
      <c r="R925" s="8">
        <v>30.865900039672901</v>
      </c>
      <c r="S925" s="8">
        <v>1.49051258729098E-2</v>
      </c>
      <c r="T925" s="9">
        <v>1.4795136078572401E-2</v>
      </c>
      <c r="U925" s="12">
        <v>3.4749000000000002E-2</v>
      </c>
      <c r="V925" s="16">
        <v>3.1695000000000002</v>
      </c>
      <c r="W925" s="17">
        <f t="shared" si="14"/>
        <v>4.8188187553499517E-3</v>
      </c>
    </row>
    <row r="926" spans="1:23" x14ac:dyDescent="0.2">
      <c r="A926" s="14">
        <v>42891</v>
      </c>
      <c r="B926" s="3">
        <v>-679143349797776</v>
      </c>
      <c r="C926" s="3">
        <f>[1]!nefin_factors__1[[#This Row],[Rm_minus_Rf]]/B925-1</f>
        <v>-3.0421005777325139</v>
      </c>
      <c r="D926" s="3">
        <v>-195827515000577</v>
      </c>
      <c r="E926" s="3">
        <f>[1]!nefin_factors__1[[#This Row],[SMB]]/D925-1</f>
        <v>-1.9529294280032667</v>
      </c>
      <c r="F926" s="3">
        <v>-287238493105914</v>
      </c>
      <c r="G926" s="3">
        <f>[1]!nefin_factors__1[[#This Row],[HML]]/F925-1</f>
        <v>1.8170055372264633</v>
      </c>
      <c r="H926" s="3">
        <v>383335747417002</v>
      </c>
      <c r="I926" s="4">
        <f>[1]!nefin_factors__1[[#This Row],[Risk_Free]]/H925-1</f>
        <v>0</v>
      </c>
      <c r="J926">
        <v>70887</v>
      </c>
      <c r="K926">
        <v>71234</v>
      </c>
      <c r="L926">
        <v>70516</v>
      </c>
      <c r="M926">
        <v>70835</v>
      </c>
      <c r="N926">
        <v>4245100</v>
      </c>
      <c r="O926">
        <v>70835</v>
      </c>
      <c r="P926">
        <v>-7.1946505656972403E-4</v>
      </c>
      <c r="Q926">
        <v>-7.1972399575945104E-4</v>
      </c>
      <c r="R926" s="8">
        <v>31.4840412139893</v>
      </c>
      <c r="S926" s="8">
        <v>2.0026654303267201E-2</v>
      </c>
      <c r="T926" s="9">
        <v>1.98287586246234E-2</v>
      </c>
      <c r="U926" s="12">
        <v>3.4749000000000002E-2</v>
      </c>
      <c r="V926" s="16">
        <v>3.1888000000000001</v>
      </c>
      <c r="W926" s="17">
        <f t="shared" si="14"/>
        <v>6.0892885313139633E-3</v>
      </c>
    </row>
    <row r="927" spans="1:23" x14ac:dyDescent="0.2">
      <c r="A927" s="15">
        <v>42892</v>
      </c>
      <c r="B927" s="5">
        <v>686662486874786</v>
      </c>
      <c r="C927" s="5">
        <f>[1]!nefin_factors__1[[#This Row],[Rm_minus_Rf]]/B926-1</f>
        <v>-2.0110715021788095</v>
      </c>
      <c r="D927" s="5">
        <v>-138179320964691</v>
      </c>
      <c r="E927" s="5">
        <f>[1]!nefin_factors__1[[#This Row],[SMB]]/D926-1</f>
        <v>-0.29438250307019487</v>
      </c>
      <c r="F927" s="5">
        <v>-329884168988964</v>
      </c>
      <c r="G927" s="5">
        <f>[1]!nefin_factors__1[[#This Row],[HML]]/F926-1</f>
        <v>0.14846783041479461</v>
      </c>
      <c r="H927" s="5">
        <v>382975301198352</v>
      </c>
      <c r="I927" s="6">
        <f>[1]!nefin_factors__1[[#This Row],[Risk_Free]]/H926-1</f>
        <v>-9.4028856186456622E-4</v>
      </c>
      <c r="J927">
        <v>70848</v>
      </c>
      <c r="K927">
        <v>72217</v>
      </c>
      <c r="L927">
        <v>70846</v>
      </c>
      <c r="M927">
        <v>71923</v>
      </c>
      <c r="N927">
        <v>3880900</v>
      </c>
      <c r="O927">
        <v>71923</v>
      </c>
      <c r="P927">
        <v>1.53596385967389E-2</v>
      </c>
      <c r="Q927">
        <v>1.52428734765475E-2</v>
      </c>
      <c r="R927" s="8">
        <v>32.011524200439503</v>
      </c>
      <c r="S927" s="8">
        <v>1.67539966911683E-2</v>
      </c>
      <c r="T927" s="9">
        <v>1.6615196646911301E-2</v>
      </c>
      <c r="U927" s="12">
        <v>3.4749000000000002E-2</v>
      </c>
      <c r="V927" s="16">
        <v>3.1976</v>
      </c>
      <c r="W927" s="17">
        <f t="shared" si="14"/>
        <v>2.7596588058202975E-3</v>
      </c>
    </row>
    <row r="928" spans="1:23" x14ac:dyDescent="0.2">
      <c r="A928" s="14">
        <v>42893</v>
      </c>
      <c r="B928" s="3">
        <v>176604833509518</v>
      </c>
      <c r="C928" s="3">
        <f>[1]!nefin_factors__1[[#This Row],[Rm_minus_Rf]]/B927-1</f>
        <v>-0.74280692933539827</v>
      </c>
      <c r="D928" s="3">
        <v>422681961155986</v>
      </c>
      <c r="E928" s="3">
        <f>[1]!nefin_factors__1[[#This Row],[SMB]]/D927-1</f>
        <v>-4.0589378946506329</v>
      </c>
      <c r="F928" s="3">
        <v>-93615680404105</v>
      </c>
      <c r="G928" s="3">
        <f>[1]!nefin_factors__1[[#This Row],[HML]]/F927-1</f>
        <v>-0.71621651111352103</v>
      </c>
      <c r="H928" s="3">
        <v>382975301198352</v>
      </c>
      <c r="I928" s="4">
        <f>[1]!nefin_factors__1[[#This Row],[Risk_Free]]/H927-1</f>
        <v>0</v>
      </c>
      <c r="J928">
        <v>71921</v>
      </c>
      <c r="K928">
        <v>72141</v>
      </c>
      <c r="L928">
        <v>71671</v>
      </c>
      <c r="M928">
        <v>72129</v>
      </c>
      <c r="N928">
        <v>1998000</v>
      </c>
      <c r="O928">
        <v>72129</v>
      </c>
      <c r="P928">
        <v>2.86417418628249E-3</v>
      </c>
      <c r="Q928">
        <v>2.8600802546903002E-3</v>
      </c>
      <c r="R928" s="8">
        <v>31.4016227722168</v>
      </c>
      <c r="S928" s="8">
        <v>-1.9052547993971401E-2</v>
      </c>
      <c r="T928" s="9">
        <v>-1.9236386594559701E-2</v>
      </c>
      <c r="U928" s="12">
        <v>3.4749000000000002E-2</v>
      </c>
      <c r="V928" s="16">
        <v>3.1669999999999998</v>
      </c>
      <c r="W928" s="17">
        <f t="shared" si="14"/>
        <v>-9.5696772579435541E-3</v>
      </c>
    </row>
    <row r="929" spans="1:23" x14ac:dyDescent="0.2">
      <c r="A929" s="15">
        <v>42894</v>
      </c>
      <c r="B929" s="5">
        <v>-781568982724083</v>
      </c>
      <c r="C929" s="5">
        <f>[1]!nefin_factors__1[[#This Row],[Rm_minus_Rf]]/B928-1</f>
        <v>-5.4255243030025042</v>
      </c>
      <c r="D929" s="5">
        <v>-248169948620566</v>
      </c>
      <c r="E929" s="5">
        <f>[1]!nefin_factors__1[[#This Row],[SMB]]/D928-1</f>
        <v>-1.5871316295160789</v>
      </c>
      <c r="F929" s="5">
        <v>-522719475998081</v>
      </c>
      <c r="G929" s="5">
        <f>[1]!nefin_factors__1[[#This Row],[HML]]/F928-1</f>
        <v>4.5836743774300448</v>
      </c>
      <c r="H929" s="5">
        <v>382614822378891</v>
      </c>
      <c r="I929" s="6">
        <f>[1]!nefin_factors__1[[#This Row],[Risk_Free]]/H928-1</f>
        <v>-9.4125866167615868E-4</v>
      </c>
      <c r="J929">
        <v>72134</v>
      </c>
      <c r="K929">
        <v>73180</v>
      </c>
      <c r="L929">
        <v>71827</v>
      </c>
      <c r="M929">
        <v>72151</v>
      </c>
      <c r="N929">
        <v>4230900</v>
      </c>
      <c r="O929">
        <v>72151</v>
      </c>
      <c r="P929">
        <v>3.0500908095221202E-4</v>
      </c>
      <c r="Q929">
        <v>3.0496257513870401E-4</v>
      </c>
      <c r="R929" s="8">
        <v>31.5911865234375</v>
      </c>
      <c r="S929" s="8">
        <v>6.0366263352962203E-3</v>
      </c>
      <c r="T929" s="9">
        <v>6.0184789027648098E-3</v>
      </c>
      <c r="U929" s="12">
        <v>3.4749000000000002E-2</v>
      </c>
      <c r="V929" s="16">
        <v>3.1602999999999999</v>
      </c>
      <c r="W929" s="17">
        <f t="shared" si="14"/>
        <v>-2.1155667824439561E-3</v>
      </c>
    </row>
    <row r="930" spans="1:23" x14ac:dyDescent="0.2">
      <c r="A930" s="14">
        <v>42895</v>
      </c>
      <c r="B930" s="3">
        <v>-103299847993086</v>
      </c>
      <c r="C930" s="3">
        <f>[1]!nefin_factors__1[[#This Row],[Rm_minus_Rf]]/B929-1</f>
        <v>-0.86783015923553619</v>
      </c>
      <c r="D930" s="3">
        <v>-283707407926984</v>
      </c>
      <c r="E930" s="3">
        <f>[1]!nefin_factors__1[[#This Row],[SMB]]/D929-1</f>
        <v>0.1431980765759524</v>
      </c>
      <c r="F930" s="3">
        <v>-619772183019975</v>
      </c>
      <c r="G930" s="3">
        <f>[1]!nefin_factors__1[[#This Row],[HML]]/F929-1</f>
        <v>0.18566881755569087</v>
      </c>
      <c r="H930" s="3">
        <v>382614822378891</v>
      </c>
      <c r="I930" s="4">
        <f>[1]!nefin_factors__1[[#This Row],[Risk_Free]]/H929-1</f>
        <v>0</v>
      </c>
      <c r="J930">
        <v>72157</v>
      </c>
      <c r="K930">
        <v>73608</v>
      </c>
      <c r="L930">
        <v>72157</v>
      </c>
      <c r="M930">
        <v>73412</v>
      </c>
      <c r="N930">
        <v>4242500</v>
      </c>
      <c r="O930">
        <v>73412</v>
      </c>
      <c r="P930">
        <v>1.74772352427548E-2</v>
      </c>
      <c r="Q930">
        <v>1.73262648585348E-2</v>
      </c>
      <c r="R930" s="8">
        <v>31.8961372375488</v>
      </c>
      <c r="S930" s="8">
        <v>9.65318203925092E-3</v>
      </c>
      <c r="T930" s="9">
        <v>9.6068877637878296E-3</v>
      </c>
      <c r="U930" s="12">
        <v>3.4749000000000002E-2</v>
      </c>
      <c r="V930" s="16">
        <v>3.1654</v>
      </c>
      <c r="W930" s="17">
        <f t="shared" si="14"/>
        <v>1.6137708445400634E-3</v>
      </c>
    </row>
    <row r="931" spans="1:23" x14ac:dyDescent="0.2">
      <c r="A931" s="15">
        <v>42898</v>
      </c>
      <c r="B931" s="5">
        <v>-764790997822012</v>
      </c>
      <c r="C931" s="5">
        <f>[1]!nefin_factors__1[[#This Row],[Rm_minus_Rf]]/B930-1</f>
        <v>6.4036023545087941</v>
      </c>
      <c r="D931" s="5">
        <v>942091007244517</v>
      </c>
      <c r="E931" s="5">
        <f>[1]!nefin_factors__1[[#This Row],[SMB]]/D930-1</f>
        <v>-4.3206429614519513</v>
      </c>
      <c r="F931" s="5">
        <v>124646508564557</v>
      </c>
      <c r="G931" s="5">
        <f>[1]!nefin_factors__1[[#This Row],[HML]]/F930-1</f>
        <v>-1.2011166554090726</v>
      </c>
      <c r="H931" s="5">
        <v>382614822378891</v>
      </c>
      <c r="I931" s="6">
        <f>[1]!nefin_factors__1[[#This Row],[Risk_Free]]/H930-1</f>
        <v>0</v>
      </c>
      <c r="R931" s="8">
        <v>31.8961372375488</v>
      </c>
      <c r="S931" s="8">
        <v>0</v>
      </c>
      <c r="T931" s="9">
        <v>0</v>
      </c>
      <c r="U931" s="12">
        <v>3.4749000000000002E-2</v>
      </c>
      <c r="V931" s="16">
        <v>3.1442999999999999</v>
      </c>
      <c r="W931" s="17">
        <f t="shared" si="14"/>
        <v>-6.6658242244266308E-3</v>
      </c>
    </row>
    <row r="932" spans="1:23" x14ac:dyDescent="0.2">
      <c r="A932" s="14">
        <v>42899</v>
      </c>
      <c r="B932" s="3">
        <v>288238504952798</v>
      </c>
      <c r="C932" s="3">
        <f>[1]!nefin_factors__1[[#This Row],[Rm_minus_Rf]]/B931-1</f>
        <v>-1.3768853265449641</v>
      </c>
      <c r="D932" s="3">
        <v>796319365813406</v>
      </c>
      <c r="E932" s="3">
        <f>[1]!nefin_factors__1[[#This Row],[SMB]]/D931-1</f>
        <v>-0.15473201666309544</v>
      </c>
      <c r="F932" s="3">
        <v>166414199143337</v>
      </c>
      <c r="G932" s="3">
        <f>[1]!nefin_factors__1[[#This Row],[HML]]/F931-1</f>
        <v>0.33508913374134064</v>
      </c>
      <c r="H932" s="3">
        <v>382254310952845</v>
      </c>
      <c r="I932" s="4">
        <f>[1]!nefin_factors__1[[#This Row],[Risk_Free]]/H931-1</f>
        <v>-9.4223068464660553E-4</v>
      </c>
      <c r="J932">
        <v>73413</v>
      </c>
      <c r="K932">
        <v>73646</v>
      </c>
      <c r="L932">
        <v>72925</v>
      </c>
      <c r="M932">
        <v>73079</v>
      </c>
      <c r="N932">
        <v>3114100</v>
      </c>
      <c r="O932">
        <v>73079</v>
      </c>
      <c r="R932" s="8">
        <v>31.9373455047607</v>
      </c>
      <c r="S932" s="8">
        <v>1.2918761415206001E-3</v>
      </c>
      <c r="T932" s="9">
        <v>1.29104238753209E-3</v>
      </c>
      <c r="U932" s="12">
        <v>3.4749000000000002E-2</v>
      </c>
      <c r="V932" s="16">
        <v>3.1539000000000001</v>
      </c>
      <c r="W932" s="17">
        <f t="shared" si="14"/>
        <v>3.053143783990242E-3</v>
      </c>
    </row>
    <row r="933" spans="1:23" x14ac:dyDescent="0.2">
      <c r="A933" s="15">
        <v>42900</v>
      </c>
      <c r="B933" s="5">
        <v>-284144135591331</v>
      </c>
      <c r="C933" s="5">
        <f>[1]!nefin_factors__1[[#This Row],[Rm_minus_Rf]]/B932-1</f>
        <v>-1.9857952033086714</v>
      </c>
      <c r="D933" s="5">
        <v>75701104093995</v>
      </c>
      <c r="E933" s="5">
        <f>[1]!nefin_factors__1[[#This Row],[SMB]]/D932-1</f>
        <v>-0.90493625127819222</v>
      </c>
      <c r="F933" s="5">
        <v>299444689052194</v>
      </c>
      <c r="G933" s="5">
        <f>[1]!nefin_factors__1[[#This Row],[HML]]/F932-1</f>
        <v>0.79939386538930068</v>
      </c>
      <c r="H933" s="5">
        <v>381893766914221</v>
      </c>
      <c r="I933" s="6">
        <f>[1]!nefin_factors__1[[#This Row],[Risk_Free]]/H932-1</f>
        <v>-9.4320463705244162E-4</v>
      </c>
      <c r="J933">
        <v>73096</v>
      </c>
      <c r="K933">
        <v>74636</v>
      </c>
      <c r="L933">
        <v>73096</v>
      </c>
      <c r="M933">
        <v>74319</v>
      </c>
      <c r="N933">
        <v>3283100</v>
      </c>
      <c r="O933">
        <v>74319</v>
      </c>
      <c r="P933">
        <v>1.6967938805949798E-2</v>
      </c>
      <c r="Q933">
        <v>1.6825591304938499E-2</v>
      </c>
      <c r="R933" s="8">
        <v>33.305500030517599</v>
      </c>
      <c r="S933" s="8">
        <v>4.2838575698038298E-2</v>
      </c>
      <c r="T933" s="9">
        <v>4.1946394815368097E-2</v>
      </c>
      <c r="U933" s="12">
        <v>3.4749000000000002E-2</v>
      </c>
      <c r="V933" s="16">
        <v>3.1568999999999998</v>
      </c>
      <c r="W933" s="17">
        <f t="shared" si="14"/>
        <v>9.512032721390451E-4</v>
      </c>
    </row>
    <row r="934" spans="1:23" x14ac:dyDescent="0.2">
      <c r="A934" s="14">
        <v>42902</v>
      </c>
      <c r="B934" s="3">
        <v>-519117871407927</v>
      </c>
      <c r="C934" s="3">
        <f>[1]!nefin_factors__1[[#This Row],[Rm_minus_Rf]]/B933-1</f>
        <v>0.82695261448065183</v>
      </c>
      <c r="D934" s="3">
        <v>23585368652148</v>
      </c>
      <c r="E934" s="3">
        <f>[1]!nefin_factors__1[[#This Row],[SMB]]/D933-1</f>
        <v>-0.68844088954286575</v>
      </c>
      <c r="F934" s="3">
        <v>-81619300534545</v>
      </c>
      <c r="G934" s="3">
        <f>[1]!nefin_factors__1[[#This Row],[HML]]/F933-1</f>
        <v>-1.272568870040365</v>
      </c>
      <c r="H934" s="3">
        <v>381533190257022</v>
      </c>
      <c r="I934" s="4">
        <f>[1]!nefin_factors__1[[#This Row],[Risk_Free]]/H933-1</f>
        <v>-9.441805246326318E-4</v>
      </c>
      <c r="J934">
        <v>74322</v>
      </c>
      <c r="K934">
        <v>75332</v>
      </c>
      <c r="L934">
        <v>74294</v>
      </c>
      <c r="M934">
        <v>74539</v>
      </c>
      <c r="N934">
        <v>3591700</v>
      </c>
      <c r="O934">
        <v>74539</v>
      </c>
      <c r="P934">
        <v>2.9602120588274601E-3</v>
      </c>
      <c r="Q934">
        <v>2.95583925859606E-3</v>
      </c>
      <c r="R934" s="8">
        <v>33.206596374511697</v>
      </c>
      <c r="S934" s="8">
        <v>-2.9694427150881398E-3</v>
      </c>
      <c r="T934" s="9">
        <v>-2.9738602573671702E-3</v>
      </c>
      <c r="U934" s="12">
        <v>3.4749000000000002E-2</v>
      </c>
      <c r="V934" s="16">
        <v>3.1404000000000001</v>
      </c>
      <c r="W934" s="17">
        <f t="shared" si="14"/>
        <v>-5.2266463936139207E-3</v>
      </c>
    </row>
    <row r="935" spans="1:23" x14ac:dyDescent="0.2">
      <c r="A935" s="15">
        <v>42905</v>
      </c>
      <c r="B935" s="5">
        <v>382375169136054</v>
      </c>
      <c r="C935" s="5">
        <f>[1]!nefin_factors__1[[#This Row],[Rm_minus_Rf]]/B934-1</f>
        <v>-1.7365864097473549</v>
      </c>
      <c r="D935" s="5">
        <v>-679006532599883</v>
      </c>
      <c r="E935" s="5">
        <f>[1]!nefin_factors__1[[#This Row],[SMB]]/D934-1</f>
        <v>-29.789311823542075</v>
      </c>
      <c r="F935" s="5">
        <v>-640405298360925</v>
      </c>
      <c r="G935" s="5">
        <f>[1]!nefin_factors__1[[#This Row],[HML]]/F934-1</f>
        <v>6.8462483036089772</v>
      </c>
      <c r="H935" s="5">
        <v>381172580975475</v>
      </c>
      <c r="I935" s="6">
        <f>[1]!nefin_factors__1[[#This Row],[Risk_Free]]/H934-1</f>
        <v>-9.4515835255137848E-4</v>
      </c>
      <c r="J935">
        <v>74543</v>
      </c>
      <c r="K935">
        <v>75146</v>
      </c>
      <c r="L935">
        <v>74196</v>
      </c>
      <c r="M935">
        <v>74788</v>
      </c>
      <c r="N935">
        <v>3212500</v>
      </c>
      <c r="O935">
        <v>74788</v>
      </c>
      <c r="P935">
        <v>3.3405331437235098E-3</v>
      </c>
      <c r="Q935">
        <v>3.33496595768242E-3</v>
      </c>
      <c r="R935" s="8">
        <v>34.533542633056598</v>
      </c>
      <c r="S935" s="8">
        <v>3.99603272063132E-2</v>
      </c>
      <c r="T935" s="9">
        <v>3.9182565508662601E-2</v>
      </c>
      <c r="U935" s="12">
        <v>3.4749000000000002E-2</v>
      </c>
      <c r="V935" s="16">
        <v>3.1461999999999999</v>
      </c>
      <c r="W935" s="17">
        <f t="shared" si="14"/>
        <v>1.8468984842694436E-3</v>
      </c>
    </row>
    <row r="936" spans="1:23" x14ac:dyDescent="0.2">
      <c r="A936" s="14">
        <v>42906</v>
      </c>
      <c r="B936" s="3">
        <v>-17920969814733</v>
      </c>
      <c r="C936" s="3">
        <f>[1]!nefin_factors__1[[#This Row],[Rm_minus_Rf]]/B935-1</f>
        <v>-1.0468675041196425</v>
      </c>
      <c r="D936" s="3">
        <v>671845890520405</v>
      </c>
      <c r="E936" s="3">
        <f>[1]!nefin_factors__1[[#This Row],[SMB]]/D935-1</f>
        <v>-1.9894542368361903</v>
      </c>
      <c r="F936" s="3">
        <v>-814673504393135</v>
      </c>
      <c r="G936" s="3">
        <f>[1]!nefin_factors__1[[#This Row],[HML]]/F935-1</f>
        <v>0.27212174302467185</v>
      </c>
      <c r="H936" s="3">
        <v>381172580975475</v>
      </c>
      <c r="I936" s="4">
        <f>[1]!nefin_factors__1[[#This Row],[Risk_Free]]/H935-1</f>
        <v>0</v>
      </c>
      <c r="J936">
        <v>74787</v>
      </c>
      <c r="K936">
        <v>74949</v>
      </c>
      <c r="L936">
        <v>74397</v>
      </c>
      <c r="M936">
        <v>74657</v>
      </c>
      <c r="N936">
        <v>3206100</v>
      </c>
      <c r="O936">
        <v>74657</v>
      </c>
      <c r="P936">
        <v>-1.7516179066160401E-3</v>
      </c>
      <c r="Q936">
        <v>-1.7531537830358999E-3</v>
      </c>
      <c r="R936" s="8">
        <v>34.904430389404297</v>
      </c>
      <c r="S936" s="8">
        <v>1.0739876806129501E-2</v>
      </c>
      <c r="T936" s="9">
        <v>1.0682613961631801E-2</v>
      </c>
      <c r="U936" s="12">
        <v>3.4749000000000002E-2</v>
      </c>
      <c r="V936" s="16">
        <v>3.1562999999999999</v>
      </c>
      <c r="W936" s="17">
        <f t="shared" si="14"/>
        <v>3.210221854936135E-3</v>
      </c>
    </row>
    <row r="937" spans="1:23" x14ac:dyDescent="0.2">
      <c r="A937" s="15">
        <v>42907</v>
      </c>
      <c r="B937" s="5">
        <v>-148899854718091</v>
      </c>
      <c r="C937" s="5">
        <f>[1]!nefin_factors__1[[#This Row],[Rm_minus_Rf]]/B936-1</f>
        <v>7.3086940192086605</v>
      </c>
      <c r="D937" s="5">
        <v>-12176535093414</v>
      </c>
      <c r="E937" s="5">
        <f>[1]!nefin_factors__1[[#This Row],[SMB]]/D936-1</f>
        <v>-1.0181240002584255</v>
      </c>
      <c r="F937" s="5">
        <v>511630776535126</v>
      </c>
      <c r="G937" s="5">
        <f>[1]!nefin_factors__1[[#This Row],[HML]]/F936-1</f>
        <v>-1.6280194136376744</v>
      </c>
      <c r="H937" s="5">
        <v>380811939063586</v>
      </c>
      <c r="I937" s="6">
        <f>[1]!nefin_factors__1[[#This Row],[Risk_Free]]/H936-1</f>
        <v>-9.4613812716026757E-4</v>
      </c>
      <c r="J937">
        <v>74656</v>
      </c>
      <c r="K937">
        <v>75820</v>
      </c>
      <c r="L937">
        <v>74648</v>
      </c>
      <c r="M937">
        <v>75757</v>
      </c>
      <c r="N937">
        <v>4825000</v>
      </c>
      <c r="O937">
        <v>75757</v>
      </c>
      <c r="P937">
        <v>1.4734050390452299E-2</v>
      </c>
      <c r="Q937">
        <v>1.46265588409398E-2</v>
      </c>
      <c r="R937" s="8">
        <v>34.854976654052699</v>
      </c>
      <c r="S937" s="8">
        <v>-1.4169320239076899E-3</v>
      </c>
      <c r="T937" s="9">
        <v>-1.41793682135316E-3</v>
      </c>
      <c r="U937" s="12">
        <v>3.4749000000000002E-2</v>
      </c>
      <c r="V937" s="16">
        <v>3.1695000000000002</v>
      </c>
      <c r="W937" s="17">
        <f t="shared" si="14"/>
        <v>4.1821119665432782E-3</v>
      </c>
    </row>
    <row r="938" spans="1:23" x14ac:dyDescent="0.2">
      <c r="A938" s="14">
        <v>42908</v>
      </c>
      <c r="B938" s="3">
        <v>77576089281542</v>
      </c>
      <c r="C938" s="3">
        <f>[1]!nefin_factors__1[[#This Row],[Rm_minus_Rf]]/B937-1</f>
        <v>-1.5209950636178604</v>
      </c>
      <c r="D938" s="3">
        <v>-228889521150818</v>
      </c>
      <c r="E938" s="3">
        <f>[1]!nefin_factors__1[[#This Row],[SMB]]/D937-1</f>
        <v>17.797590562081897</v>
      </c>
      <c r="F938" s="3">
        <v>141263692528534</v>
      </c>
      <c r="G938" s="3">
        <f>[1]!nefin_factors__1[[#This Row],[HML]]/F937-1</f>
        <v>-0.7238952404599226</v>
      </c>
      <c r="H938" s="3">
        <v>380811939063586</v>
      </c>
      <c r="I938" s="4">
        <f>[1]!nefin_factors__1[[#This Row],[Risk_Free]]/H937-1</f>
        <v>0</v>
      </c>
      <c r="J938">
        <v>75758</v>
      </c>
      <c r="K938">
        <v>76404</v>
      </c>
      <c r="L938">
        <v>75621</v>
      </c>
      <c r="M938">
        <v>75990</v>
      </c>
      <c r="N938">
        <v>3437400</v>
      </c>
      <c r="O938">
        <v>75990</v>
      </c>
      <c r="P938">
        <v>3.07562337473755E-3</v>
      </c>
      <c r="Q938">
        <v>3.07090332076171E-3</v>
      </c>
      <c r="R938" s="8">
        <v>34.822010040283203</v>
      </c>
      <c r="S938" s="8">
        <v>-9.4569985997983196E-4</v>
      </c>
      <c r="T938" s="9">
        <v>-9.4614731622086096E-4</v>
      </c>
      <c r="U938" s="12">
        <v>3.4749000000000002E-2</v>
      </c>
      <c r="V938" s="16">
        <v>3.1638000000000002</v>
      </c>
      <c r="W938" s="17">
        <f t="shared" si="14"/>
        <v>-1.7983909133932885E-3</v>
      </c>
    </row>
    <row r="939" spans="1:23" x14ac:dyDescent="0.2">
      <c r="A939" s="15">
        <v>42909</v>
      </c>
      <c r="B939" s="5">
        <v>-235945571894625</v>
      </c>
      <c r="C939" s="5">
        <f>[1]!nefin_factors__1[[#This Row],[Rm_minus_Rf]]/B938-1</f>
        <v>-4.0414728826858317</v>
      </c>
      <c r="D939" s="5">
        <v>710840570606943</v>
      </c>
      <c r="E939" s="5">
        <f>[1]!nefin_factors__1[[#This Row],[SMB]]/D938-1</f>
        <v>-4.1056055647849501</v>
      </c>
      <c r="F939" s="5">
        <v>128363436554357</v>
      </c>
      <c r="G939" s="5">
        <f>[1]!nefin_factors__1[[#This Row],[HML]]/F938-1</f>
        <v>-9.1320393395289856E-2</v>
      </c>
      <c r="H939" s="5">
        <v>38045126451558</v>
      </c>
      <c r="I939" s="6">
        <f>[1]!nefin_factors__1[[#This Row],[Risk_Free]]/H938-1</f>
        <v>-0.90009471198536817</v>
      </c>
      <c r="J939">
        <v>75990</v>
      </c>
      <c r="K939">
        <v>76071</v>
      </c>
      <c r="L939">
        <v>75300</v>
      </c>
      <c r="M939">
        <v>75974</v>
      </c>
      <c r="N939">
        <v>3026100</v>
      </c>
      <c r="O939">
        <v>75974</v>
      </c>
      <c r="P939">
        <v>-2.10554020265818E-4</v>
      </c>
      <c r="Q939">
        <v>-2.1057618987553199E-4</v>
      </c>
      <c r="R939" s="8">
        <v>34.484092712402301</v>
      </c>
      <c r="S939" s="8">
        <v>-9.7040876686084205E-3</v>
      </c>
      <c r="T939" s="9">
        <v>-9.7514791707689497E-3</v>
      </c>
      <c r="U939" s="12">
        <v>3.4749000000000002E-2</v>
      </c>
      <c r="V939" s="16">
        <v>3.1471</v>
      </c>
      <c r="W939" s="17">
        <f t="shared" si="14"/>
        <v>-5.2784626082559294E-3</v>
      </c>
    </row>
    <row r="940" spans="1:23" x14ac:dyDescent="0.2">
      <c r="A940" s="14">
        <v>42912</v>
      </c>
      <c r="B940" s="3">
        <v>170571163218223</v>
      </c>
      <c r="C940" s="3">
        <f>[1]!nefin_factors__1[[#This Row],[Rm_minus_Rf]]/B939-1</f>
        <v>-1.7229258928173543</v>
      </c>
      <c r="D940" s="3">
        <v>-511329987864263</v>
      </c>
      <c r="E940" s="3">
        <f>[1]!nefin_factors__1[[#This Row],[SMB]]/D939-1</f>
        <v>-1.7193314633514372</v>
      </c>
      <c r="F940" s="3">
        <v>362105306386569</v>
      </c>
      <c r="G940" s="3">
        <f>[1]!nefin_factors__1[[#This Row],[HML]]/F939-1</f>
        <v>1.8209380810183533</v>
      </c>
      <c r="H940" s="3">
        <v>38045126451558</v>
      </c>
      <c r="I940" s="4">
        <f>[1]!nefin_factors__1[[#This Row],[Risk_Free]]/H939-1</f>
        <v>0</v>
      </c>
      <c r="J940">
        <v>75974</v>
      </c>
      <c r="K940">
        <v>76420</v>
      </c>
      <c r="L940">
        <v>75074</v>
      </c>
      <c r="M940">
        <v>76004</v>
      </c>
      <c r="N940">
        <v>3890900</v>
      </c>
      <c r="O940">
        <v>76004</v>
      </c>
      <c r="P940">
        <v>3.9487192987075497E-4</v>
      </c>
      <c r="Q940">
        <v>3.9479398846749498E-4</v>
      </c>
      <c r="R940" s="8">
        <v>34.731349945068402</v>
      </c>
      <c r="S940" s="8">
        <v>7.1702228346410797E-3</v>
      </c>
      <c r="T940" s="9">
        <v>7.1446390085859899E-3</v>
      </c>
      <c r="U940" s="12">
        <v>3.4749000000000002E-2</v>
      </c>
      <c r="V940" s="16">
        <v>3.1333000000000002</v>
      </c>
      <c r="W940" s="17">
        <f t="shared" si="14"/>
        <v>-4.3849893552794228E-3</v>
      </c>
    </row>
    <row r="941" spans="1:23" x14ac:dyDescent="0.2">
      <c r="A941" s="15">
        <v>42913</v>
      </c>
      <c r="B941" s="5">
        <v>-774381620471276</v>
      </c>
      <c r="C941" s="5">
        <f>[1]!nefin_factors__1[[#This Row],[Rm_minus_Rf]]/B940-1</f>
        <v>-5.5399328108031849</v>
      </c>
      <c r="D941" s="5">
        <v>461930029976784</v>
      </c>
      <c r="E941" s="5">
        <f>[1]!nefin_factors__1[[#This Row],[SMB]]/D940-1</f>
        <v>-1.9033892807777339</v>
      </c>
      <c r="F941" s="5">
        <v>499333361526531</v>
      </c>
      <c r="G941" s="5">
        <f>[1]!nefin_factors__1[[#This Row],[HML]]/F940-1</f>
        <v>0.37897278145231827</v>
      </c>
      <c r="H941" s="5">
        <v>38045126451558</v>
      </c>
      <c r="I941" s="6">
        <f>[1]!nefin_factors__1[[#This Row],[Risk_Free]]/H940-1</f>
        <v>0</v>
      </c>
      <c r="J941">
        <v>76014</v>
      </c>
      <c r="K941">
        <v>76251</v>
      </c>
      <c r="L941">
        <v>75282</v>
      </c>
      <c r="M941">
        <v>75604</v>
      </c>
      <c r="N941">
        <v>3228500</v>
      </c>
      <c r="O941">
        <v>75604</v>
      </c>
      <c r="P941">
        <v>-5.2628809010052402E-3</v>
      </c>
      <c r="Q941">
        <v>-5.2767786415756296E-3</v>
      </c>
      <c r="R941" s="8">
        <v>34.541786193847699</v>
      </c>
      <c r="S941" s="8">
        <v>-5.4580017224413703E-3</v>
      </c>
      <c r="T941" s="9">
        <v>-5.47295103423535E-3</v>
      </c>
      <c r="U941" s="12">
        <v>3.4749000000000002E-2</v>
      </c>
      <c r="V941" s="16">
        <v>3.1389</v>
      </c>
      <c r="W941" s="17">
        <f t="shared" si="14"/>
        <v>1.7872530558835642E-3</v>
      </c>
    </row>
    <row r="942" spans="1:23" x14ac:dyDescent="0.2">
      <c r="A942" s="14">
        <v>42914</v>
      </c>
      <c r="B942" s="3">
        <v>357984998439685</v>
      </c>
      <c r="C942" s="3">
        <f>[1]!nefin_factors__1[[#This Row],[Rm_minus_Rf]]/B941-1</f>
        <v>-1.4622849884038069</v>
      </c>
      <c r="D942" s="3">
        <v>-720783781957148</v>
      </c>
      <c r="E942" s="3">
        <f>[1]!nefin_factors__1[[#This Row],[SMB]]/D941-1</f>
        <v>-2.5603743752995962</v>
      </c>
      <c r="F942" s="3">
        <v>957850253301745</v>
      </c>
      <c r="G942" s="3">
        <f>[1]!nefin_factors__1[[#This Row],[HML]]/F941-1</f>
        <v>0.91825807587433084</v>
      </c>
      <c r="H942" s="3">
        <v>379729817486796</v>
      </c>
      <c r="I942" s="4">
        <f>[1]!nefin_factors__1[[#This Row],[Risk_Free]]/H941-1</f>
        <v>8.9810370710765639</v>
      </c>
      <c r="J942">
        <v>75618</v>
      </c>
      <c r="K942">
        <v>75734</v>
      </c>
      <c r="L942">
        <v>75029</v>
      </c>
      <c r="M942">
        <v>75390</v>
      </c>
      <c r="N942">
        <v>2801700</v>
      </c>
      <c r="O942">
        <v>75390</v>
      </c>
      <c r="P942">
        <v>-2.8305380667689199E-3</v>
      </c>
      <c r="Q942">
        <v>-2.8345516150993502E-3</v>
      </c>
      <c r="R942" s="8">
        <v>34.706623077392599</v>
      </c>
      <c r="S942" s="8">
        <v>4.7721643150095997E-3</v>
      </c>
      <c r="T942" s="9">
        <v>4.7608136360970301E-3</v>
      </c>
      <c r="U942" s="12">
        <v>3.4749000000000002E-2</v>
      </c>
      <c r="V942" s="16">
        <v>3.1202999999999999</v>
      </c>
      <c r="W942" s="17">
        <f t="shared" si="14"/>
        <v>-5.9256427410876444E-3</v>
      </c>
    </row>
    <row r="943" spans="1:23" x14ac:dyDescent="0.2">
      <c r="A943" s="15">
        <v>42915</v>
      </c>
      <c r="B943" s="5">
        <v>256895002763047</v>
      </c>
      <c r="C943" s="5">
        <f>[1]!nefin_factors__1[[#This Row],[Rm_minus_Rf]]/B942-1</f>
        <v>-0.28238612265108676</v>
      </c>
      <c r="D943" s="5">
        <v>-217066084573569</v>
      </c>
      <c r="E943" s="5">
        <f>[1]!nefin_factors__1[[#This Row],[SMB]]/D942-1</f>
        <v>-0.69884715776460959</v>
      </c>
      <c r="F943" s="5">
        <v>721147534150671</v>
      </c>
      <c r="G943" s="5">
        <f>[1]!nefin_factors__1[[#This Row],[HML]]/F942-1</f>
        <v>-0.24711871018998122</v>
      </c>
      <c r="H943" s="5">
        <v>379729817486796</v>
      </c>
      <c r="I943" s="6">
        <f>[1]!nefin_factors__1[[#This Row],[Risk_Free]]/H942-1</f>
        <v>0</v>
      </c>
      <c r="J943">
        <v>75381</v>
      </c>
      <c r="K943">
        <v>75470</v>
      </c>
      <c r="L943">
        <v>74303</v>
      </c>
      <c r="M943">
        <v>74443</v>
      </c>
      <c r="N943">
        <v>3376500</v>
      </c>
      <c r="O943">
        <v>74443</v>
      </c>
      <c r="P943">
        <v>-1.2561347658840601E-2</v>
      </c>
      <c r="Q943">
        <v>-1.26409083481331E-2</v>
      </c>
      <c r="R943" s="8">
        <v>33.7011108398438</v>
      </c>
      <c r="S943" s="8">
        <v>-2.8971920906450802E-2</v>
      </c>
      <c r="T943" s="9">
        <v>-2.93998934018673E-2</v>
      </c>
      <c r="U943" s="12">
        <v>3.4749000000000002E-2</v>
      </c>
      <c r="V943" s="16">
        <v>3.1133000000000002</v>
      </c>
      <c r="W943" s="17">
        <f t="shared" si="14"/>
        <v>-2.2433740345478848E-3</v>
      </c>
    </row>
    <row r="944" spans="1:23" x14ac:dyDescent="0.2">
      <c r="A944" s="14">
        <v>42916</v>
      </c>
      <c r="B944" s="3">
        <v>974544910569367</v>
      </c>
      <c r="C944" s="3">
        <f>[1]!nefin_factors__1[[#This Row],[Rm_minus_Rf]]/B943-1</f>
        <v>2.7935533976433979</v>
      </c>
      <c r="D944" s="3">
        <v>238099447731811</v>
      </c>
      <c r="E944" s="3">
        <f>[1]!nefin_factors__1[[#This Row],[SMB]]/D943-1</f>
        <v>-2.0968984316438126</v>
      </c>
      <c r="F944" s="3">
        <v>-7836792408454</v>
      </c>
      <c r="G944" s="3">
        <f>[1]!nefin_factors__1[[#This Row],[HML]]/F943-1</f>
        <v>-1.0108671139223735</v>
      </c>
      <c r="H944" s="3">
        <v>379369044994471</v>
      </c>
      <c r="I944" s="4">
        <f>[1]!nefin_factors__1[[#This Row],[Risk_Free]]/H943-1</f>
        <v>-9.5007680648506732E-4</v>
      </c>
      <c r="J944">
        <v>74443</v>
      </c>
      <c r="K944">
        <v>74971</v>
      </c>
      <c r="L944">
        <v>74319</v>
      </c>
      <c r="M944">
        <v>74319</v>
      </c>
      <c r="N944">
        <v>3565400</v>
      </c>
      <c r="O944">
        <v>74319</v>
      </c>
      <c r="P944">
        <v>-1.6657039614201799E-3</v>
      </c>
      <c r="Q944">
        <v>-1.6670927887281E-3</v>
      </c>
      <c r="R944" s="8">
        <v>33.379676818847699</v>
      </c>
      <c r="S944" s="8">
        <v>-9.5376322994660308E-3</v>
      </c>
      <c r="T944" s="9">
        <v>-9.5834068004930998E-3</v>
      </c>
      <c r="U944" s="12">
        <v>3.1095999999999999E-2</v>
      </c>
      <c r="V944" s="16">
        <v>3.0908000000000002</v>
      </c>
      <c r="W944" s="17">
        <f t="shared" si="14"/>
        <v>-7.227058105547135E-3</v>
      </c>
    </row>
    <row r="945" spans="1:23" x14ac:dyDescent="0.2">
      <c r="A945" s="15">
        <v>42919</v>
      </c>
      <c r="B945" s="5">
        <v>38198048023431</v>
      </c>
      <c r="C945" s="5">
        <f>[1]!nefin_factors__1[[#This Row],[Rm_minus_Rf]]/B944-1</f>
        <v>-0.96080421988852804</v>
      </c>
      <c r="D945" s="5">
        <v>-434682814.66867697</v>
      </c>
      <c r="E945" s="5">
        <f>[1]!nefin_factors__1[[#This Row],[SMB]]/D944-1</f>
        <v>-1.0000018256355434</v>
      </c>
      <c r="F945" s="5">
        <v>450666540432405</v>
      </c>
      <c r="G945" s="5">
        <f>[1]!nefin_factors__1[[#This Row],[HML]]/F944-1</f>
        <v>-58.506504822846274</v>
      </c>
      <c r="H945" s="5">
        <v>377925628366693</v>
      </c>
      <c r="I945" s="6">
        <f>[1]!nefin_factors__1[[#This Row],[Risk_Free]]/H944-1</f>
        <v>-3.8047823005671333E-3</v>
      </c>
      <c r="J945">
        <v>74358</v>
      </c>
      <c r="K945">
        <v>74744</v>
      </c>
      <c r="L945">
        <v>73125</v>
      </c>
      <c r="M945">
        <v>73797</v>
      </c>
      <c r="N945">
        <v>3788600</v>
      </c>
      <c r="O945">
        <v>73797</v>
      </c>
      <c r="P945">
        <v>-7.0237758850361098E-3</v>
      </c>
      <c r="Q945">
        <v>-7.0485587130767304E-3</v>
      </c>
      <c r="R945" s="8">
        <v>32.102184295654297</v>
      </c>
      <c r="S945" s="8">
        <v>-3.8271698250288998E-2</v>
      </c>
      <c r="T945" s="9">
        <v>-3.9023298821073499E-2</v>
      </c>
      <c r="U945" s="12">
        <v>3.1095999999999999E-2</v>
      </c>
      <c r="V945" s="16">
        <v>3.0851999999999999</v>
      </c>
      <c r="W945" s="17">
        <f t="shared" si="14"/>
        <v>-1.8118286527760707E-3</v>
      </c>
    </row>
    <row r="946" spans="1:23" x14ac:dyDescent="0.2">
      <c r="A946" s="14">
        <v>42920</v>
      </c>
      <c r="B946" s="3">
        <v>-623785034498471</v>
      </c>
      <c r="C946" s="3">
        <f>[1]!nefin_factors__1[[#This Row],[Rm_minus_Rf]]/B945-1</f>
        <v>-17.330285623910314</v>
      </c>
      <c r="D946" s="3">
        <v>380724470382627</v>
      </c>
      <c r="E946" s="3">
        <f>[1]!nefin_factors__1[[#This Row],[SMB]]/D945-1</f>
        <v>-875868.31643122819</v>
      </c>
      <c r="F946" s="3">
        <v>465658019404585</v>
      </c>
      <c r="G946" s="3">
        <f>[1]!nefin_factors__1[[#This Row],[HML]]/F945-1</f>
        <v>3.3265125380277816E-2</v>
      </c>
      <c r="H946" s="3">
        <v>377925628366693</v>
      </c>
      <c r="I946" s="4">
        <f>[1]!nefin_factors__1[[#This Row],[Risk_Free]]/H945-1</f>
        <v>0</v>
      </c>
      <c r="J946">
        <v>73808</v>
      </c>
      <c r="K946">
        <v>74011</v>
      </c>
      <c r="L946">
        <v>73277</v>
      </c>
      <c r="M946">
        <v>73567</v>
      </c>
      <c r="N946">
        <v>3082900</v>
      </c>
      <c r="O946">
        <v>73567</v>
      </c>
      <c r="P946">
        <v>-3.1166578587205102E-3</v>
      </c>
      <c r="Q946">
        <v>-3.1215247517490299E-3</v>
      </c>
      <c r="R946" s="8">
        <v>33.132419586181598</v>
      </c>
      <c r="S946" s="8">
        <v>3.2092350327082901E-2</v>
      </c>
      <c r="T946" s="9">
        <v>3.1588149806719902E-2</v>
      </c>
      <c r="U946" s="12">
        <v>3.1095999999999999E-2</v>
      </c>
      <c r="V946" s="16">
        <v>3.1143999999999998</v>
      </c>
      <c r="W946" s="17">
        <f t="shared" si="14"/>
        <v>9.464540386360687E-3</v>
      </c>
    </row>
    <row r="947" spans="1:23" x14ac:dyDescent="0.2">
      <c r="A947" s="15">
        <v>42921</v>
      </c>
      <c r="B947" s="5">
        <v>-15606592037382</v>
      </c>
      <c r="C947" s="5">
        <f>[1]!nefin_factors__1[[#This Row],[Rm_minus_Rf]]/B946-1</f>
        <v>-0.97498081682910231</v>
      </c>
      <c r="D947" s="5">
        <v>427845998243</v>
      </c>
      <c r="E947" s="5">
        <f>[1]!nefin_factors__1[[#This Row],[SMB]]/D946-1</f>
        <v>-0.9988762319432396</v>
      </c>
      <c r="F947" s="5">
        <v>-182405701601839</v>
      </c>
      <c r="G947" s="5">
        <f>[1]!nefin_factors__1[[#This Row],[HML]]/F946-1</f>
        <v>-1.3917160104642299</v>
      </c>
      <c r="H947" s="5">
        <v>374314798111453</v>
      </c>
      <c r="I947" s="6">
        <f>[1]!nefin_factors__1[[#This Row],[Risk_Free]]/H946-1</f>
        <v>-9.5543408126227414E-3</v>
      </c>
      <c r="J947">
        <v>73571</v>
      </c>
      <c r="K947">
        <v>74518</v>
      </c>
      <c r="L947">
        <v>73571</v>
      </c>
      <c r="M947">
        <v>74294</v>
      </c>
      <c r="N947">
        <v>3126600</v>
      </c>
      <c r="O947">
        <v>74294</v>
      </c>
      <c r="P947">
        <v>9.8821482458166798E-3</v>
      </c>
      <c r="Q947">
        <v>9.8336391398229205E-3</v>
      </c>
      <c r="R947" s="8">
        <v>33.750564575195298</v>
      </c>
      <c r="S947" s="8">
        <v>1.86569098024068E-2</v>
      </c>
      <c r="T947" s="9">
        <v>1.8485004516740702E-2</v>
      </c>
      <c r="U947" s="12">
        <v>3.1095999999999999E-2</v>
      </c>
      <c r="V947" s="16">
        <v>3.1343000000000001</v>
      </c>
      <c r="W947" s="17">
        <f t="shared" si="14"/>
        <v>6.3896737734396858E-3</v>
      </c>
    </row>
    <row r="948" spans="1:23" x14ac:dyDescent="0.2">
      <c r="A948" s="14">
        <v>42922</v>
      </c>
      <c r="B948" s="3">
        <v>-973525413626515</v>
      </c>
      <c r="C948" s="3">
        <f>[1]!nefin_factors__1[[#This Row],[Rm_minus_Rf]]/B947-1</f>
        <v>61.379115907858605</v>
      </c>
      <c r="D948" s="3">
        <v>263956079315955</v>
      </c>
      <c r="E948" s="3">
        <f>[1]!nefin_factors__1[[#This Row],[SMB]]/D947-1</f>
        <v>615.94179774947463</v>
      </c>
      <c r="F948" s="3">
        <v>198955100080596</v>
      </c>
      <c r="G948" s="3">
        <f>[1]!nefin_factors__1[[#This Row],[HML]]/F947-1</f>
        <v>-2.0907285152460942</v>
      </c>
      <c r="H948" s="3">
        <v>372508155491724</v>
      </c>
      <c r="I948" s="4">
        <f>[1]!nefin_factors__1[[#This Row],[Risk_Free]]/H947-1</f>
        <v>-4.8265327174991102E-3</v>
      </c>
      <c r="J948">
        <v>74295</v>
      </c>
      <c r="K948">
        <v>74506</v>
      </c>
      <c r="L948">
        <v>73845</v>
      </c>
      <c r="M948">
        <v>74360</v>
      </c>
      <c r="N948">
        <v>2512000</v>
      </c>
      <c r="O948">
        <v>74360</v>
      </c>
      <c r="P948">
        <v>8.8836245188028695E-4</v>
      </c>
      <c r="Q948">
        <v>8.8796809149668799E-4</v>
      </c>
      <c r="R948" s="8">
        <v>33.4620971679688</v>
      </c>
      <c r="S948" s="8">
        <v>-8.5471264229275406E-3</v>
      </c>
      <c r="T948" s="9">
        <v>-8.5838625834892494E-3</v>
      </c>
      <c r="U948" s="12">
        <v>3.1095999999999999E-2</v>
      </c>
      <c r="V948" s="16">
        <v>3.1354000000000002</v>
      </c>
      <c r="W948" s="17">
        <f t="shared" si="14"/>
        <v>3.509555562646316E-4</v>
      </c>
    </row>
    <row r="949" spans="1:23" x14ac:dyDescent="0.2">
      <c r="A949" s="15">
        <v>42923</v>
      </c>
      <c r="B949" s="5">
        <v>-112138929018261</v>
      </c>
      <c r="C949" s="5">
        <f>[1]!nefin_factors__1[[#This Row],[Rm_minus_Rf]]/B948-1</f>
        <v>-0.88481150317326773</v>
      </c>
      <c r="D949" s="5">
        <v>997630090064286</v>
      </c>
      <c r="E949" s="5">
        <f>[1]!nefin_factors__1[[#This Row],[SMB]]/D948-1</f>
        <v>2.7795306425586221</v>
      </c>
      <c r="F949" s="5">
        <v>-651658795230089</v>
      </c>
      <c r="G949" s="5">
        <f>[1]!nefin_factors__1[[#This Row],[HML]]/F948-1</f>
        <v>-4.2754063352289258</v>
      </c>
      <c r="H949" s="5">
        <v>37214672867325</v>
      </c>
      <c r="I949" s="6">
        <f>[1]!nefin_factors__1[[#This Row],[Risk_Free]]/H948-1</f>
        <v>-0.90009702520955459</v>
      </c>
      <c r="J949">
        <v>74363</v>
      </c>
      <c r="K949">
        <v>76763</v>
      </c>
      <c r="L949">
        <v>74363</v>
      </c>
      <c r="M949">
        <v>76763</v>
      </c>
      <c r="N949">
        <v>3816900</v>
      </c>
      <c r="O949">
        <v>76763</v>
      </c>
      <c r="P949">
        <v>3.2315761161914897E-2</v>
      </c>
      <c r="Q949">
        <v>3.18045903781949E-2</v>
      </c>
      <c r="R949" s="8">
        <v>34.154415130615199</v>
      </c>
      <c r="S949" s="8">
        <v>2.0689639049114701E-2</v>
      </c>
      <c r="T949" s="9">
        <v>2.0478515547065101E-2</v>
      </c>
      <c r="U949" s="12">
        <v>3.1095999999999999E-2</v>
      </c>
      <c r="V949" s="16">
        <v>3.1255000000000002</v>
      </c>
      <c r="W949" s="17">
        <f t="shared" si="14"/>
        <v>-3.1574918670663754E-3</v>
      </c>
    </row>
    <row r="950" spans="1:23" x14ac:dyDescent="0.2">
      <c r="A950" s="14">
        <v>42926</v>
      </c>
      <c r="B950" s="3">
        <v>101538318604151</v>
      </c>
      <c r="C950" s="3">
        <f>[1]!nefin_factors__1[[#This Row],[Rm_minus_Rf]]/B949-1</f>
        <v>-1.9054689526026793</v>
      </c>
      <c r="D950" s="3">
        <v>-463231271104049</v>
      </c>
      <c r="E950" s="3">
        <f>[1]!nefin_factors__1[[#This Row],[SMB]]/D949-1</f>
        <v>-1.4643316954024501</v>
      </c>
      <c r="F950" s="3">
        <v>-130100606659517</v>
      </c>
      <c r="G950" s="3">
        <f>[1]!nefin_factors__1[[#This Row],[HML]]/F949-1</f>
        <v>-0.80035471382906631</v>
      </c>
      <c r="H950" s="3">
        <v>369977479200312</v>
      </c>
      <c r="I950" s="4">
        <f>[1]!nefin_factors__1[[#This Row],[Risk_Free]]/H949-1</f>
        <v>8.9417098336274066</v>
      </c>
      <c r="J950">
        <v>76763</v>
      </c>
      <c r="K950">
        <v>77004</v>
      </c>
      <c r="L950">
        <v>76422</v>
      </c>
      <c r="M950">
        <v>76591</v>
      </c>
      <c r="N950">
        <v>3119500</v>
      </c>
      <c r="O950">
        <v>76591</v>
      </c>
      <c r="P950">
        <v>-2.2406628193269999E-3</v>
      </c>
      <c r="Q950">
        <v>-2.2431768603762199E-3</v>
      </c>
      <c r="R950" s="8">
        <v>34.846736907958999</v>
      </c>
      <c r="S950" s="8">
        <v>2.0270369318442099E-2</v>
      </c>
      <c r="T950" s="9">
        <v>2.0067660131131902E-2</v>
      </c>
      <c r="U950" s="12">
        <v>3.1095999999999999E-2</v>
      </c>
      <c r="V950" s="16">
        <v>3.1238999999999999</v>
      </c>
      <c r="W950" s="17">
        <f t="shared" si="14"/>
        <v>-5.1191809310513481E-4</v>
      </c>
    </row>
    <row r="951" spans="1:23" x14ac:dyDescent="0.2">
      <c r="A951" s="15">
        <v>42927</v>
      </c>
      <c r="B951" s="5">
        <v>114433778755856</v>
      </c>
      <c r="C951" s="5">
        <f>[1]!nefin_factors__1[[#This Row],[Rm_minus_Rf]]/B950-1</f>
        <v>0.12700092269577734</v>
      </c>
      <c r="D951" s="5">
        <v>140396031733685</v>
      </c>
      <c r="E951" s="5">
        <f>[1]!nefin_factors__1[[#This Row],[SMB]]/D950-1</f>
        <v>-1.3030797799964369</v>
      </c>
      <c r="F951" s="5">
        <v>103566484566388</v>
      </c>
      <c r="G951" s="5">
        <f>[1]!nefin_factors__1[[#This Row],[HML]]/F950-1</f>
        <v>-1.7960492055000883</v>
      </c>
      <c r="H951" s="5">
        <v>368168868961405</v>
      </c>
      <c r="I951" s="6">
        <f>[1]!nefin_factors__1[[#This Row],[Risk_Free]]/H950-1</f>
        <v>-4.8884333252289247E-3</v>
      </c>
      <c r="J951">
        <v>76592</v>
      </c>
      <c r="K951">
        <v>78024</v>
      </c>
      <c r="L951">
        <v>76592</v>
      </c>
      <c r="M951">
        <v>76618</v>
      </c>
      <c r="N951">
        <v>4112900</v>
      </c>
      <c r="O951">
        <v>76618</v>
      </c>
      <c r="P951">
        <v>3.5252183676926001E-4</v>
      </c>
      <c r="Q951">
        <v>3.5245971554552302E-4</v>
      </c>
      <c r="R951" s="8">
        <v>34.945636749267599</v>
      </c>
      <c r="S951" s="8">
        <v>2.8379944405256801E-3</v>
      </c>
      <c r="T951" s="9">
        <v>2.83397493739265E-3</v>
      </c>
      <c r="U951" s="12">
        <v>3.1095999999999999E-2</v>
      </c>
      <c r="V951" s="16">
        <v>3.1322999999999999</v>
      </c>
      <c r="W951" s="17">
        <f t="shared" si="14"/>
        <v>2.6889465091712861E-3</v>
      </c>
    </row>
    <row r="952" spans="1:23" x14ac:dyDescent="0.2">
      <c r="A952" s="14">
        <v>42928</v>
      </c>
      <c r="B952" s="3">
        <v>151704860372856</v>
      </c>
      <c r="C952" s="3">
        <f>[1]!nefin_factors__1[[#This Row],[Rm_minus_Rf]]/B951-1</f>
        <v>0.32569999891830625</v>
      </c>
      <c r="D952" s="3">
        <v>166783419767342</v>
      </c>
      <c r="E952" s="3">
        <f>[1]!nefin_factors__1[[#This Row],[SMB]]/D951-1</f>
        <v>0.18794967142455143</v>
      </c>
      <c r="F952" s="3">
        <v>878411242761143</v>
      </c>
      <c r="G952" s="3">
        <f>[1]!nefin_factors__1[[#This Row],[HML]]/F951-1</f>
        <v>7.4816168709295656</v>
      </c>
      <c r="H952" s="3">
        <v>366359437613539</v>
      </c>
      <c r="I952" s="4">
        <f>[1]!nefin_factors__1[[#This Row],[Risk_Free]]/H951-1</f>
        <v>-4.9146777482038662E-3</v>
      </c>
      <c r="J952">
        <v>76618</v>
      </c>
      <c r="K952">
        <v>76618</v>
      </c>
      <c r="L952">
        <v>75603</v>
      </c>
      <c r="M952">
        <v>76055</v>
      </c>
      <c r="N952">
        <v>2994300</v>
      </c>
      <c r="O952">
        <v>76055</v>
      </c>
      <c r="P952">
        <v>-7.3481427340833499E-3</v>
      </c>
      <c r="Q952">
        <v>-7.3752733229013098E-3</v>
      </c>
      <c r="R952" s="8">
        <v>35.827522277832003</v>
      </c>
      <c r="S952" s="8">
        <v>2.5236066240588401E-2</v>
      </c>
      <c r="T952" s="9">
        <v>2.49228946008372E-2</v>
      </c>
      <c r="U952" s="12">
        <v>3.1095999999999999E-2</v>
      </c>
      <c r="V952" s="16">
        <v>3.1280999999999999</v>
      </c>
      <c r="W952" s="17">
        <f t="shared" si="14"/>
        <v>-1.3408677329758145E-3</v>
      </c>
    </row>
    <row r="953" spans="1:23" x14ac:dyDescent="0.2">
      <c r="A953" s="15">
        <v>42929</v>
      </c>
      <c r="B953" s="5">
        <v>538238036548076</v>
      </c>
      <c r="C953" s="5">
        <f>[1]!nefin_factors__1[[#This Row],[Rm_minus_Rf]]/B952-1</f>
        <v>2.5479287560412334</v>
      </c>
      <c r="D953" s="5">
        <v>-104687037929435</v>
      </c>
      <c r="E953" s="5">
        <f>[1]!nefin_factors__1[[#This Row],[SMB]]/D952-1</f>
        <v>-1.6276825242909059</v>
      </c>
      <c r="F953" s="5">
        <v>-852029703677787</v>
      </c>
      <c r="G953" s="5">
        <f>[1]!nefin_factors__1[[#This Row],[HML]]/F952-1</f>
        <v>-1.9699667561170666</v>
      </c>
      <c r="H953" s="5">
        <v>36527338436132</v>
      </c>
      <c r="I953" s="6">
        <f>[1]!nefin_factors__1[[#This Row],[Risk_Free]]/H952-1</f>
        <v>-0.90029644473178949</v>
      </c>
      <c r="J953">
        <v>76055</v>
      </c>
      <c r="K953">
        <v>76067</v>
      </c>
      <c r="L953">
        <v>75181</v>
      </c>
      <c r="M953">
        <v>75727</v>
      </c>
      <c r="N953">
        <v>2335300</v>
      </c>
      <c r="O953">
        <v>75727</v>
      </c>
      <c r="P953">
        <v>-4.3126684636118897E-3</v>
      </c>
      <c r="Q953">
        <v>-4.3219948422955796E-3</v>
      </c>
      <c r="R953" s="8">
        <v>35.431911468505902</v>
      </c>
      <c r="S953" s="8">
        <v>-1.1042197831999299E-2</v>
      </c>
      <c r="T953" s="9">
        <v>-1.1103615440573599E-2</v>
      </c>
      <c r="U953" s="12">
        <v>3.1095999999999999E-2</v>
      </c>
      <c r="V953" s="16">
        <v>3.1347</v>
      </c>
      <c r="W953" s="17">
        <f t="shared" si="14"/>
        <v>2.1099069722836372E-3</v>
      </c>
    </row>
    <row r="954" spans="1:23" x14ac:dyDescent="0.2">
      <c r="A954" s="14">
        <v>42930</v>
      </c>
      <c r="B954" s="3">
        <v>36659196185738</v>
      </c>
      <c r="C954" s="3">
        <f>[1]!nefin_factors__1[[#This Row],[Rm_minus_Rf]]/B953-1</f>
        <v>-0.93189036504954703</v>
      </c>
      <c r="D954" s="3">
        <v>109208075240078</v>
      </c>
      <c r="E954" s="3">
        <f>[1]!nefin_factors__1[[#This Row],[SMB]]/D953-1</f>
        <v>-2.0431862186576568</v>
      </c>
      <c r="F954" s="3">
        <v>54254234158608</v>
      </c>
      <c r="G954" s="3">
        <f>[1]!nefin_factors__1[[#This Row],[HML]]/F953-1</f>
        <v>-1.0636764586075105</v>
      </c>
      <c r="H954" s="3">
        <v>364187035079233</v>
      </c>
      <c r="I954" s="4">
        <f>[1]!nefin_factors__1[[#This Row],[Risk_Free]]/H953-1</f>
        <v>8.9702592817161726</v>
      </c>
      <c r="J954">
        <v>75745</v>
      </c>
      <c r="K954">
        <v>76996</v>
      </c>
      <c r="L954">
        <v>75745</v>
      </c>
      <c r="M954">
        <v>76897</v>
      </c>
      <c r="N954">
        <v>3489200</v>
      </c>
      <c r="O954">
        <v>76897</v>
      </c>
      <c r="P954">
        <v>1.5450235715134699E-2</v>
      </c>
      <c r="Q954">
        <v>1.5332096125700301E-2</v>
      </c>
      <c r="R954" s="8">
        <v>35.893455505371101</v>
      </c>
      <c r="S954" s="8">
        <v>1.30263122742555E-2</v>
      </c>
      <c r="T954" s="9">
        <v>1.2942199533610499E-2</v>
      </c>
      <c r="U954" s="12">
        <v>3.1095999999999999E-2</v>
      </c>
      <c r="V954" s="16">
        <v>3.1284999999999998</v>
      </c>
      <c r="W954" s="17">
        <f t="shared" si="14"/>
        <v>-1.9778607203241316E-3</v>
      </c>
    </row>
    <row r="955" spans="1:23" x14ac:dyDescent="0.2">
      <c r="A955" s="15">
        <v>42933</v>
      </c>
      <c r="B955" s="5">
        <v>-221173018081741</v>
      </c>
      <c r="C955" s="5">
        <f>[1]!nefin_factors__1[[#This Row],[Rm_minus_Rf]]/B954-1</f>
        <v>-7.0332206129436843</v>
      </c>
      <c r="D955" s="5">
        <v>116291797152008</v>
      </c>
      <c r="E955" s="5">
        <f>[1]!nefin_factors__1[[#This Row],[SMB]]/D954-1</f>
        <v>6.4864451610904039E-2</v>
      </c>
      <c r="F955" s="5">
        <v>817550605649966</v>
      </c>
      <c r="G955" s="5">
        <f>[1]!nefin_factors__1[[#This Row],[HML]]/F954-1</f>
        <v>14.068881135800773</v>
      </c>
      <c r="H955" s="5">
        <v>361651067950941</v>
      </c>
      <c r="I955" s="6">
        <f>[1]!nefin_factors__1[[#This Row],[Risk_Free]]/H954-1</f>
        <v>-6.9633646561313434E-3</v>
      </c>
      <c r="J955">
        <v>76910</v>
      </c>
      <c r="K955">
        <v>76985</v>
      </c>
      <c r="L955">
        <v>76323</v>
      </c>
      <c r="M955">
        <v>76660</v>
      </c>
      <c r="N955">
        <v>3781500</v>
      </c>
      <c r="O955">
        <v>76660</v>
      </c>
      <c r="P955">
        <v>-3.0820448131916298E-3</v>
      </c>
      <c r="Q955">
        <v>-3.0868040947018699E-3</v>
      </c>
      <c r="R955" s="8">
        <v>36.289066314697301</v>
      </c>
      <c r="S955" s="8">
        <v>1.10219144747561E-2</v>
      </c>
      <c r="T955" s="9">
        <v>1.0961615841746901E-2</v>
      </c>
      <c r="U955" s="12">
        <v>3.1095999999999999E-2</v>
      </c>
      <c r="V955" s="16">
        <v>3.1412</v>
      </c>
      <c r="W955" s="17">
        <f t="shared" si="14"/>
        <v>4.0594534121785042E-3</v>
      </c>
    </row>
    <row r="956" spans="1:23" x14ac:dyDescent="0.2">
      <c r="A956" s="14">
        <v>42934</v>
      </c>
      <c r="B956" s="3">
        <v>157110255275153</v>
      </c>
      <c r="C956" s="3">
        <f>[1]!nefin_factors__1[[#This Row],[Rm_minus_Rf]]/B955-1</f>
        <v>-1.7103500085036969</v>
      </c>
      <c r="D956" s="3">
        <v>148474394792165</v>
      </c>
      <c r="E956" s="3">
        <f>[1]!nefin_factors__1[[#This Row],[SMB]]/D955-1</f>
        <v>0.27674004898290727</v>
      </c>
      <c r="F956" s="3">
        <v>-169002346589589</v>
      </c>
      <c r="G956" s="3">
        <f>[1]!nefin_factors__1[[#This Row],[HML]]/F955-1</f>
        <v>-1.206717902747108</v>
      </c>
      <c r="H956" s="3">
        <v>359838674413915</v>
      </c>
      <c r="I956" s="4">
        <f>[1]!nefin_factors__1[[#This Row],[Risk_Free]]/H955-1</f>
        <v>-5.0114425136216223E-3</v>
      </c>
      <c r="R956" s="8">
        <v>36.289066314697301</v>
      </c>
      <c r="S956" s="8">
        <v>0</v>
      </c>
      <c r="T956" s="9">
        <v>0</v>
      </c>
      <c r="U956" s="12">
        <v>3.1095999999999999E-2</v>
      </c>
      <c r="V956" s="16">
        <v>3.1674000000000002</v>
      </c>
      <c r="W956" s="17">
        <f t="shared" si="14"/>
        <v>8.3407614924233542E-3</v>
      </c>
    </row>
    <row r="957" spans="1:23" x14ac:dyDescent="0.2">
      <c r="A957" s="15">
        <v>42935</v>
      </c>
      <c r="B957" s="5">
        <v>-243620931937204</v>
      </c>
      <c r="C957" s="5">
        <f>[1]!nefin_factors__1[[#This Row],[Rm_minus_Rf]]/B956-1</f>
        <v>-2.5506367264857515</v>
      </c>
      <c r="D957" s="5">
        <v>-264049763950956</v>
      </c>
      <c r="E957" s="5">
        <f>[1]!nefin_factors__1[[#This Row],[SMB]]/D956-1</f>
        <v>-2.7784195336884441</v>
      </c>
      <c r="F957" s="5">
        <v>221403554730366</v>
      </c>
      <c r="G957" s="5">
        <f>[1]!nefin_factors__1[[#This Row],[HML]]/F956-1</f>
        <v>-2.3100620151034343</v>
      </c>
      <c r="H957" s="5">
        <v>35802545632091</v>
      </c>
      <c r="I957" s="6">
        <f>[1]!nefin_factors__1[[#This Row],[Risk_Free]]/H956-1</f>
        <v>-0.90050389750239002</v>
      </c>
      <c r="J957">
        <v>76659</v>
      </c>
      <c r="K957">
        <v>77319</v>
      </c>
      <c r="L957">
        <v>76659</v>
      </c>
      <c r="M957">
        <v>76990</v>
      </c>
      <c r="N957">
        <v>3200100</v>
      </c>
      <c r="O957">
        <v>76990</v>
      </c>
      <c r="R957" s="8">
        <v>36.676437377929702</v>
      </c>
      <c r="S957" s="8">
        <v>1.06745397680581E-2</v>
      </c>
      <c r="T957" s="9">
        <v>1.0617969089646601E-2</v>
      </c>
      <c r="U957" s="12">
        <v>3.1095999999999999E-2</v>
      </c>
      <c r="V957" s="16">
        <v>3.1932</v>
      </c>
      <c r="W957" s="17">
        <f t="shared" si="14"/>
        <v>8.1454820988822174E-3</v>
      </c>
    </row>
    <row r="958" spans="1:23" x14ac:dyDescent="0.2">
      <c r="A958" s="14">
        <v>42936</v>
      </c>
      <c r="B958" s="3">
        <v>-350072937730378</v>
      </c>
      <c r="C958" s="3">
        <f>[1]!nefin_factors__1[[#This Row],[Rm_minus_Rf]]/B957-1</f>
        <v>0.43695755100638545</v>
      </c>
      <c r="D958" s="3">
        <v>729611052940784</v>
      </c>
      <c r="E958" s="3">
        <f>[1]!nefin_factors__1[[#This Row],[SMB]]/D957-1</f>
        <v>-3.7631573761842114</v>
      </c>
      <c r="F958" s="3">
        <v>-236471834569367</v>
      </c>
      <c r="G958" s="3">
        <f>[1]!nefin_factors__1[[#This Row],[HML]]/F957-1</f>
        <v>-2.0680579851455039</v>
      </c>
      <c r="H958" s="3">
        <v>355848505136702</v>
      </c>
      <c r="I958" s="4">
        <f>[1]!nefin_factors__1[[#This Row],[Risk_Free]]/H957-1</f>
        <v>8.9391956313224625</v>
      </c>
      <c r="J958">
        <v>76985</v>
      </c>
      <c r="K958">
        <v>77382</v>
      </c>
      <c r="L958">
        <v>76565</v>
      </c>
      <c r="M958">
        <v>76892</v>
      </c>
      <c r="N958">
        <v>3075600</v>
      </c>
      <c r="O958">
        <v>76892</v>
      </c>
      <c r="P958">
        <v>-1.2728925834524199E-3</v>
      </c>
      <c r="Q958">
        <v>-1.2737033993443199E-3</v>
      </c>
      <c r="R958" s="8">
        <v>35.934665679931598</v>
      </c>
      <c r="S958" s="8">
        <v>-2.0224861459928301E-2</v>
      </c>
      <c r="T958" s="9">
        <v>-2.0432184114620298E-2</v>
      </c>
      <c r="U958" s="12">
        <v>3.1095999999999999E-2</v>
      </c>
      <c r="V958" s="16">
        <v>3.1871</v>
      </c>
      <c r="W958" s="17">
        <f t="shared" si="14"/>
        <v>-1.9103094074909288E-3</v>
      </c>
    </row>
    <row r="959" spans="1:23" x14ac:dyDescent="0.2">
      <c r="A959" s="15">
        <v>42937</v>
      </c>
      <c r="B959" s="5">
        <v>-431563616145384</v>
      </c>
      <c r="C959" s="5">
        <f>[1]!nefin_factors__1[[#This Row],[Rm_minus_Rf]]/B958-1</f>
        <v>0.23278199949797074</v>
      </c>
      <c r="D959" s="5">
        <v>153424072107651</v>
      </c>
      <c r="E959" s="5">
        <f>[1]!nefin_factors__1[[#This Row],[SMB]]/D958-1</f>
        <v>-0.7897179990773755</v>
      </c>
      <c r="F959" s="5">
        <v>-379455628705807</v>
      </c>
      <c r="G959" s="5">
        <f>[1]!nefin_factors__1[[#This Row],[HML]]/F958-1</f>
        <v>0.60465464902754373</v>
      </c>
      <c r="H959" s="5">
        <v>354759583471642</v>
      </c>
      <c r="I959" s="6">
        <f>[1]!nefin_factors__1[[#This Row],[Risk_Free]]/H958-1</f>
        <v>-3.0600709272100568E-3</v>
      </c>
      <c r="J959">
        <v>76892</v>
      </c>
      <c r="K959">
        <v>76892</v>
      </c>
      <c r="L959">
        <v>76046</v>
      </c>
      <c r="M959">
        <v>76201</v>
      </c>
      <c r="N959">
        <v>2771100</v>
      </c>
      <c r="O959">
        <v>76201</v>
      </c>
      <c r="P959">
        <v>-8.9866305987619192E-3</v>
      </c>
      <c r="Q959">
        <v>-9.0272539245438103E-3</v>
      </c>
      <c r="R959" s="8">
        <v>35.687408447265597</v>
      </c>
      <c r="S959" s="8">
        <v>-6.8806745264174997E-3</v>
      </c>
      <c r="T959" s="9">
        <v>-6.9044555163338597E-3</v>
      </c>
      <c r="U959" s="12">
        <v>3.1095999999999999E-2</v>
      </c>
      <c r="V959" s="16">
        <v>3.1680000000000001</v>
      </c>
      <c r="W959" s="17">
        <f t="shared" si="14"/>
        <v>-5.9929089140597913E-3</v>
      </c>
    </row>
    <row r="960" spans="1:23" x14ac:dyDescent="0.2">
      <c r="A960" s="14">
        <v>42940</v>
      </c>
      <c r="B960" s="3">
        <v>486095064945515</v>
      </c>
      <c r="C960" s="3">
        <f>[1]!nefin_factors__1[[#This Row],[Rm_minus_Rf]]/B959-1</f>
        <v>-2.1263578456571293</v>
      </c>
      <c r="D960" s="3">
        <v>-374915993706667</v>
      </c>
      <c r="E960" s="3">
        <f>[1]!nefin_factors__1[[#This Row],[SMB]]/D959-1</f>
        <v>-3.4436582118847996</v>
      </c>
      <c r="F960" s="3">
        <v>432293767614287</v>
      </c>
      <c r="G960" s="3">
        <f>[1]!nefin_factors__1[[#This Row],[HML]]/F959-1</f>
        <v>-2.139247213405933</v>
      </c>
      <c r="H960" s="3">
        <v>352944052618209</v>
      </c>
      <c r="I960" s="4">
        <f>[1]!nefin_factors__1[[#This Row],[Risk_Free]]/H959-1</f>
        <v>-5.1176372338314069E-3</v>
      </c>
      <c r="J960">
        <v>76211</v>
      </c>
      <c r="K960">
        <v>76730</v>
      </c>
      <c r="L960">
        <v>76012</v>
      </c>
      <c r="M960">
        <v>76591</v>
      </c>
      <c r="N960">
        <v>3156800</v>
      </c>
      <c r="O960">
        <v>76591</v>
      </c>
      <c r="P960">
        <v>5.1180430703008399E-3</v>
      </c>
      <c r="Q960">
        <v>5.1049904049918198E-3</v>
      </c>
      <c r="R960" s="8">
        <v>36.5775337219238</v>
      </c>
      <c r="S960" s="8">
        <v>2.4942243687249701E-2</v>
      </c>
      <c r="T960" s="9">
        <v>2.4636263380589201E-2</v>
      </c>
      <c r="U960" s="12">
        <v>3.1095999999999999E-2</v>
      </c>
      <c r="V960" s="16">
        <v>3.1642000000000001</v>
      </c>
      <c r="W960" s="17">
        <f t="shared" si="14"/>
        <v>-1.1994949494950058E-3</v>
      </c>
    </row>
    <row r="961" spans="1:23" x14ac:dyDescent="0.2">
      <c r="A961" s="15">
        <v>42941</v>
      </c>
      <c r="B961" s="5">
        <v>680912822461165</v>
      </c>
      <c r="C961" s="5">
        <f>[1]!nefin_factors__1[[#This Row],[Rm_minus_Rf]]/B960-1</f>
        <v>0.40078118780631233</v>
      </c>
      <c r="D961" s="5">
        <v>-263279093940618</v>
      </c>
      <c r="E961" s="5">
        <f>[1]!nefin_factors__1[[#This Row],[SMB]]/D960-1</f>
        <v>-0.29776510375653198</v>
      </c>
      <c r="F961" s="5">
        <v>552112638306131</v>
      </c>
      <c r="G961" s="5">
        <f>[1]!nefin_factors__1[[#This Row],[HML]]/F960-1</f>
        <v>0.27717001647535211</v>
      </c>
      <c r="H961" s="5">
        <v>351491032229756</v>
      </c>
      <c r="I961" s="6">
        <f>[1]!nefin_factors__1[[#This Row],[Risk_Free]]/H960-1</f>
        <v>-4.116857551994979E-3</v>
      </c>
      <c r="J961">
        <v>76591</v>
      </c>
      <c r="K961">
        <v>76591</v>
      </c>
      <c r="L961">
        <v>75366</v>
      </c>
      <c r="M961">
        <v>76283</v>
      </c>
      <c r="N961">
        <v>2509800</v>
      </c>
      <c r="O961">
        <v>76283</v>
      </c>
      <c r="P961">
        <v>-4.0213602120353596E-3</v>
      </c>
      <c r="Q961">
        <v>-4.0294676235269203E-3</v>
      </c>
      <c r="R961" s="8">
        <v>36.9649047851562</v>
      </c>
      <c r="S961" s="8">
        <v>1.0590463749043899E-2</v>
      </c>
      <c r="T961" s="9">
        <v>1.05347776041993E-2</v>
      </c>
      <c r="U961" s="12">
        <v>3.1095999999999999E-2</v>
      </c>
      <c r="V961" s="16">
        <v>3.1501999999999999</v>
      </c>
      <c r="W961" s="17">
        <f t="shared" si="14"/>
        <v>-4.4244990834967357E-3</v>
      </c>
    </row>
    <row r="962" spans="1:23" x14ac:dyDescent="0.2">
      <c r="A962" s="14">
        <v>42942</v>
      </c>
      <c r="B962" s="3">
        <v>-90406726543008</v>
      </c>
      <c r="C962" s="3">
        <f>[1]!nefin_factors__1[[#This Row],[Rm_minus_Rf]]/B961-1</f>
        <v>-1.1327728360529798</v>
      </c>
      <c r="D962" s="3">
        <v>105035366782453</v>
      </c>
      <c r="E962" s="3">
        <f>[1]!nefin_factors__1[[#This Row],[SMB]]/D961-1</f>
        <v>-1.3989506542670778</v>
      </c>
      <c r="F962" s="3">
        <v>-338776079636647</v>
      </c>
      <c r="G962" s="3">
        <f>[1]!nefin_factors__1[[#This Row],[HML]]/F961-1</f>
        <v>-1.6135995739492657</v>
      </c>
      <c r="H962" s="3">
        <v>34967401147723</v>
      </c>
      <c r="I962" s="4">
        <f>[1]!nefin_factors__1[[#This Row],[Risk_Free]]/H961-1</f>
        <v>-0.90051694654654468</v>
      </c>
      <c r="J962">
        <v>76291</v>
      </c>
      <c r="K962">
        <v>76971</v>
      </c>
      <c r="L962">
        <v>76291</v>
      </c>
      <c r="M962">
        <v>76391</v>
      </c>
      <c r="N962">
        <v>2645300</v>
      </c>
      <c r="O962">
        <v>76391</v>
      </c>
      <c r="P962">
        <v>1.4157807112986599E-3</v>
      </c>
      <c r="Q962">
        <v>1.41477943873093E-3</v>
      </c>
      <c r="R962" s="8">
        <v>37.665462493896499</v>
      </c>
      <c r="S962" s="8">
        <v>1.89519312502693E-2</v>
      </c>
      <c r="T962" s="9">
        <v>1.8774580655183198E-2</v>
      </c>
      <c r="U962" s="12">
        <v>3.1095999999999999E-2</v>
      </c>
      <c r="V962" s="16">
        <v>3.1315</v>
      </c>
      <c r="W962" s="17">
        <f t="shared" si="14"/>
        <v>-5.9361310392990196E-3</v>
      </c>
    </row>
    <row r="963" spans="1:23" x14ac:dyDescent="0.2">
      <c r="A963" s="15">
        <v>42943</v>
      </c>
      <c r="B963" s="5">
        <v>476868374947524</v>
      </c>
      <c r="C963" s="5">
        <f>[1]!nefin_factors__1[[#This Row],[Rm_minus_Rf]]/B962-1</f>
        <v>-6.2747001598456249</v>
      </c>
      <c r="D963" s="5">
        <v>-716292580693314</v>
      </c>
      <c r="E963" s="5">
        <f>[1]!nefin_factors__1[[#This Row],[SMB]]/D962-1</f>
        <v>-7.8195371010307779</v>
      </c>
      <c r="F963" s="5">
        <v>-549947690956211</v>
      </c>
      <c r="G963" s="5">
        <f>[1]!nefin_factors__1[[#This Row],[HML]]/F962-1</f>
        <v>0.62333684109591014</v>
      </c>
      <c r="H963" s="5">
        <v>347128789901952</v>
      </c>
      <c r="I963" s="6">
        <f>[1]!nefin_factors__1[[#This Row],[Risk_Free]]/H962-1</f>
        <v>8.9272115887444574</v>
      </c>
      <c r="J963">
        <v>76398</v>
      </c>
      <c r="K963">
        <v>76498</v>
      </c>
      <c r="L963">
        <v>75315</v>
      </c>
      <c r="M963">
        <v>75413</v>
      </c>
      <c r="N963">
        <v>2631800</v>
      </c>
      <c r="O963">
        <v>75413</v>
      </c>
      <c r="P963">
        <v>-1.28025552748361E-2</v>
      </c>
      <c r="Q963">
        <v>-1.2885214240802099E-2</v>
      </c>
      <c r="R963" s="8">
        <v>37.1297416687012</v>
      </c>
      <c r="S963" s="8">
        <v>-1.4223037043514099E-2</v>
      </c>
      <c r="T963" s="9">
        <v>-1.43251538655495E-2</v>
      </c>
      <c r="U963" s="12">
        <v>3.1095999999999999E-2</v>
      </c>
      <c r="V963" s="16">
        <v>3.1347</v>
      </c>
      <c r="W963" s="17">
        <f t="shared" si="14"/>
        <v>1.0218745010379671E-3</v>
      </c>
    </row>
    <row r="964" spans="1:23" x14ac:dyDescent="0.2">
      <c r="A964" s="14">
        <v>42944</v>
      </c>
      <c r="B964" s="3">
        <v>242362348709127</v>
      </c>
      <c r="C964" s="3">
        <f>[1]!nefin_factors__1[[#This Row],[Rm_minus_Rf]]/B963-1</f>
        <v>-0.49176258808146533</v>
      </c>
      <c r="D964" s="3">
        <v>301305516216308</v>
      </c>
      <c r="E964" s="3">
        <f>[1]!nefin_factors__1[[#This Row],[SMB]]/D963-1</f>
        <v>-1.4206458706087228</v>
      </c>
      <c r="F964" s="3">
        <v>226044692588845</v>
      </c>
      <c r="G964" s="3">
        <f>[1]!nefin_factors__1[[#This Row],[HML]]/F963-1</f>
        <v>-1.4110294420835081</v>
      </c>
      <c r="H964" s="3">
        <v>347128789901952</v>
      </c>
      <c r="I964" s="4">
        <f>[1]!nefin_factors__1[[#This Row],[Risk_Free]]/H963-1</f>
        <v>0</v>
      </c>
      <c r="J964">
        <v>75426</v>
      </c>
      <c r="K964">
        <v>76420</v>
      </c>
      <c r="L964">
        <v>75426</v>
      </c>
      <c r="M964">
        <v>76350</v>
      </c>
      <c r="N964">
        <v>3047500</v>
      </c>
      <c r="O964">
        <v>76350</v>
      </c>
      <c r="P964">
        <v>1.24249134764562E-2</v>
      </c>
      <c r="Q964">
        <v>1.2348357719177401E-2</v>
      </c>
      <c r="R964" s="8">
        <v>37.253368377685497</v>
      </c>
      <c r="S964" s="8">
        <v>3.3294990455014998E-3</v>
      </c>
      <c r="T964" s="9">
        <v>3.3239685360384802E-3</v>
      </c>
      <c r="U964" s="12">
        <v>3.1095999999999999E-2</v>
      </c>
      <c r="V964" s="16">
        <v>3.1648000000000001</v>
      </c>
      <c r="W964" s="17">
        <f t="shared" ref="W964:W1027" si="15">V964/V963-1</f>
        <v>9.6021947873798918E-3</v>
      </c>
    </row>
    <row r="965" spans="1:23" x14ac:dyDescent="0.2">
      <c r="A965" s="15">
        <v>42947</v>
      </c>
      <c r="B965" s="5">
        <v>486656734457264</v>
      </c>
      <c r="C965" s="5">
        <f>[1]!nefin_factors__1[[#This Row],[Rm_minus_Rf]]/B964-1</f>
        <v>1.0079716880501466</v>
      </c>
      <c r="D965" s="5">
        <v>18522062786649</v>
      </c>
      <c r="E965" s="5">
        <f>[1]!nefin_factors__1[[#This Row],[SMB]]/D964-1</f>
        <v>-0.93852730272169338</v>
      </c>
      <c r="F965" s="5">
        <v>-932441750655741</v>
      </c>
      <c r="G965" s="5">
        <f>[1]!nefin_factors__1[[#This Row],[HML]]/F964-1</f>
        <v>-5.1250327091367227</v>
      </c>
      <c r="H965" s="5">
        <v>347128789901952</v>
      </c>
      <c r="I965" s="6">
        <f>[1]!nefin_factors__1[[#This Row],[Risk_Free]]/H964-1</f>
        <v>0</v>
      </c>
      <c r="J965">
        <v>76350</v>
      </c>
      <c r="K965">
        <v>76883</v>
      </c>
      <c r="L965">
        <v>75404</v>
      </c>
      <c r="M965">
        <v>76671</v>
      </c>
      <c r="N965">
        <v>2953800</v>
      </c>
      <c r="O965">
        <v>76671</v>
      </c>
      <c r="P965">
        <v>4.2043222003929097E-3</v>
      </c>
      <c r="Q965">
        <v>4.1955087322813498E-3</v>
      </c>
      <c r="R965" s="8">
        <v>36.956661224365199</v>
      </c>
      <c r="S965" s="8">
        <v>-7.9644906396707498E-3</v>
      </c>
      <c r="T965" s="9">
        <v>-7.9963766117776194E-3</v>
      </c>
      <c r="U965" s="12">
        <v>3.1095999999999999E-2</v>
      </c>
      <c r="V965" s="16">
        <v>3.177</v>
      </c>
      <c r="W965" s="17">
        <f t="shared" si="15"/>
        <v>3.8549039433770638E-3</v>
      </c>
    </row>
    <row r="966" spans="1:23" x14ac:dyDescent="0.2">
      <c r="A966" s="14">
        <v>42948</v>
      </c>
      <c r="B966" s="3">
        <v>761207728183291</v>
      </c>
      <c r="C966" s="3">
        <f>[1]!nefin_factors__1[[#This Row],[Rm_minus_Rf]]/B965-1</f>
        <v>0.56415739120966957</v>
      </c>
      <c r="D966" s="3">
        <v>-119292908101499</v>
      </c>
      <c r="E966" s="3">
        <f>[1]!nefin_factors__1[[#This Row],[SMB]]/D965-1</f>
        <v>-7.4405843709528527</v>
      </c>
      <c r="F966" s="3">
        <v>-443867455832653</v>
      </c>
      <c r="G966" s="3">
        <f>[1]!nefin_factors__1[[#This Row],[HML]]/F965-1</f>
        <v>-0.5239729929290462</v>
      </c>
      <c r="H966" s="3">
        <v>347128789901952</v>
      </c>
      <c r="I966" s="4">
        <f>[1]!nefin_factors__1[[#This Row],[Risk_Free]]/H965-1</f>
        <v>0</v>
      </c>
      <c r="J966">
        <v>76671</v>
      </c>
      <c r="K966">
        <v>77061</v>
      </c>
      <c r="L966">
        <v>75813</v>
      </c>
      <c r="M966">
        <v>75896</v>
      </c>
      <c r="N966">
        <v>2901100</v>
      </c>
      <c r="O966">
        <v>75896</v>
      </c>
      <c r="P966">
        <v>-1.01081243234078E-2</v>
      </c>
      <c r="Q966">
        <v>-1.01595583063471E-2</v>
      </c>
      <c r="R966" s="8">
        <v>35.687408447265597</v>
      </c>
      <c r="S966" s="8">
        <v>-3.4344428603634403E-2</v>
      </c>
      <c r="T966" s="9">
        <v>-3.49480596986829E-2</v>
      </c>
      <c r="U966" s="12">
        <v>3.1095999999999999E-2</v>
      </c>
      <c r="V966" s="16">
        <v>3.1688000000000001</v>
      </c>
      <c r="W966" s="17">
        <f t="shared" si="15"/>
        <v>-2.5810513062637375E-3</v>
      </c>
    </row>
    <row r="967" spans="1:23" x14ac:dyDescent="0.2">
      <c r="A967" s="15">
        <v>42949</v>
      </c>
      <c r="B967" s="5">
        <v>958120304657496</v>
      </c>
      <c r="C967" s="5">
        <f>[1]!nefin_factors__1[[#This Row],[Rm_minus_Rf]]/B966-1</f>
        <v>0.25868441580875601</v>
      </c>
      <c r="D967" s="5">
        <v>344463777079105</v>
      </c>
      <c r="E967" s="5">
        <f>[1]!nefin_factors__1[[#This Row],[SMB]]/D966-1</f>
        <v>-3.8875461463813252</v>
      </c>
      <c r="F967" s="5">
        <v>180561258860288</v>
      </c>
      <c r="G967" s="5">
        <f>[1]!nefin_factors__1[[#This Row],[HML]]/F966-1</f>
        <v>-1.4067909383479631</v>
      </c>
      <c r="H967" s="5">
        <v>347128789901952</v>
      </c>
      <c r="I967" s="6">
        <f>[1]!nefin_factors__1[[#This Row],[Risk_Free]]/H966-1</f>
        <v>0</v>
      </c>
      <c r="J967">
        <v>75898</v>
      </c>
      <c r="K967">
        <v>76617</v>
      </c>
      <c r="L967">
        <v>75601</v>
      </c>
      <c r="M967">
        <v>75976</v>
      </c>
      <c r="N967">
        <v>3434400</v>
      </c>
      <c r="O967">
        <v>75976</v>
      </c>
      <c r="P967">
        <v>1.0540739959945501E-3</v>
      </c>
      <c r="Q967">
        <v>1.0535188500757099E-3</v>
      </c>
      <c r="R967" s="8">
        <v>36.2643432617188</v>
      </c>
      <c r="S967" s="8">
        <v>1.61662873240376E-2</v>
      </c>
      <c r="T967" s="9">
        <v>1.60370043900631E-2</v>
      </c>
      <c r="U967" s="12">
        <v>3.1095999999999999E-2</v>
      </c>
      <c r="V967" s="16">
        <v>3.1638999999999999</v>
      </c>
      <c r="W967" s="17">
        <f t="shared" si="15"/>
        <v>-1.5463266851805102E-3</v>
      </c>
    </row>
    <row r="968" spans="1:23" x14ac:dyDescent="0.2">
      <c r="A968" s="14">
        <v>42950</v>
      </c>
      <c r="B968" s="3">
        <v>-513284750391897</v>
      </c>
      <c r="C968" s="3">
        <f>[1]!nefin_factors__1[[#This Row],[Rm_minus_Rf]]/B967-1</f>
        <v>-1.5357205644184564</v>
      </c>
      <c r="D968" s="3">
        <v>768000289146028</v>
      </c>
      <c r="E968" s="3">
        <f>[1]!nefin_factors__1[[#This Row],[SMB]]/D967-1</f>
        <v>1.2295531206744541</v>
      </c>
      <c r="F968" s="3">
        <v>647547554126465</v>
      </c>
      <c r="G968" s="3">
        <f>[1]!nefin_factors__1[[#This Row],[HML]]/F967-1</f>
        <v>2.5863039403569661</v>
      </c>
      <c r="H968" s="3">
        <v>346037482871653</v>
      </c>
      <c r="I968" s="4">
        <f>[1]!nefin_factors__1[[#This Row],[Risk_Free]]/H967-1</f>
        <v>-3.1438101996876799E-3</v>
      </c>
      <c r="J968">
        <v>75973</v>
      </c>
      <c r="K968">
        <v>75973</v>
      </c>
      <c r="L968">
        <v>74305</v>
      </c>
      <c r="M968">
        <v>74800</v>
      </c>
      <c r="N968">
        <v>3811600</v>
      </c>
      <c r="O968">
        <v>74800</v>
      </c>
      <c r="P968">
        <v>-1.5478572180688601E-2</v>
      </c>
      <c r="Q968">
        <v>-1.55996159602198E-2</v>
      </c>
      <c r="R968" s="8">
        <v>35.555538177490199</v>
      </c>
      <c r="S968" s="8">
        <v>-1.9545421108480999E-2</v>
      </c>
      <c r="T968" s="9">
        <v>-1.9738958853708601E-2</v>
      </c>
      <c r="U968" s="12">
        <v>3.1095999999999999E-2</v>
      </c>
      <c r="V968" s="16">
        <v>3.1572</v>
      </c>
      <c r="W968" s="17">
        <f t="shared" si="15"/>
        <v>-2.1176396219855231E-3</v>
      </c>
    </row>
    <row r="969" spans="1:23" x14ac:dyDescent="0.2">
      <c r="A969" s="15">
        <v>42951</v>
      </c>
      <c r="B969" s="5">
        <v>133973988063279</v>
      </c>
      <c r="C969" s="5">
        <f>[1]!nefin_factors__1[[#This Row],[Rm_minus_Rf]]/B968-1</f>
        <v>-1.2610129912509358</v>
      </c>
      <c r="D969" s="5">
        <v>893952370665146</v>
      </c>
      <c r="E969" s="5">
        <f>[1]!nefin_factors__1[[#This Row],[SMB]]/D968-1</f>
        <v>0.16400004439994342</v>
      </c>
      <c r="F969" s="5">
        <v>249361071370723</v>
      </c>
      <c r="G969" s="5">
        <f>[1]!nefin_factors__1[[#This Row],[HML]]/F968-1</f>
        <v>-0.61491465795572564</v>
      </c>
      <c r="H969" s="5">
        <v>346037482871653</v>
      </c>
      <c r="I969" s="6">
        <f>[1]!nefin_factors__1[[#This Row],[Risk_Free]]/H968-1</f>
        <v>0</v>
      </c>
      <c r="J969">
        <v>74798</v>
      </c>
      <c r="K969">
        <v>75142</v>
      </c>
      <c r="L969">
        <v>74145</v>
      </c>
      <c r="M969">
        <v>74308</v>
      </c>
      <c r="N969">
        <v>3545700</v>
      </c>
      <c r="O969">
        <v>74308</v>
      </c>
      <c r="P969">
        <v>-6.5775401069518803E-3</v>
      </c>
      <c r="Q969">
        <v>-6.5992674512738601E-3</v>
      </c>
      <c r="R969" s="8">
        <v>35.604988098144503</v>
      </c>
      <c r="S969" s="8">
        <v>1.39076443088615E-3</v>
      </c>
      <c r="T969" s="9">
        <v>1.38979821378487E-3</v>
      </c>
      <c r="U969" s="12">
        <v>3.1095999999999999E-2</v>
      </c>
      <c r="V969" s="16">
        <v>3.1606999999999998</v>
      </c>
      <c r="W969" s="17">
        <f t="shared" si="15"/>
        <v>1.1085772203216493E-3</v>
      </c>
    </row>
    <row r="970" spans="1:23" x14ac:dyDescent="0.2">
      <c r="A970" s="14">
        <v>42954</v>
      </c>
      <c r="B970" s="3">
        <v>130663938960815</v>
      </c>
      <c r="C970" s="3">
        <f>[1]!nefin_factors__1[[#This Row],[Rm_minus_Rf]]/B969-1</f>
        <v>-2.4706655003063682E-2</v>
      </c>
      <c r="D970" s="3">
        <v>-62216672765279</v>
      </c>
      <c r="E970" s="3">
        <f>[1]!nefin_factors__1[[#This Row],[SMB]]/D969-1</f>
        <v>-1.0695973016090181</v>
      </c>
      <c r="F970" s="3">
        <v>923274393416346</v>
      </c>
      <c r="G970" s="3">
        <f>[1]!nefin_factors__1[[#This Row],[HML]]/F969-1</f>
        <v>2.7025602606740557</v>
      </c>
      <c r="H970" s="3">
        <v>343489937100205</v>
      </c>
      <c r="I970" s="4">
        <f>[1]!nefin_factors__1[[#This Row],[Risk_Free]]/H969-1</f>
        <v>-7.3620515046715074E-3</v>
      </c>
      <c r="J970">
        <v>74310</v>
      </c>
      <c r="K970">
        <v>75199</v>
      </c>
      <c r="L970">
        <v>73823</v>
      </c>
      <c r="M970">
        <v>73824</v>
      </c>
      <c r="N970">
        <v>3668100</v>
      </c>
      <c r="O970">
        <v>73824</v>
      </c>
      <c r="P970">
        <v>-6.5134305862087896E-3</v>
      </c>
      <c r="Q970">
        <v>-6.5347355378145896E-3</v>
      </c>
      <c r="R970" s="8">
        <v>36.058292388916001</v>
      </c>
      <c r="S970" s="8">
        <v>1.2731517465271101E-2</v>
      </c>
      <c r="T970" s="9">
        <v>1.26511530849802E-2</v>
      </c>
      <c r="U970" s="12">
        <v>3.1095999999999999E-2</v>
      </c>
      <c r="V970" s="16">
        <v>3.1768999999999998</v>
      </c>
      <c r="W970" s="17">
        <f t="shared" si="15"/>
        <v>5.1254468946753118E-3</v>
      </c>
    </row>
    <row r="971" spans="1:23" x14ac:dyDescent="0.2">
      <c r="A971" s="15">
        <v>42955</v>
      </c>
      <c r="B971" s="5">
        <v>-139134371744871</v>
      </c>
      <c r="C971" s="5">
        <f>[1]!nefin_factors__1[[#This Row],[Rm_minus_Rf]]/B970-1</f>
        <v>-2.064826093958458</v>
      </c>
      <c r="D971" s="5">
        <v>101390529092081</v>
      </c>
      <c r="E971" s="5">
        <f>[1]!nefin_factors__1[[#This Row],[SMB]]/D970-1</f>
        <v>-2.6296359896099037</v>
      </c>
      <c r="F971" s="5">
        <v>469982932149382</v>
      </c>
      <c r="G971" s="5">
        <f>[1]!nefin_factors__1[[#This Row],[HML]]/F970-1</f>
        <v>-0.49096072034411387</v>
      </c>
      <c r="H971" s="5">
        <v>342397633074087</v>
      </c>
      <c r="I971" s="6">
        <f>[1]!nefin_factors__1[[#This Row],[Risk_Free]]/H970-1</f>
        <v>-3.180017543859992E-3</v>
      </c>
      <c r="R971" s="8">
        <v>36.058292388916001</v>
      </c>
      <c r="S971" s="8">
        <v>0</v>
      </c>
      <c r="T971" s="9">
        <v>0</v>
      </c>
      <c r="U971" s="12">
        <v>3.1095999999999999E-2</v>
      </c>
      <c r="V971" s="16">
        <v>3.1673</v>
      </c>
      <c r="W971" s="17">
        <f t="shared" si="15"/>
        <v>-3.0218137177751014E-3</v>
      </c>
    </row>
    <row r="972" spans="1:23" x14ac:dyDescent="0.2">
      <c r="A972" s="14">
        <v>42956</v>
      </c>
      <c r="B972" s="3">
        <v>-409840686041412</v>
      </c>
      <c r="C972" s="3">
        <f>[1]!nefin_factors__1[[#This Row],[Rm_minus_Rf]]/B971-1</f>
        <v>1.9456465782080925</v>
      </c>
      <c r="D972" s="3">
        <v>710576533608201</v>
      </c>
      <c r="E972" s="3">
        <f>[1]!nefin_factors__1[[#This Row],[SMB]]/D971-1</f>
        <v>6.0083127089993642</v>
      </c>
      <c r="F972" s="3">
        <v>-713076644635354</v>
      </c>
      <c r="G972" s="3">
        <f>[1]!nefin_factors__1[[#This Row],[HML]]/F971-1</f>
        <v>-2.5172394481949096</v>
      </c>
      <c r="H972" s="3">
        <v>342033465194902</v>
      </c>
      <c r="I972" s="4">
        <f>[1]!nefin_factors__1[[#This Row],[Risk_Free]]/H971-1</f>
        <v>-1.0635817657834723E-3</v>
      </c>
      <c r="J972">
        <v>73834</v>
      </c>
      <c r="K972">
        <v>74254</v>
      </c>
      <c r="L972">
        <v>73094</v>
      </c>
      <c r="M972">
        <v>73915</v>
      </c>
      <c r="N972">
        <v>4386900</v>
      </c>
      <c r="O972">
        <v>73915</v>
      </c>
      <c r="R972" s="8">
        <v>35.234104156494098</v>
      </c>
      <c r="S972" s="8">
        <v>-2.2856979830876999E-2</v>
      </c>
      <c r="T972" s="9">
        <v>-2.31222505811223E-2</v>
      </c>
      <c r="U972" s="12">
        <v>3.1095999999999999E-2</v>
      </c>
      <c r="V972" s="16">
        <v>3.1732</v>
      </c>
      <c r="W972" s="17">
        <f t="shared" si="15"/>
        <v>1.8627853376693704E-3</v>
      </c>
    </row>
    <row r="973" spans="1:23" x14ac:dyDescent="0.2">
      <c r="A973" s="15">
        <v>42957</v>
      </c>
      <c r="B973" s="5">
        <v>-935178789730087</v>
      </c>
      <c r="C973" s="5">
        <f>[1]!nefin_factors__1[[#This Row],[Rm_minus_Rf]]/B972-1</f>
        <v>1.2818105219441116</v>
      </c>
      <c r="D973" s="5">
        <v>554041885455539</v>
      </c>
      <c r="E973" s="5">
        <f>[1]!nefin_factors__1[[#This Row],[SMB]]/D972-1</f>
        <v>-0.22029245373162343</v>
      </c>
      <c r="F973" s="5">
        <v>348831660466229</v>
      </c>
      <c r="G973" s="5">
        <f>[1]!nefin_factors__1[[#This Row],[HML]]/F972-1</f>
        <v>-1.4891923793754471</v>
      </c>
      <c r="H973" s="5">
        <v>34094076185931</v>
      </c>
      <c r="I973" s="6">
        <f>[1]!nefin_factors__1[[#This Row],[Risk_Free]]/H972-1</f>
        <v>-0.90031947263843592</v>
      </c>
      <c r="J973">
        <v>73911</v>
      </c>
      <c r="K973">
        <v>74445</v>
      </c>
      <c r="L973">
        <v>73830</v>
      </c>
      <c r="M973">
        <v>74311</v>
      </c>
      <c r="N973">
        <v>3297400</v>
      </c>
      <c r="O973">
        <v>74311</v>
      </c>
      <c r="P973">
        <v>5.3575052425083296E-3</v>
      </c>
      <c r="Q973">
        <v>5.3432048647904804E-3</v>
      </c>
      <c r="R973" s="8">
        <v>34.780799865722699</v>
      </c>
      <c r="S973" s="8">
        <v>-1.28657528650201E-2</v>
      </c>
      <c r="T973" s="9">
        <v>-1.29492334635763E-2</v>
      </c>
      <c r="U973" s="12">
        <v>3.1095999999999999E-2</v>
      </c>
      <c r="V973" s="16">
        <v>3.1833</v>
      </c>
      <c r="W973" s="17">
        <f t="shared" si="15"/>
        <v>3.1829068448254727E-3</v>
      </c>
    </row>
    <row r="974" spans="1:23" x14ac:dyDescent="0.2">
      <c r="A974" s="14">
        <v>42958</v>
      </c>
      <c r="B974" s="3">
        <v>483329300623338</v>
      </c>
      <c r="C974" s="3">
        <f>[1]!nefin_factors__1[[#This Row],[Rm_minus_Rf]]/B973-1</f>
        <v>-1.5168309054173881</v>
      </c>
      <c r="D974" s="3">
        <v>-103058397225373</v>
      </c>
      <c r="E974" s="3">
        <f>[1]!nefin_factors__1[[#This Row],[SMB]]/D973-1</f>
        <v>-1.1860119242440259</v>
      </c>
      <c r="F974" s="3">
        <v>692939892925618</v>
      </c>
      <c r="G974" s="3">
        <f>[1]!nefin_factors__1[[#This Row],[HML]]/F973-1</f>
        <v>0.98645929099289065</v>
      </c>
      <c r="H974" s="3">
        <v>340576460827968</v>
      </c>
      <c r="I974" s="4">
        <f>[1]!nefin_factors__1[[#This Row],[Risk_Free]]/H973-1</f>
        <v>8.9893148290818825</v>
      </c>
      <c r="J974">
        <v>74306</v>
      </c>
      <c r="K974">
        <v>74306</v>
      </c>
      <c r="L974">
        <v>72386</v>
      </c>
      <c r="M974">
        <v>72415</v>
      </c>
      <c r="N974">
        <v>4888900</v>
      </c>
      <c r="O974">
        <v>72415</v>
      </c>
      <c r="P974">
        <v>-2.5514392216495499E-2</v>
      </c>
      <c r="Q974">
        <v>-2.5845528965024001E-2</v>
      </c>
      <c r="R974" s="8">
        <v>34.286285400390597</v>
      </c>
      <c r="S974" s="8">
        <v>-1.4217999351769499E-2</v>
      </c>
      <c r="T974" s="9">
        <v>-1.4320043501784001E-2</v>
      </c>
      <c r="U974" s="12">
        <v>3.1095999999999999E-2</v>
      </c>
      <c r="V974" s="16">
        <v>3.2002999999999999</v>
      </c>
      <c r="W974" s="17">
        <f t="shared" si="15"/>
        <v>5.340370056230892E-3</v>
      </c>
    </row>
    <row r="975" spans="1:23" x14ac:dyDescent="0.2">
      <c r="A975" s="15">
        <v>42961</v>
      </c>
      <c r="B975" s="5">
        <v>121545055689925</v>
      </c>
      <c r="C975" s="5">
        <f>[1]!nefin_factors__1[[#This Row],[Rm_minus_Rf]]/B974-1</f>
        <v>-0.74852537279827369</v>
      </c>
      <c r="D975" s="5">
        <v>565488099263666</v>
      </c>
      <c r="E975" s="5">
        <f>[1]!nefin_factors__1[[#This Row],[SMB]]/D974-1</f>
        <v>-6.4870647563733188</v>
      </c>
      <c r="F975" s="5">
        <v>-236459798712939</v>
      </c>
      <c r="G975" s="5">
        <f>[1]!nefin_factors__1[[#This Row],[HML]]/F974-1</f>
        <v>-1.3412414281916962</v>
      </c>
      <c r="H975" s="5">
        <v>338389955058638</v>
      </c>
      <c r="I975" s="6">
        <f>[1]!nefin_factors__1[[#This Row],[Risk_Free]]/H974-1</f>
        <v>-6.4200143604007387E-3</v>
      </c>
      <c r="J975">
        <v>72468</v>
      </c>
      <c r="K975">
        <v>74481</v>
      </c>
      <c r="L975">
        <v>72468</v>
      </c>
      <c r="M975">
        <v>74363</v>
      </c>
      <c r="N975">
        <v>3408800</v>
      </c>
      <c r="O975">
        <v>74363</v>
      </c>
      <c r="P975">
        <v>2.6900504039218301E-2</v>
      </c>
      <c r="Q975">
        <v>2.65450460577288E-2</v>
      </c>
      <c r="R975" s="8">
        <v>35.646198272705099</v>
      </c>
      <c r="S975" s="8">
        <v>3.9663461401341402E-2</v>
      </c>
      <c r="T975" s="9">
        <v>3.8897065978781703E-2</v>
      </c>
      <c r="U975" s="12">
        <v>3.1095999999999999E-2</v>
      </c>
      <c r="V975" s="16">
        <v>3.2469999999999999</v>
      </c>
      <c r="W975" s="17">
        <f t="shared" si="15"/>
        <v>1.4592381964190881E-2</v>
      </c>
    </row>
    <row r="976" spans="1:23" x14ac:dyDescent="0.2">
      <c r="A976" s="14">
        <v>42962</v>
      </c>
      <c r="B976" s="3">
        <v>127312973841821</v>
      </c>
      <c r="C976" s="3">
        <f>[1]!nefin_factors__1[[#This Row],[Rm_minus_Rf]]/B975-1</f>
        <v>4.7454979712301837E-2</v>
      </c>
      <c r="D976" s="3">
        <v>690497668627657</v>
      </c>
      <c r="E976" s="3">
        <f>[1]!nefin_factors__1[[#This Row],[SMB]]/D975-1</f>
        <v>0.22106489867208268</v>
      </c>
      <c r="F976" s="3">
        <v>-251817315781363</v>
      </c>
      <c r="G976" s="3">
        <f>[1]!nefin_factors__1[[#This Row],[HML]]/F975-1</f>
        <v>6.4947687310974889E-2</v>
      </c>
      <c r="H976" s="3">
        <v>337296252168162</v>
      </c>
      <c r="I976" s="4">
        <f>[1]!nefin_factors__1[[#This Row],[Risk_Free]]/H975-1</f>
        <v>-3.2320784766984856E-3</v>
      </c>
      <c r="J976">
        <v>74363</v>
      </c>
      <c r="K976">
        <v>74363</v>
      </c>
      <c r="L976">
        <v>72795</v>
      </c>
      <c r="M976">
        <v>72931</v>
      </c>
      <c r="N976">
        <v>3303800</v>
      </c>
      <c r="O976">
        <v>72931</v>
      </c>
      <c r="P976">
        <v>-1.9256888506380899E-2</v>
      </c>
      <c r="Q976">
        <v>-1.94447176299948E-2</v>
      </c>
      <c r="R976" s="8">
        <v>35.019817352294901</v>
      </c>
      <c r="S976" s="8">
        <v>-1.75720953322136E-2</v>
      </c>
      <c r="T976" s="9">
        <v>-1.77283174041169E-2</v>
      </c>
      <c r="U976" s="12">
        <v>3.1095999999999999E-2</v>
      </c>
      <c r="V976" s="16">
        <v>3.2387000000000001</v>
      </c>
      <c r="W976" s="17">
        <f t="shared" si="15"/>
        <v>-2.5562057283645689E-3</v>
      </c>
    </row>
    <row r="977" spans="1:23" x14ac:dyDescent="0.2">
      <c r="A977" s="15">
        <v>42963</v>
      </c>
      <c r="B977" s="5">
        <v>377496964083058</v>
      </c>
      <c r="C977" s="5">
        <f>[1]!nefin_factors__1[[#This Row],[Rm_minus_Rf]]/B976-1</f>
        <v>1.9651099388509778</v>
      </c>
      <c r="D977" s="5">
        <v>-172012250015914</v>
      </c>
      <c r="E977" s="5">
        <f>[1]!nefin_factors__1[[#This Row],[SMB]]/D976-1</f>
        <v>-1.2491134406837072</v>
      </c>
      <c r="F977" s="5">
        <v>189396641935171</v>
      </c>
      <c r="G977" s="5">
        <f>[1]!nefin_factors__1[[#This Row],[HML]]/F976-1</f>
        <v>-1.7521192152632272</v>
      </c>
      <c r="H977" s="5">
        <v>335472746771925</v>
      </c>
      <c r="I977" s="6">
        <f>[1]!nefin_factors__1[[#This Row],[Risk_Free]]/H976-1</f>
        <v>-5.4062426858151325E-3</v>
      </c>
      <c r="J977">
        <v>72932</v>
      </c>
      <c r="K977">
        <v>73019</v>
      </c>
      <c r="L977">
        <v>71920</v>
      </c>
      <c r="M977">
        <v>72166</v>
      </c>
      <c r="N977">
        <v>3140100</v>
      </c>
      <c r="O977">
        <v>72166</v>
      </c>
      <c r="P977">
        <v>-1.0489366661639099E-2</v>
      </c>
      <c r="Q977">
        <v>-1.05447678240771E-2</v>
      </c>
      <c r="R977" s="8">
        <v>33.569240570068402</v>
      </c>
      <c r="S977" s="8">
        <v>-4.1421734937040697E-2</v>
      </c>
      <c r="T977" s="9">
        <v>-4.2304066138777401E-2</v>
      </c>
      <c r="U977" s="12">
        <v>2.8333000000000001E-2</v>
      </c>
      <c r="V977" s="16">
        <v>3.2444000000000002</v>
      </c>
      <c r="W977" s="17">
        <f t="shared" si="15"/>
        <v>1.7599654182234303E-3</v>
      </c>
    </row>
    <row r="978" spans="1:23" x14ac:dyDescent="0.2">
      <c r="A978" s="14">
        <v>42964</v>
      </c>
      <c r="B978" s="3">
        <v>-798348543043348</v>
      </c>
      <c r="C978" s="3">
        <f>[1]!nefin_factors__1[[#This Row],[Rm_minus_Rf]]/B977-1</f>
        <v>-3.1148475855495703</v>
      </c>
      <c r="D978" s="3">
        <v>-175322541290835</v>
      </c>
      <c r="E978" s="3">
        <f>[1]!nefin_factors__1[[#This Row],[SMB]]/D977-1</f>
        <v>1.9244508891749001E-2</v>
      </c>
      <c r="F978" s="3">
        <v>937105462944364</v>
      </c>
      <c r="G978" s="3">
        <f>[1]!nefin_factors__1[[#This Row],[HML]]/F977-1</f>
        <v>3.9478462414614928</v>
      </c>
      <c r="H978" s="3">
        <v>334743110934621</v>
      </c>
      <c r="I978" s="4">
        <f>[1]!nefin_factors__1[[#This Row],[Risk_Free]]/H977-1</f>
        <v>-2.1749481718705832E-3</v>
      </c>
      <c r="J978">
        <v>72167</v>
      </c>
      <c r="K978">
        <v>72735</v>
      </c>
      <c r="L978">
        <v>71776</v>
      </c>
      <c r="M978">
        <v>72475</v>
      </c>
      <c r="N978">
        <v>2783400</v>
      </c>
      <c r="O978">
        <v>72475</v>
      </c>
      <c r="P978">
        <v>4.2817947509907802E-3</v>
      </c>
      <c r="Q978">
        <v>4.2726539512424697E-3</v>
      </c>
      <c r="R978" s="8">
        <v>34.113208770752003</v>
      </c>
      <c r="S978" s="8">
        <v>1.6204436274521301E-2</v>
      </c>
      <c r="T978" s="9">
        <v>1.6074545720535099E-2</v>
      </c>
      <c r="U978" s="12">
        <v>2.8333000000000001E-2</v>
      </c>
      <c r="V978" s="16">
        <v>3.2801</v>
      </c>
      <c r="W978" s="17">
        <f t="shared" si="15"/>
        <v>1.1003575391443698E-2</v>
      </c>
    </row>
    <row r="979" spans="1:23" x14ac:dyDescent="0.2">
      <c r="A979" s="15">
        <v>42965</v>
      </c>
      <c r="B979" s="5">
        <v>853335475793058</v>
      </c>
      <c r="C979" s="5">
        <f>[1]!nefin_factors__1[[#This Row],[Rm_minus_Rf]]/B978-1</f>
        <v>-2.0688758478096507</v>
      </c>
      <c r="D979" s="5">
        <v>171620098799646</v>
      </c>
      <c r="E979" s="5">
        <f>[1]!nefin_factors__1[[#This Row],[SMB]]/D978-1</f>
        <v>-1.9788821080054551</v>
      </c>
      <c r="F979" s="5">
        <v>327215952571625</v>
      </c>
      <c r="G979" s="5">
        <f>[1]!nefin_factors__1[[#This Row],[HML]]/F978-1</f>
        <v>-0.65082270298209566</v>
      </c>
      <c r="H979" s="5">
        <v>333283438398446</v>
      </c>
      <c r="I979" s="6">
        <f>[1]!nefin_factors__1[[#This Row],[Risk_Free]]/H978-1</f>
        <v>-4.3605752844307899E-3</v>
      </c>
      <c r="J979">
        <v>72442</v>
      </c>
      <c r="K979">
        <v>72838</v>
      </c>
      <c r="L979">
        <v>70825</v>
      </c>
      <c r="M979">
        <v>70827</v>
      </c>
      <c r="N979">
        <v>4352600</v>
      </c>
      <c r="O979">
        <v>70827</v>
      </c>
      <c r="P979">
        <v>-2.27388754743015E-2</v>
      </c>
      <c r="Q979">
        <v>-2.3001390873533398E-2</v>
      </c>
      <c r="R979" s="8">
        <v>33.832981109619098</v>
      </c>
      <c r="S979" s="8">
        <v>-8.2146716774306201E-3</v>
      </c>
      <c r="T979" s="9">
        <v>-8.2485980163862806E-3</v>
      </c>
      <c r="U979" s="12">
        <v>2.8333000000000001E-2</v>
      </c>
      <c r="V979" s="16">
        <v>3.2547000000000001</v>
      </c>
      <c r="W979" s="17">
        <f t="shared" si="15"/>
        <v>-7.7436663516355919E-3</v>
      </c>
    </row>
    <row r="980" spans="1:23" x14ac:dyDescent="0.2">
      <c r="A980" s="14">
        <v>42968</v>
      </c>
      <c r="B980" s="3">
        <v>-858973642621632</v>
      </c>
      <c r="C980" s="3">
        <f>[1]!nefin_factors__1[[#This Row],[Rm_minus_Rf]]/B979-1</f>
        <v>-2.0066072101635459</v>
      </c>
      <c r="D980" s="3">
        <v>788774165157704</v>
      </c>
      <c r="E980" s="3">
        <f>[1]!nefin_factors__1[[#This Row],[SMB]]/D979-1</f>
        <v>3.5960477279443861</v>
      </c>
      <c r="F980" s="3">
        <v>462075272937334</v>
      </c>
      <c r="G980" s="3">
        <f>[1]!nefin_factors__1[[#This Row],[HML]]/F979-1</f>
        <v>0.41214164317428681</v>
      </c>
      <c r="H980" s="3">
        <v>331458095606418</v>
      </c>
      <c r="I980" s="4">
        <f>[1]!nefin_factors__1[[#This Row],[Risk_Free]]/H979-1</f>
        <v>-5.4768481770335331E-3</v>
      </c>
      <c r="R980" s="8">
        <v>33.832981109619098</v>
      </c>
      <c r="S980" s="8">
        <v>0</v>
      </c>
      <c r="T980" s="9">
        <v>0</v>
      </c>
      <c r="U980" s="12">
        <v>2.8333000000000001E-2</v>
      </c>
      <c r="V980" s="16">
        <v>3.2768999999999999</v>
      </c>
      <c r="W980" s="17">
        <f t="shared" si="15"/>
        <v>6.8209051525485176E-3</v>
      </c>
    </row>
    <row r="981" spans="1:23" x14ac:dyDescent="0.2">
      <c r="A981" s="15">
        <v>42969</v>
      </c>
      <c r="B981" s="5">
        <v>184445979746523</v>
      </c>
      <c r="C981" s="5">
        <f>[1]!nefin_factors__1[[#This Row],[Rm_minus_Rf]]/B980-1</f>
        <v>-1.2147283346012625</v>
      </c>
      <c r="D981" s="5">
        <v>-122363933327854</v>
      </c>
      <c r="E981" s="5">
        <f>[1]!nefin_factors__1[[#This Row],[SMB]]/D980-1</f>
        <v>-1.155131771212853</v>
      </c>
      <c r="F981" s="5">
        <v>694759697779069</v>
      </c>
      <c r="G981" s="5">
        <f>[1]!nefin_factors__1[[#This Row],[HML]]/F980-1</f>
        <v>0.50356389633792698</v>
      </c>
      <c r="H981" s="5">
        <v>330362488504932</v>
      </c>
      <c r="I981" s="6">
        <f>[1]!nefin_factors__1[[#This Row],[Risk_Free]]/H980-1</f>
        <v>-3.3054166303633226E-3</v>
      </c>
      <c r="J981">
        <v>70827</v>
      </c>
      <c r="K981">
        <v>72896</v>
      </c>
      <c r="L981">
        <v>70827</v>
      </c>
      <c r="M981">
        <v>72512</v>
      </c>
      <c r="N981">
        <v>3340900</v>
      </c>
      <c r="O981">
        <v>72512</v>
      </c>
      <c r="R981" s="8">
        <v>35.596748352050803</v>
      </c>
      <c r="S981" s="8">
        <v>5.2131646115194198E-2</v>
      </c>
      <c r="T981" s="9">
        <v>5.08182453790701E-2</v>
      </c>
      <c r="U981" s="12">
        <v>2.8333000000000001E-2</v>
      </c>
      <c r="V981" s="16">
        <v>3.2736000000000001</v>
      </c>
      <c r="W981" s="17">
        <f t="shared" si="15"/>
        <v>-1.0070493454178431E-3</v>
      </c>
    </row>
    <row r="982" spans="1:23" x14ac:dyDescent="0.2">
      <c r="A982" s="14">
        <v>42970</v>
      </c>
      <c r="B982" s="3">
        <v>389303521996565</v>
      </c>
      <c r="C982" s="3">
        <f>[1]!nefin_factors__1[[#This Row],[Rm_minus_Rf]]/B981-1</f>
        <v>1.1106641767501237</v>
      </c>
      <c r="D982" s="3">
        <v>-500501400968883</v>
      </c>
      <c r="E982" s="3">
        <f>[1]!nefin_factors__1[[#This Row],[SMB]]/D981-1</f>
        <v>3.0902689816930939</v>
      </c>
      <c r="F982" s="3">
        <v>-106615988981935</v>
      </c>
      <c r="G982" s="3">
        <f>[1]!nefin_factors__1[[#This Row],[HML]]/F981-1</f>
        <v>-1.1534573598940083</v>
      </c>
      <c r="H982" s="3">
        <v>328535807093022</v>
      </c>
      <c r="I982" s="4">
        <f>[1]!nefin_factors__1[[#This Row],[Risk_Free]]/H981-1</f>
        <v>-5.5293245312950656E-3</v>
      </c>
      <c r="J982">
        <v>72512</v>
      </c>
      <c r="K982">
        <v>73632</v>
      </c>
      <c r="L982">
        <v>72390</v>
      </c>
      <c r="M982">
        <v>73437</v>
      </c>
      <c r="N982">
        <v>2749700</v>
      </c>
      <c r="O982">
        <v>73437</v>
      </c>
      <c r="P982">
        <v>1.27565092674315E-2</v>
      </c>
      <c r="Q982">
        <v>1.26758303991206E-2</v>
      </c>
      <c r="R982" s="8">
        <v>36.2643432617188</v>
      </c>
      <c r="S982" s="8">
        <v>1.8754354156365099E-2</v>
      </c>
      <c r="T982" s="9">
        <v>1.8580659582319699E-2</v>
      </c>
      <c r="U982" s="12">
        <v>2.8333000000000001E-2</v>
      </c>
      <c r="V982" s="16">
        <v>3.2919999999999998</v>
      </c>
      <c r="W982" s="17">
        <f t="shared" si="15"/>
        <v>5.6207233626588415E-3</v>
      </c>
    </row>
    <row r="983" spans="1:23" x14ac:dyDescent="0.2">
      <c r="A983" s="15">
        <v>42971</v>
      </c>
      <c r="B983" s="5">
        <v>783855732368306</v>
      </c>
      <c r="C983" s="5">
        <f>[1]!nefin_factors__1[[#This Row],[Rm_minus_Rf]]/B982-1</f>
        <v>1.013482252480681</v>
      </c>
      <c r="D983" s="5">
        <v>104574093468346</v>
      </c>
      <c r="E983" s="5">
        <f>[1]!nefin_factors__1[[#This Row],[SMB]]/D982-1</f>
        <v>-1.208938662840721</v>
      </c>
      <c r="F983" s="5">
        <v>-521498222933537</v>
      </c>
      <c r="G983" s="5">
        <f>[1]!nefin_factors__1[[#This Row],[HML]]/F982-1</f>
        <v>3.8913697458821082</v>
      </c>
      <c r="H983" s="5">
        <v>32707385890185</v>
      </c>
      <c r="I983" s="6">
        <f>[1]!nefin_factors__1[[#This Row],[Risk_Free]]/H982-1</f>
        <v>-0.90044498899651382</v>
      </c>
      <c r="R983" s="8">
        <v>36.2643432617188</v>
      </c>
      <c r="S983" s="8">
        <v>0</v>
      </c>
      <c r="T983" s="9">
        <v>0</v>
      </c>
      <c r="U983" s="12">
        <v>2.8333000000000001E-2</v>
      </c>
      <c r="V983" s="16">
        <v>3.2850999999999999</v>
      </c>
      <c r="W983" s="17">
        <f t="shared" si="15"/>
        <v>-2.0959902794653873E-3</v>
      </c>
    </row>
    <row r="984" spans="1:23" x14ac:dyDescent="0.2">
      <c r="A984" s="14">
        <v>42972</v>
      </c>
      <c r="B984" s="3">
        <v>-195166588606489</v>
      </c>
      <c r="C984" s="3">
        <f>[1]!nefin_factors__1[[#This Row],[Rm_minus_Rf]]/B983-1</f>
        <v>-1.2489827917910628</v>
      </c>
      <c r="D984" s="3">
        <v>575057689380389</v>
      </c>
      <c r="E984" s="3">
        <f>[1]!nefin_factors__1[[#This Row],[SMB]]/D983-1</f>
        <v>4.4990454165826046</v>
      </c>
      <c r="F984" s="3">
        <v>186517487658553</v>
      </c>
      <c r="G984" s="3">
        <f>[1]!nefin_factors__1[[#This Row],[HML]]/F983-1</f>
        <v>-1.3576569956640561</v>
      </c>
      <c r="H984" s="3">
        <v>325977045714021</v>
      </c>
      <c r="I984" s="4">
        <f>[1]!nefin_factors__1[[#This Row],[Risk_Free]]/H983-1</f>
        <v>8.9664658865886882</v>
      </c>
      <c r="J984">
        <v>73439</v>
      </c>
      <c r="K984">
        <v>75073</v>
      </c>
      <c r="L984">
        <v>73439</v>
      </c>
      <c r="M984">
        <v>74595</v>
      </c>
      <c r="N984">
        <v>3539600</v>
      </c>
      <c r="O984">
        <v>74595</v>
      </c>
      <c r="R984" s="8">
        <v>37.451175689697301</v>
      </c>
      <c r="S984" s="8">
        <v>3.27273547017886E-2</v>
      </c>
      <c r="T984" s="9">
        <v>3.22032198713635E-2</v>
      </c>
      <c r="U984" s="12">
        <v>2.8333000000000001E-2</v>
      </c>
      <c r="V984" s="16">
        <v>3.2732999999999999</v>
      </c>
      <c r="W984" s="17">
        <f t="shared" si="15"/>
        <v>-3.5919758911449051E-3</v>
      </c>
    </row>
    <row r="985" spans="1:23" x14ac:dyDescent="0.2">
      <c r="A985" s="15">
        <v>42975</v>
      </c>
      <c r="B985" s="5">
        <v>-271781008860629</v>
      </c>
      <c r="C985" s="5">
        <f>[1]!nefin_factors__1[[#This Row],[Rm_minus_Rf]]/B984-1</f>
        <v>0.39255909938876021</v>
      </c>
      <c r="D985" s="5">
        <v>161158794953044</v>
      </c>
      <c r="E985" s="5">
        <f>[1]!nefin_factors__1[[#This Row],[SMB]]/D984-1</f>
        <v>-0.71975195197078612</v>
      </c>
      <c r="F985" s="5">
        <v>-450647769960244</v>
      </c>
      <c r="G985" s="5">
        <f>[1]!nefin_factors__1[[#This Row],[HML]]/F984-1</f>
        <v>-3.4161153767266015</v>
      </c>
      <c r="H985" s="5">
        <v>324148352679465</v>
      </c>
      <c r="I985" s="6">
        <f>[1]!nefin_factors__1[[#This Row],[Risk_Free]]/H984-1</f>
        <v>-5.6098828386840216E-3</v>
      </c>
      <c r="J985">
        <v>74611</v>
      </c>
      <c r="K985">
        <v>75019</v>
      </c>
      <c r="L985">
        <v>74242</v>
      </c>
      <c r="M985">
        <v>74519</v>
      </c>
      <c r="N985">
        <v>3410600</v>
      </c>
      <c r="O985">
        <v>74519</v>
      </c>
      <c r="P985">
        <v>-1.0188350425631701E-3</v>
      </c>
      <c r="Q985">
        <v>-1.0193544077800999E-3</v>
      </c>
      <c r="R985" s="8">
        <v>37.995140075683601</v>
      </c>
      <c r="S985" s="8">
        <v>1.45245830241383E-2</v>
      </c>
      <c r="T985" s="9">
        <v>1.4420111655146201E-2</v>
      </c>
      <c r="U985" s="12">
        <v>2.8333000000000001E-2</v>
      </c>
      <c r="V985" s="16">
        <v>3.2509000000000001</v>
      </c>
      <c r="W985" s="17">
        <f t="shared" si="15"/>
        <v>-6.8432468762410492E-3</v>
      </c>
    </row>
    <row r="986" spans="1:23" x14ac:dyDescent="0.2">
      <c r="A986" s="14">
        <v>42976</v>
      </c>
      <c r="B986" s="3">
        <v>266993190602308</v>
      </c>
      <c r="C986" s="3">
        <f>[1]!nefin_factors__1[[#This Row],[Rm_minus_Rf]]/B985-1</f>
        <v>-1.9823835437273831</v>
      </c>
      <c r="D986" s="3">
        <v>-192836185853887</v>
      </c>
      <c r="E986" s="3">
        <f>[1]!nefin_factors__1[[#This Row],[SMB]]/D985-1</f>
        <v>-2.1965601127141259</v>
      </c>
      <c r="F986" s="3">
        <v>354005076612967</v>
      </c>
      <c r="G986" s="3">
        <f>[1]!nefin_factors__1[[#This Row],[HML]]/F985-1</f>
        <v>-1.7855471616872691</v>
      </c>
      <c r="H986" s="3">
        <v>322684793858441</v>
      </c>
      <c r="I986" s="4">
        <f>[1]!nefin_factors__1[[#This Row],[Risk_Free]]/H985-1</f>
        <v>-4.5150894919747664E-3</v>
      </c>
      <c r="J986">
        <v>74519</v>
      </c>
      <c r="K986">
        <v>74578</v>
      </c>
      <c r="L986">
        <v>73851</v>
      </c>
      <c r="M986">
        <v>74487</v>
      </c>
      <c r="N986">
        <v>1556800</v>
      </c>
      <c r="O986">
        <v>74487</v>
      </c>
      <c r="P986">
        <v>-4.2942068465756699E-4</v>
      </c>
      <c r="Q986">
        <v>-4.2951291212363899E-4</v>
      </c>
      <c r="R986" s="8">
        <v>37.789093017578097</v>
      </c>
      <c r="S986" s="8">
        <v>-5.4230834879780403E-3</v>
      </c>
      <c r="T986" s="9">
        <v>-5.4378417864097998E-3</v>
      </c>
      <c r="U986" s="12">
        <v>2.8333000000000001E-2</v>
      </c>
      <c r="V986" s="16">
        <v>3.2515000000000001</v>
      </c>
      <c r="W986" s="17">
        <f t="shared" si="15"/>
        <v>1.8456427450863622E-4</v>
      </c>
    </row>
    <row r="987" spans="1:23" x14ac:dyDescent="0.2">
      <c r="A987" s="15">
        <v>42977</v>
      </c>
      <c r="B987" s="5">
        <v>-53646543949435</v>
      </c>
      <c r="C987" s="5">
        <f>[1]!nefin_factors__1[[#This Row],[Rm_minus_Rf]]/B986-1</f>
        <v>-1.2009285099309617</v>
      </c>
      <c r="D987" s="5">
        <v>638728612838261</v>
      </c>
      <c r="E987" s="5">
        <f>[1]!nefin_factors__1[[#This Row],[SMB]]/D986-1</f>
        <v>-4.312286073331844</v>
      </c>
      <c r="F987" s="5">
        <v>677969818140939</v>
      </c>
      <c r="G987" s="5">
        <f>[1]!nefin_factors__1[[#This Row],[HML]]/F986-1</f>
        <v>0.91514151330140936</v>
      </c>
      <c r="H987" s="5">
        <v>321586771920401</v>
      </c>
      <c r="I987" s="6">
        <f>[1]!nefin_factors__1[[#This Row],[Risk_Free]]/H986-1</f>
        <v>-3.4027693865292807E-3</v>
      </c>
      <c r="J987">
        <v>74503</v>
      </c>
      <c r="K987">
        <v>74542</v>
      </c>
      <c r="L987">
        <v>74093</v>
      </c>
      <c r="M987">
        <v>74157</v>
      </c>
      <c r="N987">
        <v>2510300</v>
      </c>
      <c r="O987">
        <v>74157</v>
      </c>
      <c r="P987">
        <v>-4.4303032743968603E-3</v>
      </c>
      <c r="Q987">
        <v>-4.4401461499893897E-3</v>
      </c>
      <c r="R987" s="8">
        <v>38.448444366455099</v>
      </c>
      <c r="S987" s="8">
        <v>1.7448326174642301E-2</v>
      </c>
      <c r="T987" s="9">
        <v>1.7297851958660199E-2</v>
      </c>
      <c r="U987" s="12">
        <v>2.8333000000000001E-2</v>
      </c>
      <c r="V987" s="16">
        <v>3.2660999999999998</v>
      </c>
      <c r="W987" s="17">
        <f t="shared" si="15"/>
        <v>4.490235276026322E-3</v>
      </c>
    </row>
    <row r="988" spans="1:23" x14ac:dyDescent="0.2">
      <c r="A988" s="14">
        <v>42978</v>
      </c>
      <c r="B988" s="3">
        <v>72544889148016</v>
      </c>
      <c r="C988" s="3">
        <f>[1]!nefin_factors__1[[#This Row],[Rm_minus_Rf]]/B987-1</f>
        <v>-2.3522751664374466</v>
      </c>
      <c r="D988" s="3">
        <v>327097431393397</v>
      </c>
      <c r="E988" s="3">
        <f>[1]!nefin_factors__1[[#This Row],[SMB]]/D987-1</f>
        <v>-0.4878929410412608</v>
      </c>
      <c r="F988" s="3">
        <v>421101705909992</v>
      </c>
      <c r="G988" s="3">
        <f>[1]!nefin_factors__1[[#This Row],[HML]]/F987-1</f>
        <v>-0.3788783886210525</v>
      </c>
      <c r="H988" s="3">
        <v>320122271922019</v>
      </c>
      <c r="I988" s="4">
        <f>[1]!nefin_factors__1[[#This Row],[Risk_Free]]/H987-1</f>
        <v>-4.5539808420493877E-3</v>
      </c>
      <c r="J988">
        <v>74157</v>
      </c>
      <c r="K988">
        <v>74157</v>
      </c>
      <c r="L988">
        <v>73159</v>
      </c>
      <c r="M988">
        <v>74059</v>
      </c>
      <c r="N988">
        <v>2810800</v>
      </c>
      <c r="O988">
        <v>74059</v>
      </c>
      <c r="P988">
        <v>-1.3215205577356E-3</v>
      </c>
      <c r="Q988">
        <v>-1.3223945360996299E-3</v>
      </c>
      <c r="R988" s="8">
        <v>37.739639282226598</v>
      </c>
      <c r="S988" s="8">
        <v>-1.84353264523144E-2</v>
      </c>
      <c r="T988" s="9">
        <v>-1.86073748763942E-2</v>
      </c>
      <c r="U988" s="12">
        <v>2.8333000000000001E-2</v>
      </c>
      <c r="V988" s="16">
        <v>3.2873000000000001</v>
      </c>
      <c r="W988" s="17">
        <f t="shared" si="15"/>
        <v>6.490921894614532E-3</v>
      </c>
    </row>
    <row r="989" spans="1:23" x14ac:dyDescent="0.2">
      <c r="A989" s="15">
        <v>42979</v>
      </c>
      <c r="B989" s="5">
        <v>116667087874655</v>
      </c>
      <c r="C989" s="5">
        <f>[1]!nefin_factors__1[[#This Row],[Rm_minus_Rf]]/B988-1</f>
        <v>0.60820547449751916</v>
      </c>
      <c r="D989" s="5">
        <v>-956765069578442</v>
      </c>
      <c r="E989" s="5">
        <f>[1]!nefin_factors__1[[#This Row],[SMB]]/D988-1</f>
        <v>-3.9250155389564942</v>
      </c>
      <c r="F989" s="5">
        <v>265443567901921</v>
      </c>
      <c r="G989" s="5">
        <f>[1]!nefin_factors__1[[#This Row],[HML]]/F988-1</f>
        <v>-0.36964499507713233</v>
      </c>
      <c r="H989" s="5">
        <v>31902354364588</v>
      </c>
      <c r="I989" s="6">
        <f>[1]!nefin_factors__1[[#This Row],[Risk_Free]]/H988-1</f>
        <v>-0.90034322144146428</v>
      </c>
      <c r="J989">
        <v>74060</v>
      </c>
      <c r="K989">
        <v>74989</v>
      </c>
      <c r="L989">
        <v>74056</v>
      </c>
      <c r="M989">
        <v>74140</v>
      </c>
      <c r="N989">
        <v>3030700</v>
      </c>
      <c r="O989">
        <v>74140</v>
      </c>
      <c r="P989">
        <v>1.0937225725435899E-3</v>
      </c>
      <c r="Q989">
        <v>1.09312489376756E-3</v>
      </c>
      <c r="R989" s="8">
        <v>37.706672668457003</v>
      </c>
      <c r="S989" s="8">
        <v>-8.7351804833601899E-4</v>
      </c>
      <c r="T989" s="9">
        <v>-8.7389978754665401E-4</v>
      </c>
      <c r="U989" s="12">
        <v>2.8333000000000001E-2</v>
      </c>
      <c r="V989" s="16">
        <v>3.2833999999999999</v>
      </c>
      <c r="W989" s="17">
        <f t="shared" si="15"/>
        <v>-1.1863839625224637E-3</v>
      </c>
    </row>
    <row r="990" spans="1:23" x14ac:dyDescent="0.2">
      <c r="A990" s="14">
        <v>42982</v>
      </c>
      <c r="B990" s="3">
        <v>281401222136121</v>
      </c>
      <c r="C990" s="3">
        <f>[1]!nefin_factors__1[[#This Row],[Rm_minus_Rf]]/B989-1</f>
        <v>1.4120017672717893</v>
      </c>
      <c r="D990" s="3">
        <v>101342228755364</v>
      </c>
      <c r="E990" s="3">
        <f>[1]!nefin_factors__1[[#This Row],[SMB]]/D989-1</f>
        <v>-1.1059217481675163</v>
      </c>
      <c r="F990" s="3">
        <v>462694866309666</v>
      </c>
      <c r="G990" s="3">
        <f>[1]!nefin_factors__1[[#This Row],[HML]]/F989-1</f>
        <v>0.74310068978814958</v>
      </c>
      <c r="H990" s="3">
        <v>316092119812206</v>
      </c>
      <c r="I990" s="4">
        <f>[1]!nefin_factors__1[[#This Row],[Risk_Free]]/H989-1</f>
        <v>8.9081126176402865</v>
      </c>
      <c r="J990">
        <v>74146</v>
      </c>
      <c r="K990">
        <v>74515</v>
      </c>
      <c r="L990">
        <v>72700</v>
      </c>
      <c r="M990">
        <v>72700</v>
      </c>
      <c r="N990">
        <v>3639400</v>
      </c>
      <c r="O990">
        <v>72700</v>
      </c>
      <c r="P990">
        <v>-1.94227137847316E-2</v>
      </c>
      <c r="Q990">
        <v>-1.9613813183112502E-2</v>
      </c>
      <c r="R990" s="8">
        <v>37.418205261230497</v>
      </c>
      <c r="S990" s="8">
        <v>-7.6502765118315903E-3</v>
      </c>
      <c r="T990" s="9">
        <v>-7.6796899873622796E-3</v>
      </c>
      <c r="U990" s="12">
        <v>2.8333000000000001E-2</v>
      </c>
      <c r="V990" s="16">
        <v>3.2808000000000002</v>
      </c>
      <c r="W990" s="17">
        <f t="shared" si="15"/>
        <v>-7.9186209417059228E-4</v>
      </c>
    </row>
    <row r="991" spans="1:23" x14ac:dyDescent="0.2">
      <c r="A991" s="15">
        <v>42983</v>
      </c>
      <c r="B991" s="5">
        <v>153939224515328</v>
      </c>
      <c r="C991" s="5">
        <f>[1]!nefin_factors__1[[#This Row],[Rm_minus_Rf]]/B990-1</f>
        <v>-0.452954669682054</v>
      </c>
      <c r="D991" s="5">
        <v>107052853455312</v>
      </c>
      <c r="E991" s="5">
        <f>[1]!nefin_factors__1[[#This Row],[SMB]]/D990-1</f>
        <v>5.6349902405770091E-2</v>
      </c>
      <c r="F991" s="5">
        <v>-150049802512145</v>
      </c>
      <c r="G991" s="5">
        <f>[1]!nefin_factors__1[[#This Row],[HML]]/F990-1</f>
        <v>-1.3242953692330828</v>
      </c>
      <c r="H991" s="5">
        <v>313892136047933</v>
      </c>
      <c r="I991" s="6">
        <f>[1]!nefin_factors__1[[#This Row],[Risk_Free]]/H990-1</f>
        <v>-6.9599449855948237E-3</v>
      </c>
      <c r="J991">
        <v>72700</v>
      </c>
      <c r="K991">
        <v>72700</v>
      </c>
      <c r="L991">
        <v>71215</v>
      </c>
      <c r="M991">
        <v>71971</v>
      </c>
      <c r="N991">
        <v>5348800</v>
      </c>
      <c r="O991">
        <v>71971</v>
      </c>
      <c r="P991">
        <v>-1.00275103163686E-2</v>
      </c>
      <c r="Q991">
        <v>-1.0078124437952699E-2</v>
      </c>
      <c r="R991" s="8">
        <v>37.063804626464801</v>
      </c>
      <c r="S991" s="8">
        <v>-9.4712980593582002E-3</v>
      </c>
      <c r="T991" s="9">
        <v>-9.5164360390907008E-3</v>
      </c>
      <c r="U991" s="12">
        <v>2.8333000000000001E-2</v>
      </c>
      <c r="V991" s="16">
        <v>3.2787999999999999</v>
      </c>
      <c r="W991" s="17">
        <f t="shared" si="15"/>
        <v>-6.0960741282622966E-4</v>
      </c>
    </row>
    <row r="992" spans="1:23" x14ac:dyDescent="0.2">
      <c r="A992" s="14">
        <v>42984</v>
      </c>
      <c r="B992" s="3">
        <v>160543257027901</v>
      </c>
      <c r="C992" s="3">
        <f>[1]!nefin_factors__1[[#This Row],[Rm_minus_Rf]]/B991-1</f>
        <v>4.2900258419292125E-2</v>
      </c>
      <c r="D992" s="3">
        <v>753988078661392</v>
      </c>
      <c r="E992" s="3">
        <f>[1]!nefin_factors__1[[#This Row],[SMB]]/D991-1</f>
        <v>6.0431385462895273</v>
      </c>
      <c r="F992" s="3">
        <v>244155737837897</v>
      </c>
      <c r="G992" s="3">
        <f>[1]!nefin_factors__1[[#This Row],[HML]]/F991-1</f>
        <v>-2.6271646729967211</v>
      </c>
      <c r="H992" s="3">
        <v>311323952462361</v>
      </c>
      <c r="I992" s="4">
        <f>[1]!nefin_factors__1[[#This Row],[Risk_Free]]/H991-1</f>
        <v>-8.1817391729107625E-3</v>
      </c>
      <c r="J992">
        <v>71955</v>
      </c>
      <c r="K992">
        <v>72472</v>
      </c>
      <c r="L992">
        <v>71488</v>
      </c>
      <c r="M992">
        <v>72264</v>
      </c>
      <c r="N992">
        <v>3003100</v>
      </c>
      <c r="O992">
        <v>72264</v>
      </c>
      <c r="P992">
        <v>4.0710841866862203E-3</v>
      </c>
      <c r="Q992">
        <v>4.0628197460213702E-3</v>
      </c>
      <c r="R992" s="8">
        <v>36.857757568359403</v>
      </c>
      <c r="S992" s="8">
        <v>-5.5592486819513497E-3</v>
      </c>
      <c r="T992" s="9">
        <v>-5.57475881473823E-3</v>
      </c>
      <c r="U992" s="12">
        <v>2.8333000000000001E-2</v>
      </c>
      <c r="V992" s="16">
        <v>3.2623000000000002</v>
      </c>
      <c r="W992" s="17">
        <f t="shared" si="15"/>
        <v>-5.0323289008172845E-3</v>
      </c>
    </row>
    <row r="993" spans="1:23" x14ac:dyDescent="0.2">
      <c r="A993" s="15">
        <v>42986</v>
      </c>
      <c r="B993" s="5">
        <v>-384433464593259</v>
      </c>
      <c r="C993" s="5">
        <f>[1]!nefin_factors__1[[#This Row],[Rm_minus_Rf]]/B992-1</f>
        <v>-3.3945787055164072</v>
      </c>
      <c r="D993" s="5">
        <v>581682205692813</v>
      </c>
      <c r="E993" s="5">
        <f>[1]!nefin_factors__1[[#This Row],[SMB]]/D992-1</f>
        <v>-0.22852599111976113</v>
      </c>
      <c r="F993" s="5">
        <v>-851871967041234</v>
      </c>
      <c r="G993" s="5">
        <f>[1]!nefin_factors__1[[#This Row],[HML]]/F992-1</f>
        <v>-4.4890515970868545</v>
      </c>
      <c r="H993" s="5">
        <v>309488521838874</v>
      </c>
      <c r="I993" s="6">
        <f>[1]!nefin_factors__1[[#This Row],[Risk_Free]]/H992-1</f>
        <v>-5.8955650825128769E-3</v>
      </c>
      <c r="J993">
        <v>72266</v>
      </c>
      <c r="K993">
        <v>73749</v>
      </c>
      <c r="L993">
        <v>72266</v>
      </c>
      <c r="M993">
        <v>73090</v>
      </c>
      <c r="N993">
        <v>3038600</v>
      </c>
      <c r="O993">
        <v>73090</v>
      </c>
      <c r="P993">
        <v>1.1430311081589701E-2</v>
      </c>
      <c r="Q993">
        <v>1.13654786447579E-2</v>
      </c>
      <c r="R993" s="8">
        <v>37.236885070800803</v>
      </c>
      <c r="S993" s="8">
        <v>1.0286235084715E-2</v>
      </c>
      <c r="T993" s="9">
        <v>1.0233691776644601E-2</v>
      </c>
      <c r="U993" s="12">
        <v>2.8333000000000001E-2</v>
      </c>
      <c r="V993" s="16">
        <v>3.2591000000000001</v>
      </c>
      <c r="W993" s="17">
        <f t="shared" si="15"/>
        <v>-9.8090304386477811E-4</v>
      </c>
    </row>
    <row r="994" spans="1:23" x14ac:dyDescent="0.2">
      <c r="A994" s="14">
        <v>42989</v>
      </c>
      <c r="B994" s="3">
        <v>159392441038883</v>
      </c>
      <c r="C994" s="3">
        <f>[1]!nefin_factors__1[[#This Row],[Rm_minus_Rf]]/B993-1</f>
        <v>-1.4146164569921729</v>
      </c>
      <c r="D994" s="3">
        <v>30330287889567</v>
      </c>
      <c r="E994" s="3">
        <f>[1]!nefin_factors__1[[#This Row],[SMB]]/D993-1</f>
        <v>-0.94785763155081892</v>
      </c>
      <c r="F994" s="3">
        <v>250097115244413</v>
      </c>
      <c r="G994" s="3">
        <f>[1]!nefin_factors__1[[#This Row],[HML]]/F993-1</f>
        <v>-1.2935853331493736</v>
      </c>
      <c r="H994" s="3">
        <v>309121334255202</v>
      </c>
      <c r="I994" s="4">
        <f>[1]!nefin_factors__1[[#This Row],[Risk_Free]]/H993-1</f>
        <v>-1.1864336082330063E-3</v>
      </c>
      <c r="J994">
        <v>73090</v>
      </c>
      <c r="K994">
        <v>74166</v>
      </c>
      <c r="L994">
        <v>72319</v>
      </c>
      <c r="M994">
        <v>72546</v>
      </c>
      <c r="N994">
        <v>2913300</v>
      </c>
      <c r="O994">
        <v>72546</v>
      </c>
      <c r="P994">
        <v>-7.4428786427691599E-3</v>
      </c>
      <c r="Q994">
        <v>-7.4707150721356197E-3</v>
      </c>
      <c r="R994" s="8">
        <v>36.9649047851562</v>
      </c>
      <c r="S994" s="8">
        <v>-7.3040323283762899E-3</v>
      </c>
      <c r="T994" s="9">
        <v>-7.33083737554714E-3</v>
      </c>
      <c r="U994" s="12">
        <v>2.8333000000000001E-2</v>
      </c>
      <c r="V994" s="16">
        <v>3.2561</v>
      </c>
      <c r="W994" s="17">
        <f t="shared" si="15"/>
        <v>-9.2049952440864669E-4</v>
      </c>
    </row>
    <row r="995" spans="1:23" x14ac:dyDescent="0.2">
      <c r="A995" s="15">
        <v>42990</v>
      </c>
      <c r="B995" s="5">
        <v>410523697867896</v>
      </c>
      <c r="C995" s="5">
        <f>[1]!nefin_factors__1[[#This Row],[Rm_minus_Rf]]/B994-1</f>
        <v>1.5755531140134229</v>
      </c>
      <c r="D995" s="5">
        <v>-193613468980377</v>
      </c>
      <c r="E995" s="5">
        <f>[1]!nefin_factors__1[[#This Row],[SMB]]/D994-1</f>
        <v>-7.3835025135708019</v>
      </c>
      <c r="F995" s="5">
        <v>-10831429881655</v>
      </c>
      <c r="G995" s="5">
        <f>[1]!nefin_factors__1[[#This Row],[HML]]/F994-1</f>
        <v>-1.0433088957106511</v>
      </c>
      <c r="H995" s="5">
        <v>309121334255202</v>
      </c>
      <c r="I995" s="6">
        <f>[1]!nefin_factors__1[[#This Row],[Risk_Free]]/H994-1</f>
        <v>0</v>
      </c>
      <c r="J995">
        <v>72535</v>
      </c>
      <c r="K995">
        <v>73418</v>
      </c>
      <c r="L995">
        <v>71906</v>
      </c>
      <c r="M995">
        <v>73268</v>
      </c>
      <c r="N995">
        <v>3099300</v>
      </c>
      <c r="O995">
        <v>73268</v>
      </c>
      <c r="P995">
        <v>9.9523061230115707E-3</v>
      </c>
      <c r="Q995">
        <v>9.9031080778057903E-3</v>
      </c>
      <c r="R995" s="8">
        <v>37.170951843261697</v>
      </c>
      <c r="S995" s="8">
        <v>5.5742281416724104E-3</v>
      </c>
      <c r="T995" s="9">
        <v>5.5587496258634201E-3</v>
      </c>
      <c r="U995" s="12">
        <v>2.8333000000000001E-2</v>
      </c>
      <c r="V995" s="16">
        <v>3.2370999999999999</v>
      </c>
      <c r="W995" s="17">
        <f t="shared" si="15"/>
        <v>-5.8352016215718061E-3</v>
      </c>
    </row>
    <row r="996" spans="1:23" x14ac:dyDescent="0.2">
      <c r="A996" s="14">
        <v>42991</v>
      </c>
      <c r="B996" s="3">
        <v>284411627104357</v>
      </c>
      <c r="C996" s="3">
        <f>[1]!nefin_factors__1[[#This Row],[Rm_minus_Rf]]/B995-1</f>
        <v>-0.30719802880690483</v>
      </c>
      <c r="D996" s="3">
        <v>128871073006983</v>
      </c>
      <c r="E996" s="3">
        <f>[1]!nefin_factors__1[[#This Row],[SMB]]/D995-1</f>
        <v>-1.6656100615605636</v>
      </c>
      <c r="F996" s="3">
        <v>760535937731844</v>
      </c>
      <c r="G996" s="3">
        <f>[1]!nefin_factors__1[[#This Row],[HML]]/F995-1</f>
        <v>-71.215654446505738</v>
      </c>
      <c r="H996" s="3">
        <v>308754112837706</v>
      </c>
      <c r="I996" s="4">
        <f>[1]!nefin_factors__1[[#This Row],[Risk_Free]]/H995-1</f>
        <v>-1.1879523565747618E-3</v>
      </c>
      <c r="J996">
        <v>73268</v>
      </c>
      <c r="K996">
        <v>73268</v>
      </c>
      <c r="L996">
        <v>71356</v>
      </c>
      <c r="M996">
        <v>72487</v>
      </c>
      <c r="N996">
        <v>3260800</v>
      </c>
      <c r="O996">
        <v>72487</v>
      </c>
      <c r="P996">
        <v>-1.06594966424632E-2</v>
      </c>
      <c r="Q996">
        <v>-1.07167160601908E-2</v>
      </c>
      <c r="R996" s="8">
        <v>37.0390815734863</v>
      </c>
      <c r="S996" s="8">
        <v>-3.5477385718442099E-3</v>
      </c>
      <c r="T996" s="9">
        <v>-3.5540467205255298E-3</v>
      </c>
      <c r="U996" s="12">
        <v>2.8333000000000001E-2</v>
      </c>
      <c r="V996" s="16">
        <v>3.23</v>
      </c>
      <c r="W996" s="17">
        <f t="shared" si="15"/>
        <v>-2.1933211825398979E-3</v>
      </c>
    </row>
    <row r="997" spans="1:23" x14ac:dyDescent="0.2">
      <c r="A997" s="15">
        <v>42992</v>
      </c>
      <c r="B997" s="5">
        <v>-47834267124968</v>
      </c>
      <c r="C997" s="5">
        <f>[1]!nefin_factors__1[[#This Row],[Rm_minus_Rf]]/B996-1</f>
        <v>-1.1681867496486582</v>
      </c>
      <c r="D997" s="5">
        <v>936340560128938</v>
      </c>
      <c r="E997" s="5">
        <f>[1]!nefin_factors__1[[#This Row],[SMB]]/D996-1</f>
        <v>6.2657155580461525</v>
      </c>
      <c r="F997" s="5">
        <v>-508789814432141</v>
      </c>
      <c r="G997" s="5">
        <f>[1]!nefin_factors__1[[#This Row],[HML]]/F996-1</f>
        <v>-1.6689885239999458</v>
      </c>
      <c r="H997" s="5">
        <v>308386857579501</v>
      </c>
      <c r="I997" s="6">
        <f>[1]!nefin_factors__1[[#This Row],[Risk_Free]]/H996-1</f>
        <v>-1.1894748699203816E-3</v>
      </c>
      <c r="J997">
        <v>72489</v>
      </c>
      <c r="K997">
        <v>73425</v>
      </c>
      <c r="L997">
        <v>72489</v>
      </c>
      <c r="M997">
        <v>72732</v>
      </c>
      <c r="N997">
        <v>3085600</v>
      </c>
      <c r="O997">
        <v>72732</v>
      </c>
      <c r="P997">
        <v>3.37991639880264E-3</v>
      </c>
      <c r="Q997">
        <v>3.3742173193687598E-3</v>
      </c>
      <c r="R997" s="8">
        <v>37.500625610351598</v>
      </c>
      <c r="S997" s="8">
        <v>1.24609776010558E-2</v>
      </c>
      <c r="T997" s="9">
        <v>1.2383978614914999E-2</v>
      </c>
      <c r="U997" s="12">
        <v>2.8333000000000001E-2</v>
      </c>
      <c r="V997" s="16">
        <v>3.2218</v>
      </c>
      <c r="W997" s="17">
        <f t="shared" si="15"/>
        <v>-2.538699690402435E-3</v>
      </c>
    </row>
    <row r="998" spans="1:23" x14ac:dyDescent="0.2">
      <c r="A998" s="14">
        <v>42993</v>
      </c>
      <c r="B998" s="3">
        <v>156575855264354</v>
      </c>
      <c r="C998" s="3">
        <f>[1]!nefin_factors__1[[#This Row],[Rm_minus_Rf]]/B997-1</f>
        <v>-4.2732989272166826</v>
      </c>
      <c r="D998" s="3">
        <v>364476353666488</v>
      </c>
      <c r="E998" s="3">
        <f>[1]!nefin_factors__1[[#This Row],[SMB]]/D997-1</f>
        <v>-0.61074381567290215</v>
      </c>
      <c r="F998" s="3">
        <v>317900066651923</v>
      </c>
      <c r="G998" s="3">
        <f>[1]!nefin_factors__1[[#This Row],[HML]]/F997-1</f>
        <v>-1.6248160981892501</v>
      </c>
      <c r="H998" s="3">
        <v>308019568474815</v>
      </c>
      <c r="I998" s="4">
        <f>[1]!nefin_factors__1[[#This Row],[Risk_Free]]/H997-1</f>
        <v>-1.1910011586382385E-3</v>
      </c>
      <c r="J998">
        <v>72775</v>
      </c>
      <c r="K998">
        <v>73361</v>
      </c>
      <c r="L998">
        <v>72498</v>
      </c>
      <c r="M998">
        <v>72800</v>
      </c>
      <c r="N998">
        <v>2450200</v>
      </c>
      <c r="O998">
        <v>72800</v>
      </c>
      <c r="P998">
        <v>9.3493922895016002E-4</v>
      </c>
      <c r="Q998">
        <v>9.3450244549203804E-4</v>
      </c>
      <c r="R998" s="8">
        <v>36.997871398925803</v>
      </c>
      <c r="S998" s="8">
        <v>-1.3406573760510999E-2</v>
      </c>
      <c r="T998" s="9">
        <v>-1.3497253250015599E-2</v>
      </c>
      <c r="U998" s="12">
        <v>2.8333000000000001E-2</v>
      </c>
      <c r="V998" s="16">
        <v>3.2231999999999998</v>
      </c>
      <c r="W998" s="17">
        <f t="shared" si="15"/>
        <v>4.34539698305203E-4</v>
      </c>
    </row>
    <row r="999" spans="1:23" x14ac:dyDescent="0.2">
      <c r="A999" s="15">
        <v>42996</v>
      </c>
      <c r="B999" s="5">
        <v>33839747430313</v>
      </c>
      <c r="C999" s="5">
        <f>[1]!nefin_factors__1[[#This Row],[Rm_minus_Rf]]/B998-1</f>
        <v>-0.78387633666008183</v>
      </c>
      <c r="D999" s="5">
        <v>953101008088684</v>
      </c>
      <c r="E999" s="5">
        <f>[1]!nefin_factors__1[[#This Row],[SMB]]/D998-1</f>
        <v>1.6149872234532219</v>
      </c>
      <c r="F999" s="5">
        <v>111004645713595</v>
      </c>
      <c r="G999" s="5">
        <f>[1]!nefin_factors__1[[#This Row],[HML]]/F998-1</f>
        <v>-0.65081905492288916</v>
      </c>
      <c r="H999" s="5">
        <v>307652245516987</v>
      </c>
      <c r="I999" s="6">
        <f>[1]!nefin_factors__1[[#This Row],[Risk_Free]]/H998-1</f>
        <v>-1.1925312396443566E-3</v>
      </c>
      <c r="J999">
        <v>72800</v>
      </c>
      <c r="K999">
        <v>73814</v>
      </c>
      <c r="L999">
        <v>71798</v>
      </c>
      <c r="M999">
        <v>73814</v>
      </c>
      <c r="N999">
        <v>2956100</v>
      </c>
      <c r="O999">
        <v>73814</v>
      </c>
      <c r="P999">
        <v>1.39285714285715E-2</v>
      </c>
      <c r="Q999">
        <v>1.3832460309676E-2</v>
      </c>
      <c r="R999" s="8">
        <v>37.137981414794901</v>
      </c>
      <c r="S999" s="8">
        <v>3.7868820308910602E-3</v>
      </c>
      <c r="T999" s="9">
        <v>3.7797298437724199E-3</v>
      </c>
      <c r="U999" s="12">
        <v>2.8333000000000001E-2</v>
      </c>
      <c r="V999" s="16">
        <v>3.2136</v>
      </c>
      <c r="W999" s="17">
        <f t="shared" si="15"/>
        <v>-2.9784065524943726E-3</v>
      </c>
    </row>
    <row r="1000" spans="1:23" x14ac:dyDescent="0.2">
      <c r="A1000" s="14">
        <v>42997</v>
      </c>
      <c r="B1000" s="3">
        <v>-145325496829649</v>
      </c>
      <c r="C1000" s="3">
        <f>[1]!nefin_factors__1[[#This Row],[Rm_minus_Rf]]/B999-1</f>
        <v>-5.2945207297696673</v>
      </c>
      <c r="D1000" s="3">
        <v>494119109478896</v>
      </c>
      <c r="E1000" s="3">
        <f>[1]!nefin_factors__1[[#This Row],[SMB]]/D999-1</f>
        <v>-0.48156690079492681</v>
      </c>
      <c r="F1000" s="3">
        <v>36627566158299</v>
      </c>
      <c r="G1000" s="3">
        <f>[1]!nefin_factors__1[[#This Row],[HML]]/F999-1</f>
        <v>-0.67003573658707571</v>
      </c>
      <c r="H1000" s="3">
        <v>307652245516987</v>
      </c>
      <c r="I1000" s="4">
        <f>[1]!nefin_factors__1[[#This Row],[Risk_Free]]/H999-1</f>
        <v>0</v>
      </c>
      <c r="J1000">
        <v>73827</v>
      </c>
      <c r="K1000">
        <v>74622</v>
      </c>
      <c r="L1000">
        <v>72569</v>
      </c>
      <c r="M1000">
        <v>72914</v>
      </c>
      <c r="N1000">
        <v>4494700</v>
      </c>
      <c r="O1000">
        <v>72914</v>
      </c>
      <c r="P1000">
        <v>-1.21928089522313E-2</v>
      </c>
      <c r="Q1000">
        <v>-1.22677510400245E-2</v>
      </c>
      <c r="R1000" s="8">
        <v>36.8165473937988</v>
      </c>
      <c r="S1000" s="8">
        <v>-8.6549889178225703E-3</v>
      </c>
      <c r="T1000" s="9">
        <v>-8.6926608587304596E-3</v>
      </c>
      <c r="U1000" s="12">
        <v>2.8333000000000001E-2</v>
      </c>
      <c r="V1000" s="16">
        <v>3.2616000000000001</v>
      </c>
      <c r="W1000" s="17">
        <f t="shared" si="15"/>
        <v>1.4936519790888836E-2</v>
      </c>
    </row>
    <row r="1001" spans="1:23" x14ac:dyDescent="0.2">
      <c r="A1001" s="15">
        <v>42998</v>
      </c>
      <c r="B1001" s="5">
        <v>312414040636455</v>
      </c>
      <c r="C1001" s="5">
        <f>[1]!nefin_factors__1[[#This Row],[Rm_minus_Rf]]/B1000-1</f>
        <v>-3.1497538109411574</v>
      </c>
      <c r="D1001" s="5">
        <v>-926007288625817</v>
      </c>
      <c r="E1001" s="5">
        <f>[1]!nefin_factors__1[[#This Row],[SMB]]/D1000-1</f>
        <v>-2.874056823267563</v>
      </c>
      <c r="F1001" s="5">
        <v>-212762412992547</v>
      </c>
      <c r="G1001" s="5">
        <f>[1]!nefin_factors__1[[#This Row],[HML]]/F1000-1</f>
        <v>-6.8088056430781911</v>
      </c>
      <c r="H1001" s="5">
        <v>307284888700243</v>
      </c>
      <c r="I1001" s="6">
        <f>[1]!nefin_factors__1[[#This Row],[Risk_Free]]/H1000-1</f>
        <v>-1.1940651241686417E-3</v>
      </c>
      <c r="J1001">
        <v>72913</v>
      </c>
      <c r="K1001">
        <v>72913</v>
      </c>
      <c r="L1001">
        <v>71969</v>
      </c>
      <c r="M1001">
        <v>72429</v>
      </c>
      <c r="N1001">
        <v>3491800</v>
      </c>
      <c r="O1001">
        <v>72429</v>
      </c>
      <c r="P1001">
        <v>-6.6516718325698703E-3</v>
      </c>
      <c r="Q1001">
        <v>-6.6738927941648396E-3</v>
      </c>
      <c r="R1001" s="8">
        <v>37.5171089172363</v>
      </c>
      <c r="S1001" s="8">
        <v>1.9028406192758099E-2</v>
      </c>
      <c r="T1001" s="9">
        <v>1.8849630390570402E-2</v>
      </c>
      <c r="U1001" s="12">
        <v>2.8333000000000001E-2</v>
      </c>
      <c r="V1001" s="16">
        <v>3.2635999999999998</v>
      </c>
      <c r="W1001" s="17">
        <f t="shared" si="15"/>
        <v>6.1319597743425547E-4</v>
      </c>
    </row>
    <row r="1002" spans="1:23" x14ac:dyDescent="0.2">
      <c r="A1002" s="14">
        <v>42999</v>
      </c>
      <c r="B1002" s="3">
        <v>-616673021421362</v>
      </c>
      <c r="C1002" s="3">
        <f>[1]!nefin_factors__1[[#This Row],[Rm_minus_Rf]]/B1001-1</f>
        <v>-2.973896628221528</v>
      </c>
      <c r="D1002" s="3">
        <v>103817798782069</v>
      </c>
      <c r="E1002" s="3">
        <f>[1]!nefin_factors__1[[#This Row],[SMB]]/D1001-1</f>
        <v>-1.1121133710903435</v>
      </c>
      <c r="F1002" s="3">
        <v>-31439288361679</v>
      </c>
      <c r="G1002" s="3">
        <f>[1]!nefin_factors__1[[#This Row],[HML]]/F1001-1</f>
        <v>-0.85223288305730815</v>
      </c>
      <c r="H1002" s="3">
        <v>307284888700243</v>
      </c>
      <c r="I1002" s="4">
        <f>[1]!nefin_factors__1[[#This Row],[Risk_Free]]/H1001-1</f>
        <v>0</v>
      </c>
      <c r="J1002">
        <v>72428</v>
      </c>
      <c r="K1002">
        <v>73069</v>
      </c>
      <c r="L1002">
        <v>72277</v>
      </c>
      <c r="M1002">
        <v>72608</v>
      </c>
      <c r="N1002">
        <v>4659500</v>
      </c>
      <c r="O1002">
        <v>72608</v>
      </c>
      <c r="P1002">
        <v>2.4713857708928999E-3</v>
      </c>
      <c r="Q1002">
        <v>2.4683369193043898E-3</v>
      </c>
      <c r="R1002" s="8">
        <v>38.102283477783203</v>
      </c>
      <c r="S1002" s="8">
        <v>1.5597535763879801E-2</v>
      </c>
      <c r="T1002" s="9">
        <v>1.5477144460920999E-2</v>
      </c>
      <c r="U1002" s="12">
        <v>2.8333000000000001E-2</v>
      </c>
      <c r="V1002" s="16">
        <v>3.2505999999999999</v>
      </c>
      <c r="W1002" s="17">
        <f t="shared" si="15"/>
        <v>-3.9833312905993568E-3</v>
      </c>
    </row>
    <row r="1003" spans="1:23" x14ac:dyDescent="0.2">
      <c r="A1003" s="15">
        <v>43000</v>
      </c>
      <c r="B1003" s="5">
        <v>-287205286125128</v>
      </c>
      <c r="C1003" s="5">
        <f>[1]!nefin_factors__1[[#This Row],[Rm_minus_Rf]]/B1002-1</f>
        <v>-0.5342664975627569</v>
      </c>
      <c r="D1003" s="5">
        <v>286488760529921</v>
      </c>
      <c r="E1003" s="5">
        <f>[1]!nefin_factors__1[[#This Row],[SMB]]/D1002-1</f>
        <v>1.7595341443456052</v>
      </c>
      <c r="F1003" s="5">
        <v>-58108054852188</v>
      </c>
      <c r="G1003" s="5">
        <f>[1]!nefin_factors__1[[#This Row],[HML]]/F1002-1</f>
        <v>0.84826240924127472</v>
      </c>
      <c r="H1003" s="5">
        <v>306917498017922</v>
      </c>
      <c r="I1003" s="6">
        <f>[1]!nefin_factors__1[[#This Row],[Risk_Free]]/H1002-1</f>
        <v>-1.1956028292670062E-3</v>
      </c>
      <c r="J1003">
        <v>72621</v>
      </c>
      <c r="K1003">
        <v>73519</v>
      </c>
      <c r="L1003">
        <v>72621</v>
      </c>
      <c r="M1003">
        <v>73115</v>
      </c>
      <c r="N1003">
        <v>3202900</v>
      </c>
      <c r="O1003">
        <v>73115</v>
      </c>
      <c r="P1003">
        <v>6.9827016306742698E-3</v>
      </c>
      <c r="Q1003">
        <v>6.9584354664111604E-3</v>
      </c>
      <c r="R1003" s="8">
        <v>38.333057403564503</v>
      </c>
      <c r="S1003" s="8">
        <v>6.0566341178274197E-3</v>
      </c>
      <c r="T1003" s="9">
        <v>6.0383664327566802E-3</v>
      </c>
      <c r="U1003" s="12">
        <v>2.8333000000000001E-2</v>
      </c>
      <c r="V1003" s="16">
        <v>3.2322000000000002</v>
      </c>
      <c r="W1003" s="17">
        <f t="shared" si="15"/>
        <v>-5.6604934473635238E-3</v>
      </c>
    </row>
    <row r="1004" spans="1:23" x14ac:dyDescent="0.2">
      <c r="A1004" s="14">
        <v>43003</v>
      </c>
      <c r="B1004" s="3">
        <v>-124714980231899</v>
      </c>
      <c r="C1004" s="3">
        <f>[1]!nefin_factors__1[[#This Row],[Rm_minus_Rf]]/B1003-1</f>
        <v>-0.56576363229761772</v>
      </c>
      <c r="D1004" s="3">
        <v>-13055484287773</v>
      </c>
      <c r="E1004" s="3">
        <f>[1]!nefin_factors__1[[#This Row],[SMB]]/D1003-1</f>
        <v>-1.045570668334856</v>
      </c>
      <c r="F1004" s="3">
        <v>-141771569018729</v>
      </c>
      <c r="G1004" s="3">
        <f>[1]!nefin_factors__1[[#This Row],[HML]]/F1003-1</f>
        <v>1.4397920284779717</v>
      </c>
      <c r="H1004" s="3">
        <v>306182615032125</v>
      </c>
      <c r="I1004" s="4">
        <f>[1]!nefin_factors__1[[#This Row],[Risk_Free]]/H1003-1</f>
        <v>-2.3943991155371824E-3</v>
      </c>
      <c r="J1004">
        <v>73122</v>
      </c>
      <c r="K1004">
        <v>73139</v>
      </c>
      <c r="L1004">
        <v>72347</v>
      </c>
      <c r="M1004">
        <v>72680</v>
      </c>
      <c r="N1004">
        <v>2351600</v>
      </c>
      <c r="O1004">
        <v>72680</v>
      </c>
      <c r="P1004">
        <v>-5.9495315598714297E-3</v>
      </c>
      <c r="Q1004">
        <v>-5.9673005358719796E-3</v>
      </c>
      <c r="R1004" s="8">
        <v>37.484142303466797</v>
      </c>
      <c r="S1004" s="8">
        <v>-1.6026649654512101E-2</v>
      </c>
      <c r="T1004" s="9">
        <v>-1.6156465278861901E-2</v>
      </c>
      <c r="U1004" s="12">
        <v>2.8333000000000001E-2</v>
      </c>
      <c r="V1004" s="16">
        <v>3.2353999999999998</v>
      </c>
      <c r="W1004" s="17">
        <f t="shared" si="15"/>
        <v>9.9003774518902077E-4</v>
      </c>
    </row>
    <row r="1005" spans="1:23" x14ac:dyDescent="0.2">
      <c r="A1005" s="15">
        <v>43004</v>
      </c>
      <c r="B1005" s="5">
        <v>-275966352930051</v>
      </c>
      <c r="C1005" s="5">
        <f>[1]!nefin_factors__1[[#This Row],[Rm_minus_Rf]]/B1004-1</f>
        <v>1.2127763033511321</v>
      </c>
      <c r="D1005" s="5">
        <v>677141128542288</v>
      </c>
      <c r="E1005" s="5">
        <f>[1]!nefin_factors__1[[#This Row],[SMB]]/D1004-1</f>
        <v>-52.866412123559343</v>
      </c>
      <c r="F1005" s="5">
        <v>258205200856937</v>
      </c>
      <c r="G1005" s="5">
        <f>[1]!nefin_factors__1[[#This Row],[HML]]/F1004-1</f>
        <v>-2.8212763154425291</v>
      </c>
      <c r="H1005" s="5">
        <v>306182615032125</v>
      </c>
      <c r="I1005" s="6">
        <f>[1]!nefin_factors__1[[#This Row],[Risk_Free]]/H1004-1</f>
        <v>0</v>
      </c>
      <c r="J1005">
        <v>72680</v>
      </c>
      <c r="K1005">
        <v>73492</v>
      </c>
      <c r="L1005">
        <v>72680</v>
      </c>
      <c r="M1005">
        <v>73367</v>
      </c>
      <c r="N1005">
        <v>2219600</v>
      </c>
      <c r="O1005">
        <v>73367</v>
      </c>
      <c r="P1005">
        <v>9.4523940561364005E-3</v>
      </c>
      <c r="Q1005">
        <v>9.4079997153830794E-3</v>
      </c>
      <c r="R1005" s="8">
        <v>37.747882843017599</v>
      </c>
      <c r="S1005" s="8">
        <v>7.0359919485554201E-3</v>
      </c>
      <c r="T1005" s="9">
        <v>7.01135485396548E-3</v>
      </c>
      <c r="U1005" s="12">
        <v>2.6481000000000001E-2</v>
      </c>
      <c r="V1005" s="16">
        <v>3.2892000000000001</v>
      </c>
      <c r="W1005" s="17">
        <f t="shared" si="15"/>
        <v>1.6628546702108116E-2</v>
      </c>
    </row>
    <row r="1006" spans="1:23" x14ac:dyDescent="0.2">
      <c r="A1006" s="14">
        <v>43005</v>
      </c>
      <c r="B1006" s="3">
        <v>-814357403199274</v>
      </c>
      <c r="C1006" s="3">
        <f>[1]!nefin_factors__1[[#This Row],[Rm_minus_Rf]]/B1005-1</f>
        <v>1.9509300483660361</v>
      </c>
      <c r="D1006" s="3">
        <v>-115440780548937</v>
      </c>
      <c r="E1006" s="3">
        <f>[1]!nefin_factors__1[[#This Row],[SMB]]/D1005-1</f>
        <v>-1.170482600573165</v>
      </c>
      <c r="F1006" s="3">
        <v>196035196492304</v>
      </c>
      <c r="G1006" s="3">
        <f>[1]!nefin_factors__1[[#This Row],[HML]]/F1005-1</f>
        <v>-0.24077750625588423</v>
      </c>
      <c r="H1006" s="3">
        <v>305815122715991</v>
      </c>
      <c r="I1006" s="4">
        <f>[1]!nefin_factors__1[[#This Row],[Risk_Free]]/H1005-1</f>
        <v>-1.2002390014712594E-3</v>
      </c>
      <c r="J1006">
        <v>73367</v>
      </c>
      <c r="K1006">
        <v>75133</v>
      </c>
      <c r="L1006">
        <v>73265</v>
      </c>
      <c r="M1006">
        <v>75133</v>
      </c>
      <c r="N1006">
        <v>3056400</v>
      </c>
      <c r="O1006">
        <v>75133</v>
      </c>
      <c r="P1006">
        <v>2.4070767511279002E-2</v>
      </c>
      <c r="Q1006">
        <v>2.3785633127139601E-2</v>
      </c>
      <c r="R1006" s="8">
        <v>38.901748657226598</v>
      </c>
      <c r="S1006" s="8">
        <v>3.05677017781576E-2</v>
      </c>
      <c r="T1006" s="9">
        <v>3.0109817179836799E-2</v>
      </c>
      <c r="U1006" s="12">
        <v>2.6481000000000001E-2</v>
      </c>
      <c r="V1006" s="16">
        <v>3.2810999999999999</v>
      </c>
      <c r="W1006" s="17">
        <f t="shared" si="15"/>
        <v>-2.4626048887268492E-3</v>
      </c>
    </row>
    <row r="1007" spans="1:23" x14ac:dyDescent="0.2">
      <c r="A1007" s="15">
        <v>43006</v>
      </c>
      <c r="B1007" s="5">
        <v>-316212925704495</v>
      </c>
      <c r="C1007" s="5">
        <f>[1]!nefin_factors__1[[#This Row],[Rm_minus_Rf]]/B1006-1</f>
        <v>-0.61170252218224452</v>
      </c>
      <c r="D1007" s="5">
        <v>-517513558381126</v>
      </c>
      <c r="E1007" s="5">
        <f>[1]!nefin_factors__1[[#This Row],[SMB]]/D1006-1</f>
        <v>3.4829353710212017</v>
      </c>
      <c r="F1007" s="5">
        <v>-317336376082382</v>
      </c>
      <c r="G1007" s="5">
        <f>[1]!nefin_factors__1[[#This Row],[HML]]/F1006-1</f>
        <v>-2.6187724539294148</v>
      </c>
      <c r="H1007" s="5">
        <v>306182615032125</v>
      </c>
      <c r="I1007" s="6">
        <f>[1]!nefin_factors__1[[#This Row],[Risk_Free]]/H1006-1</f>
        <v>1.2016813062423193E-3</v>
      </c>
      <c r="J1007">
        <v>75128</v>
      </c>
      <c r="K1007">
        <v>75227</v>
      </c>
      <c r="L1007">
        <v>74623</v>
      </c>
      <c r="M1007">
        <v>75187</v>
      </c>
      <c r="N1007">
        <v>1906900</v>
      </c>
      <c r="O1007">
        <v>75187</v>
      </c>
      <c r="P1007">
        <v>7.1872546018392203E-4</v>
      </c>
      <c r="Q1007">
        <v>7.1846730073013999E-4</v>
      </c>
      <c r="R1007" s="8">
        <v>38.638008117675803</v>
      </c>
      <c r="S1007" s="8">
        <v>-6.77969590542304E-3</v>
      </c>
      <c r="T1007" s="9">
        <v>-6.8027824493736098E-3</v>
      </c>
      <c r="U1007" s="12">
        <v>2.6481000000000001E-2</v>
      </c>
      <c r="V1007" s="16">
        <v>3.2845</v>
      </c>
      <c r="W1007" s="17">
        <f t="shared" si="15"/>
        <v>1.0362378470634148E-3</v>
      </c>
    </row>
    <row r="1008" spans="1:23" x14ac:dyDescent="0.2">
      <c r="A1008" s="14">
        <v>43007</v>
      </c>
      <c r="B1008" s="3">
        <v>936926162354203</v>
      </c>
      <c r="C1008" s="3">
        <f>[1]!nefin_factors__1[[#This Row],[Rm_minus_Rf]]/B1007-1</f>
        <v>-3.9629597217343746</v>
      </c>
      <c r="D1008" s="3">
        <v>151984679334613</v>
      </c>
      <c r="E1008" s="3">
        <f>[1]!nefin_factors__1[[#This Row],[SMB]]/D1007-1</f>
        <v>-1.2936825071985514</v>
      </c>
      <c r="F1008" s="3">
        <v>423172728138019</v>
      </c>
      <c r="G1008" s="3">
        <f>[1]!nefin_factors__1[[#This Row],[HML]]/F1007-1</f>
        <v>-2.333514718237538</v>
      </c>
      <c r="H1008" s="3">
        <v>306182615032125</v>
      </c>
      <c r="I1008" s="4">
        <f>[1]!nefin_factors__1[[#This Row],[Risk_Free]]/H1007-1</f>
        <v>0</v>
      </c>
      <c r="R1008" s="8">
        <v>38.638008117675803</v>
      </c>
      <c r="S1008" s="8">
        <v>0</v>
      </c>
      <c r="T1008" s="9">
        <v>0</v>
      </c>
      <c r="U1008" s="12">
        <v>2.6481000000000001E-2</v>
      </c>
      <c r="V1008" s="16">
        <v>3.3149000000000002</v>
      </c>
      <c r="W1008" s="17">
        <f t="shared" si="15"/>
        <v>9.2555944588217365E-3</v>
      </c>
    </row>
    <row r="1009" spans="1:23" x14ac:dyDescent="0.2">
      <c r="A1009" s="15">
        <v>43010</v>
      </c>
      <c r="B1009" s="5">
        <v>-494921654280809</v>
      </c>
      <c r="C1009" s="5">
        <f>[1]!nefin_factors__1[[#This Row],[Rm_minus_Rf]]/B1008-1</f>
        <v>-1.5282397633525626</v>
      </c>
      <c r="D1009" s="5">
        <v>292542061147743</v>
      </c>
      <c r="E1009" s="5">
        <f>[1]!nefin_factors__1[[#This Row],[SMB]]/D1008-1</f>
        <v>0.9248128326387135</v>
      </c>
      <c r="F1009" s="5">
        <v>469716769663596</v>
      </c>
      <c r="G1009" s="5">
        <f>[1]!nefin_factors__1[[#This Row],[HML]]/F1008-1</f>
        <v>0.10998828239800118</v>
      </c>
      <c r="H1009" s="5">
        <v>305815122715991</v>
      </c>
      <c r="I1009" s="6">
        <f>[1]!nefin_factors__1[[#This Row],[Risk_Free]]/H1008-1</f>
        <v>-1.2002390014712594E-3</v>
      </c>
      <c r="J1009">
        <v>75187</v>
      </c>
      <c r="K1009">
        <v>75758</v>
      </c>
      <c r="L1009">
        <v>74924</v>
      </c>
      <c r="M1009">
        <v>75688</v>
      </c>
      <c r="N1009">
        <v>1579700</v>
      </c>
      <c r="O1009">
        <v>75688</v>
      </c>
      <c r="R1009" s="8">
        <v>38.794605255127003</v>
      </c>
      <c r="S1009" s="8">
        <v>4.0529880449629001E-3</v>
      </c>
      <c r="T1009" s="9">
        <v>4.0447968140979503E-3</v>
      </c>
      <c r="U1009" s="12">
        <v>2.6481000000000001E-2</v>
      </c>
      <c r="V1009" s="16">
        <v>3.3035999999999999</v>
      </c>
      <c r="W1009" s="17">
        <f t="shared" si="15"/>
        <v>-3.4088509457299576E-3</v>
      </c>
    </row>
    <row r="1010" spans="1:23" x14ac:dyDescent="0.2">
      <c r="A1010" s="14">
        <v>43011</v>
      </c>
      <c r="B1010" s="3">
        <v>294152818607427</v>
      </c>
      <c r="C1010" s="3">
        <f>[1]!nefin_factors__1[[#This Row],[Rm_minus_Rf]]/B1009-1</f>
        <v>-1.5943421874213053</v>
      </c>
      <c r="D1010" s="3">
        <v>-705710645302723</v>
      </c>
      <c r="E1010" s="3">
        <f>[1]!nefin_factors__1[[#This Row],[SMB]]/D1009-1</f>
        <v>-3.4123390753930485</v>
      </c>
      <c r="F1010" s="3">
        <v>576404148068589</v>
      </c>
      <c r="G1010" s="3">
        <f>[1]!nefin_factors__1[[#This Row],[HML]]/F1009-1</f>
        <v>0.22713129548557709</v>
      </c>
      <c r="H1010" s="3">
        <v>304344814484381</v>
      </c>
      <c r="I1010" s="4">
        <f>[1]!nefin_factors__1[[#This Row],[Risk_Free]]/H1009-1</f>
        <v>-4.8078336301748958E-3</v>
      </c>
      <c r="J1010">
        <v>75708</v>
      </c>
      <c r="K1010">
        <v>76293</v>
      </c>
      <c r="L1010">
        <v>75708</v>
      </c>
      <c r="M1010">
        <v>76073</v>
      </c>
      <c r="N1010">
        <v>1792200</v>
      </c>
      <c r="O1010">
        <v>76073</v>
      </c>
      <c r="P1010">
        <v>5.0866715991966203E-3</v>
      </c>
      <c r="Q1010">
        <v>5.0737781897603803E-3</v>
      </c>
      <c r="R1010" s="8">
        <v>39.643520355224602</v>
      </c>
      <c r="S1010" s="8">
        <v>2.1882317364542801E-2</v>
      </c>
      <c r="T1010" s="9">
        <v>2.1646335801554902E-2</v>
      </c>
      <c r="U1010" s="12">
        <v>2.6481000000000001E-2</v>
      </c>
      <c r="V1010" s="16">
        <v>3.3332000000000002</v>
      </c>
      <c r="W1010" s="17">
        <f t="shared" si="15"/>
        <v>8.9599225087784173E-3</v>
      </c>
    </row>
    <row r="1011" spans="1:23" x14ac:dyDescent="0.2">
      <c r="A1011" s="15">
        <v>43012</v>
      </c>
      <c r="B1011" s="5">
        <v>-213322841020879</v>
      </c>
      <c r="C1011" s="5">
        <f>[1]!nefin_factors__1[[#This Row],[Rm_minus_Rf]]/B1010-1</f>
        <v>-1.7252109363792201</v>
      </c>
      <c r="D1011" s="5">
        <v>641169691038173</v>
      </c>
      <c r="E1011" s="5">
        <f>[1]!nefin_factors__1[[#This Row],[SMB]]/D1010-1</f>
        <v>-1.908544734737756</v>
      </c>
      <c r="F1011" s="5">
        <v>-763039809494822</v>
      </c>
      <c r="G1011" s="5">
        <f>[1]!nefin_factors__1[[#This Row],[HML]]/F1010-1</f>
        <v>-2.3237930574434804</v>
      </c>
      <c r="H1011" s="5">
        <v>303977152653179</v>
      </c>
      <c r="I1011" s="6">
        <f>[1]!nefin_factors__1[[#This Row],[Risk_Free]]/H1010-1</f>
        <v>-1.2080436850053777E-3</v>
      </c>
      <c r="J1011">
        <v>76077</v>
      </c>
      <c r="K1011">
        <v>76437</v>
      </c>
      <c r="L1011">
        <v>76077</v>
      </c>
      <c r="M1011">
        <v>76402</v>
      </c>
      <c r="N1011">
        <v>2083000</v>
      </c>
      <c r="O1011">
        <v>76402</v>
      </c>
      <c r="P1011">
        <v>4.3247932906549397E-3</v>
      </c>
      <c r="Q1011">
        <v>4.3154682484042098E-3</v>
      </c>
      <c r="R1011" s="8">
        <v>39.973194122314503</v>
      </c>
      <c r="S1011" s="8">
        <v>8.3159279976536792E-3</v>
      </c>
      <c r="T1011" s="9">
        <v>8.2815411757836306E-3</v>
      </c>
      <c r="U1011" s="12">
        <v>2.6481000000000001E-2</v>
      </c>
      <c r="V1011" s="16">
        <v>3.3182</v>
      </c>
      <c r="W1011" s="17">
        <f t="shared" si="15"/>
        <v>-4.5001800072003162E-3</v>
      </c>
    </row>
    <row r="1012" spans="1:23" x14ac:dyDescent="0.2">
      <c r="A1012" s="14">
        <v>43013</v>
      </c>
      <c r="B1012" s="3">
        <v>184743338430078</v>
      </c>
      <c r="C1012" s="3">
        <f>[1]!nefin_factors__1[[#This Row],[Rm_minus_Rf]]/B1011-1</f>
        <v>-1.8660269924494219</v>
      </c>
      <c r="D1012" s="3">
        <v>436038477756643</v>
      </c>
      <c r="E1012" s="3">
        <f>[1]!nefin_factors__1[[#This Row],[SMB]]/D1011-1</f>
        <v>-0.31993279805441899</v>
      </c>
      <c r="F1012" s="3">
        <v>-12060559396644</v>
      </c>
      <c r="G1012" s="3">
        <f>[1]!nefin_factors__1[[#This Row],[HML]]/F1011-1</f>
        <v>-0.98419406268641629</v>
      </c>
      <c r="H1012" s="3">
        <v>302506166048211</v>
      </c>
      <c r="I1012" s="4">
        <f>[1]!nefin_factors__1[[#This Row],[Risk_Free]]/H1011-1</f>
        <v>-4.8391354157011346E-3</v>
      </c>
      <c r="J1012">
        <v>76077</v>
      </c>
      <c r="K1012">
        <v>76437</v>
      </c>
      <c r="L1012">
        <v>76077</v>
      </c>
      <c r="M1012">
        <v>76402</v>
      </c>
      <c r="N1012">
        <v>0</v>
      </c>
      <c r="O1012">
        <v>76402</v>
      </c>
      <c r="P1012">
        <v>0</v>
      </c>
      <c r="Q1012">
        <v>0</v>
      </c>
      <c r="R1012" s="8">
        <v>39.973194122314503</v>
      </c>
      <c r="S1012" s="8">
        <v>0</v>
      </c>
      <c r="T1012" s="9">
        <v>0</v>
      </c>
      <c r="U1012" s="12">
        <v>2.6481000000000001E-2</v>
      </c>
      <c r="V1012" s="16">
        <v>3.2881</v>
      </c>
      <c r="W1012" s="17">
        <f t="shared" si="15"/>
        <v>-9.071183171599051E-3</v>
      </c>
    </row>
    <row r="1013" spans="1:23" x14ac:dyDescent="0.2">
      <c r="A1013" s="15">
        <v>43014</v>
      </c>
      <c r="B1013" s="5">
        <v>-714290886168576</v>
      </c>
      <c r="C1013" s="5">
        <f>[1]!nefin_factors__1[[#This Row],[Rm_minus_Rf]]/B1012-1</f>
        <v>-4.8663958995139742</v>
      </c>
      <c r="D1013" s="5">
        <v>518214053999947</v>
      </c>
      <c r="E1013" s="5">
        <f>[1]!nefin_factors__1[[#This Row],[SMB]]/D1012-1</f>
        <v>0.18845946042671713</v>
      </c>
      <c r="F1013" s="5">
        <v>289751415607224</v>
      </c>
      <c r="G1013" s="5">
        <f>[1]!nefin_factors__1[[#This Row],[HML]]/F1012-1</f>
        <v>-25.024707816442653</v>
      </c>
      <c r="H1013" s="5">
        <v>302138334545399</v>
      </c>
      <c r="I1013" s="6">
        <f>[1]!nefin_factors__1[[#This Row],[Risk_Free]]/H1012-1</f>
        <v>-1.2159471247055187E-3</v>
      </c>
      <c r="J1013">
        <v>76403</v>
      </c>
      <c r="K1013">
        <v>77909</v>
      </c>
      <c r="L1013">
        <v>76403</v>
      </c>
      <c r="M1013">
        <v>77891</v>
      </c>
      <c r="N1013">
        <v>2880300</v>
      </c>
      <c r="O1013">
        <v>77891</v>
      </c>
      <c r="P1013">
        <v>1.9489018612078201E-2</v>
      </c>
      <c r="Q1013">
        <v>1.93015396276995E-2</v>
      </c>
      <c r="R1013" s="8">
        <v>41.1105766296387</v>
      </c>
      <c r="S1013" s="8">
        <v>2.84537733031704E-2</v>
      </c>
      <c r="T1013" s="9">
        <v>2.80564833576348E-2</v>
      </c>
      <c r="U1013" s="12">
        <v>2.6481000000000001E-2</v>
      </c>
      <c r="V1013" s="16">
        <v>3.2883</v>
      </c>
      <c r="W1013" s="17">
        <f t="shared" si="15"/>
        <v>6.0825400687303244E-5</v>
      </c>
    </row>
    <row r="1014" spans="1:23" x14ac:dyDescent="0.2">
      <c r="A1014" s="14">
        <v>43017</v>
      </c>
      <c r="B1014" s="3">
        <v>-393018697022816</v>
      </c>
      <c r="C1014" s="3">
        <f>[1]!nefin_factors__1[[#This Row],[Rm_minus_Rf]]/B1013-1</f>
        <v>-0.44977780812667156</v>
      </c>
      <c r="D1014" s="3">
        <v>567711165598028</v>
      </c>
      <c r="E1014" s="3">
        <f>[1]!nefin_factors__1[[#This Row],[SMB]]/D1013-1</f>
        <v>9.5514799755095137E-2</v>
      </c>
      <c r="F1014" s="3">
        <v>208899547737905</v>
      </c>
      <c r="G1014" s="3">
        <f>[1]!nefin_factors__1[[#This Row],[HML]]/F1013-1</f>
        <v>-0.27903873290793069</v>
      </c>
      <c r="H1014" s="3">
        <v>299930632291945</v>
      </c>
      <c r="I1014" s="4">
        <f>[1]!nefin_factors__1[[#This Row],[Risk_Free]]/H1013-1</f>
        <v>-7.3069253419157931E-3</v>
      </c>
      <c r="J1014">
        <v>77889</v>
      </c>
      <c r="K1014">
        <v>78414</v>
      </c>
      <c r="L1014">
        <v>77602</v>
      </c>
      <c r="M1014">
        <v>77995</v>
      </c>
      <c r="N1014">
        <v>3142200</v>
      </c>
      <c r="O1014">
        <v>77995</v>
      </c>
      <c r="P1014">
        <v>1.33519918860969E-3</v>
      </c>
      <c r="Q1014">
        <v>1.3343086028245301E-3</v>
      </c>
      <c r="R1014" s="8">
        <v>40.8715629577637</v>
      </c>
      <c r="S1014" s="8">
        <v>-5.8140623360070096E-3</v>
      </c>
      <c r="T1014" s="9">
        <v>-5.8310297949699897E-3</v>
      </c>
      <c r="U1014" s="12">
        <v>2.6481000000000001E-2</v>
      </c>
      <c r="V1014" s="16">
        <v>3.2909000000000002</v>
      </c>
      <c r="W1014" s="17">
        <f t="shared" si="15"/>
        <v>7.9068211537891564E-4</v>
      </c>
    </row>
    <row r="1015" spans="1:23" x14ac:dyDescent="0.2">
      <c r="A1015" s="15">
        <v>43018</v>
      </c>
      <c r="B1015" s="5">
        <v>154832084940892</v>
      </c>
      <c r="C1015" s="5">
        <f>[1]!nefin_factors__1[[#This Row],[Rm_minus_Rf]]/B1014-1</f>
        <v>-1.393956028335984</v>
      </c>
      <c r="D1015" s="5">
        <v>64237607740263</v>
      </c>
      <c r="E1015" s="5">
        <f>[1]!nefin_factors__1[[#This Row],[SMB]]/D1014-1</f>
        <v>-0.88684808114951386</v>
      </c>
      <c r="F1015" s="5">
        <v>816945376066797</v>
      </c>
      <c r="G1015" s="5">
        <f>[1]!nefin_factors__1[[#This Row],[HML]]/F1014-1</f>
        <v>2.9107091657841897</v>
      </c>
      <c r="H1015" s="5">
        <v>298458151055447</v>
      </c>
      <c r="I1015" s="6">
        <f>[1]!nefin_factors__1[[#This Row],[Risk_Free]]/H1014-1</f>
        <v>-4.9094059691265901E-3</v>
      </c>
      <c r="J1015">
        <v>77998</v>
      </c>
      <c r="K1015">
        <v>79135</v>
      </c>
      <c r="L1015">
        <v>77998</v>
      </c>
      <c r="M1015">
        <v>78647</v>
      </c>
      <c r="N1015">
        <v>3486100</v>
      </c>
      <c r="O1015">
        <v>78647</v>
      </c>
      <c r="P1015">
        <v>8.3595102250144694E-3</v>
      </c>
      <c r="Q1015">
        <v>8.3247630314590999E-3</v>
      </c>
      <c r="R1015" s="8">
        <v>41.201236724853501</v>
      </c>
      <c r="S1015" s="8">
        <v>8.0660646934338498E-3</v>
      </c>
      <c r="T1015" s="9">
        <v>8.0337078719707206E-3</v>
      </c>
      <c r="U1015" s="12">
        <v>2.6481000000000001E-2</v>
      </c>
      <c r="V1015" s="16">
        <v>3.3045</v>
      </c>
      <c r="W1015" s="17">
        <f t="shared" si="15"/>
        <v>4.1326081011272553E-3</v>
      </c>
    </row>
    <row r="1016" spans="1:23" x14ac:dyDescent="0.2">
      <c r="A1016" s="14">
        <v>43019</v>
      </c>
      <c r="B1016" s="3">
        <v>-257979812388529</v>
      </c>
      <c r="C1016" s="3">
        <f>[1]!nefin_factors__1[[#This Row],[Rm_minus_Rf]]/B1015-1</f>
        <v>-2.66619090924865</v>
      </c>
      <c r="D1016" s="3">
        <v>-677684171735052</v>
      </c>
      <c r="E1016" s="3">
        <f>[1]!nefin_factors__1[[#This Row],[SMB]]/D1015-1</f>
        <v>-11.549648338013863</v>
      </c>
      <c r="F1016" s="3">
        <v>-182212907743475</v>
      </c>
      <c r="G1016" s="3">
        <f>[1]!nefin_factors__1[[#This Row],[HML]]/F1015-1</f>
        <v>-1.223041727245882</v>
      </c>
      <c r="H1016" s="3">
        <v>296985125561866</v>
      </c>
      <c r="I1016" s="4">
        <f>[1]!nefin_factors__1[[#This Row],[Risk_Free]]/H1015-1</f>
        <v>-4.9354507101645462E-3</v>
      </c>
      <c r="J1016">
        <v>78644</v>
      </c>
      <c r="K1016">
        <v>79071</v>
      </c>
      <c r="L1016">
        <v>78218</v>
      </c>
      <c r="M1016">
        <v>79071</v>
      </c>
      <c r="N1016">
        <v>2747100</v>
      </c>
      <c r="O1016">
        <v>79071</v>
      </c>
      <c r="P1016">
        <v>5.3911783030502498E-3</v>
      </c>
      <c r="Q1016">
        <v>5.3766979221980199E-3</v>
      </c>
      <c r="R1016" s="8">
        <v>40.995189666747997</v>
      </c>
      <c r="S1016" s="8">
        <v>-5.0010231874368901E-3</v>
      </c>
      <c r="T1016" s="9">
        <v>-5.0135701531553202E-3</v>
      </c>
      <c r="U1016" s="12">
        <v>2.6481000000000001E-2</v>
      </c>
      <c r="V1016" s="16">
        <v>3.3209</v>
      </c>
      <c r="W1016" s="17">
        <f t="shared" si="15"/>
        <v>4.9629293387805085E-3</v>
      </c>
    </row>
    <row r="1017" spans="1:23" x14ac:dyDescent="0.2">
      <c r="A1017" s="15">
        <v>43021</v>
      </c>
      <c r="B1017" s="5">
        <v>498033394315417</v>
      </c>
      <c r="C1017" s="5">
        <f>[1]!nefin_factors__1[[#This Row],[Rm_minus_Rf]]/B1016-1</f>
        <v>-2.9305130494682148</v>
      </c>
      <c r="D1017" s="5">
        <v>323009297947903</v>
      </c>
      <c r="E1017" s="5">
        <f>[1]!nefin_factors__1[[#This Row],[SMB]]/D1016-1</f>
        <v>-1.4766369223600326</v>
      </c>
      <c r="F1017" s="5">
        <v>363892454312061</v>
      </c>
      <c r="G1017" s="5">
        <f>[1]!nefin_factors__1[[#This Row],[HML]]/F1016-1</f>
        <v>-2.9970728683192966</v>
      </c>
      <c r="H1017" s="5">
        <v>295879999030246</v>
      </c>
      <c r="I1017" s="6">
        <f>[1]!nefin_factors__1[[#This Row],[Risk_Free]]/H1016-1</f>
        <v>-3.7211511166735933E-3</v>
      </c>
      <c r="J1017">
        <v>79070</v>
      </c>
      <c r="K1017">
        <v>79395</v>
      </c>
      <c r="L1017">
        <v>78631</v>
      </c>
      <c r="M1017">
        <v>79379</v>
      </c>
      <c r="N1017">
        <v>2550800</v>
      </c>
      <c r="O1017">
        <v>79379</v>
      </c>
      <c r="P1017">
        <v>3.89523339783238E-3</v>
      </c>
      <c r="Q1017">
        <v>3.88766661943411E-3</v>
      </c>
      <c r="R1017" s="8">
        <v>40.822109222412102</v>
      </c>
      <c r="S1017" s="8">
        <v>-4.2217954027906597E-3</v>
      </c>
      <c r="T1017" s="9">
        <v>-4.2307323431606701E-3</v>
      </c>
      <c r="U1017" s="12">
        <v>2.6481000000000001E-2</v>
      </c>
      <c r="V1017" s="16">
        <v>3.32</v>
      </c>
      <c r="W1017" s="17">
        <f t="shared" si="15"/>
        <v>-2.7101087054715034E-4</v>
      </c>
    </row>
    <row r="1018" spans="1:23" x14ac:dyDescent="0.2">
      <c r="A1018" s="14">
        <v>43024</v>
      </c>
      <c r="B1018" s="3">
        <v>-327575706873221</v>
      </c>
      <c r="C1018" s="3">
        <f>[1]!nefin_factors__1[[#This Row],[Rm_minus_Rf]]/B1017-1</f>
        <v>-1.6577384380489135</v>
      </c>
      <c r="D1018" s="3">
        <v>-631997935675619</v>
      </c>
      <c r="E1018" s="3">
        <f>[1]!nefin_factors__1[[#This Row],[SMB]]/D1017-1</f>
        <v>-2.9565936327243176</v>
      </c>
      <c r="F1018" s="3">
        <v>179660239219692</v>
      </c>
      <c r="G1018" s="3">
        <f>[1]!nefin_factors__1[[#This Row],[HML]]/F1017-1</f>
        <v>-0.50628204270039112</v>
      </c>
      <c r="H1018" s="3">
        <v>294037440189632</v>
      </c>
      <c r="I1018" s="4">
        <f>[1]!nefin_factors__1[[#This Row],[Risk_Free]]/H1017-1</f>
        <v>-6.2273855841997738E-3</v>
      </c>
      <c r="J1018">
        <v>79379</v>
      </c>
      <c r="K1018">
        <v>79415</v>
      </c>
      <c r="L1018">
        <v>78699</v>
      </c>
      <c r="M1018">
        <v>78864</v>
      </c>
      <c r="N1018">
        <v>3458600</v>
      </c>
      <c r="O1018">
        <v>78864</v>
      </c>
      <c r="P1018">
        <v>-6.4878620290000901E-3</v>
      </c>
      <c r="Q1018">
        <v>-6.5089996809012604E-3</v>
      </c>
      <c r="R1018" s="8">
        <v>41.275413513183601</v>
      </c>
      <c r="S1018" s="8">
        <v>1.11042973994686E-2</v>
      </c>
      <c r="T1018" s="9">
        <v>1.1043097328188501E-2</v>
      </c>
      <c r="U1018" s="12">
        <v>2.6481000000000001E-2</v>
      </c>
      <c r="V1018" s="16">
        <v>3.3031000000000001</v>
      </c>
      <c r="W1018" s="17">
        <f t="shared" si="15"/>
        <v>-5.0903614457830093E-3</v>
      </c>
    </row>
    <row r="1019" spans="1:23" x14ac:dyDescent="0.2">
      <c r="A1019" s="15">
        <v>43025</v>
      </c>
      <c r="B1019" s="5">
        <v>-946441094728846</v>
      </c>
      <c r="C1019" s="5">
        <f>[1]!nefin_factors__1[[#This Row],[Rm_minus_Rf]]/B1018-1</f>
        <v>1.8892285809678175</v>
      </c>
      <c r="D1019" s="5">
        <v>-262434840930419</v>
      </c>
      <c r="E1019" s="5">
        <f>[1]!nefin_factors__1[[#This Row],[SMB]]/D1018-1</f>
        <v>-0.58475364219367165</v>
      </c>
      <c r="F1019" s="5">
        <v>-149022931856557</v>
      </c>
      <c r="G1019" s="5">
        <f>[1]!nefin_factors__1[[#This Row],[HML]]/F1018-1</f>
        <v>-1.8294708528932153</v>
      </c>
      <c r="H1019" s="5">
        <v>292931495834425</v>
      </c>
      <c r="I1019" s="6">
        <f>[1]!nefin_factors__1[[#This Row],[Risk_Free]]/H1018-1</f>
        <v>-3.7612365095198719E-3</v>
      </c>
      <c r="J1019">
        <v>78864</v>
      </c>
      <c r="K1019">
        <v>78864</v>
      </c>
      <c r="L1019">
        <v>78164</v>
      </c>
      <c r="M1019">
        <v>78201</v>
      </c>
      <c r="N1019">
        <v>2759900</v>
      </c>
      <c r="O1019">
        <v>78201</v>
      </c>
      <c r="P1019">
        <v>-8.4068776628118992E-3</v>
      </c>
      <c r="Q1019">
        <v>-8.4424147697336003E-3</v>
      </c>
      <c r="R1019" s="8">
        <v>41.291896820068402</v>
      </c>
      <c r="S1019" s="8">
        <v>3.9931009762939101E-4</v>
      </c>
      <c r="T1019" s="9">
        <v>3.9923039456914199E-4</v>
      </c>
      <c r="U1019" s="12">
        <v>2.6481000000000001E-2</v>
      </c>
      <c r="V1019" s="16">
        <v>3.3079999999999998</v>
      </c>
      <c r="W1019" s="17">
        <f t="shared" si="15"/>
        <v>1.4834549362718885E-3</v>
      </c>
    </row>
    <row r="1020" spans="1:23" x14ac:dyDescent="0.2">
      <c r="A1020" s="14">
        <v>43026</v>
      </c>
      <c r="B1020" s="3">
        <v>47972794915563</v>
      </c>
      <c r="C1020" s="3">
        <f>[1]!nefin_factors__1[[#This Row],[Rm_minus_Rf]]/B1019-1</f>
        <v>-1.050687565430902</v>
      </c>
      <c r="D1020" s="3">
        <v>712261350223711</v>
      </c>
      <c r="E1020" s="3">
        <f>[1]!nefin_factors__1[[#This Row],[SMB]]/D1019-1</f>
        <v>-3.7140502674816616</v>
      </c>
      <c r="F1020" s="3">
        <v>-133951311322214</v>
      </c>
      <c r="G1020" s="3">
        <f>[1]!nefin_factors__1[[#This Row],[HML]]/F1019-1</f>
        <v>-0.10113625028428708</v>
      </c>
      <c r="H1020" s="3">
        <v>291456425780989</v>
      </c>
      <c r="I1020" s="4">
        <f>[1]!nefin_factors__1[[#This Row],[Risk_Free]]/H1019-1</f>
        <v>-5.0355461068951612E-3</v>
      </c>
      <c r="J1020">
        <v>78201</v>
      </c>
      <c r="K1020">
        <v>79365</v>
      </c>
      <c r="L1020">
        <v>78201</v>
      </c>
      <c r="M1020">
        <v>79365</v>
      </c>
      <c r="N1020">
        <v>3409400</v>
      </c>
      <c r="O1020">
        <v>79365</v>
      </c>
      <c r="P1020">
        <v>1.4884720144243699E-2</v>
      </c>
      <c r="Q1020">
        <v>1.47750298309164E-2</v>
      </c>
      <c r="R1020" s="8">
        <v>41.703994750976598</v>
      </c>
      <c r="S1020" s="8">
        <v>9.9801799077698893E-3</v>
      </c>
      <c r="T1020" s="9">
        <v>9.9307068069245698E-3</v>
      </c>
      <c r="U1020" s="12">
        <v>2.6481000000000001E-2</v>
      </c>
      <c r="V1020" s="16">
        <v>3.3079999999999998</v>
      </c>
      <c r="W1020" s="17">
        <f t="shared" si="15"/>
        <v>0</v>
      </c>
    </row>
    <row r="1021" spans="1:23" x14ac:dyDescent="0.2">
      <c r="A1021" s="15">
        <v>43027</v>
      </c>
      <c r="B1021" s="5">
        <v>-238543091290757</v>
      </c>
      <c r="C1021" s="5">
        <f>[1]!nefin_factors__1[[#This Row],[Rm_minus_Rf]]/B1020-1</f>
        <v>-5.9724659926655743</v>
      </c>
      <c r="D1021" s="5">
        <v>-330234842243112</v>
      </c>
      <c r="E1021" s="5">
        <f>[1]!nefin_factors__1[[#This Row],[SMB]]/D1020-1</f>
        <v>-1.4636427936731229</v>
      </c>
      <c r="F1021" s="5">
        <v>-134119424024913</v>
      </c>
      <c r="G1021" s="5">
        <f>[1]!nefin_factors__1[[#This Row],[HML]]/F1020-1</f>
        <v>1.2550284206969131E-3</v>
      </c>
      <c r="H1021" s="5">
        <v>289980809550672</v>
      </c>
      <c r="I1021" s="6">
        <f>[1]!nefin_factors__1[[#This Row],[Risk_Free]]/H1020-1</f>
        <v>-5.0629051199091446E-3</v>
      </c>
      <c r="J1021">
        <v>79365</v>
      </c>
      <c r="K1021">
        <v>79440</v>
      </c>
      <c r="L1021">
        <v>78861</v>
      </c>
      <c r="M1021">
        <v>79349</v>
      </c>
      <c r="N1021">
        <v>3577800</v>
      </c>
      <c r="O1021">
        <v>79349</v>
      </c>
      <c r="P1021">
        <v>-2.01600201600205E-4</v>
      </c>
      <c r="Q1021">
        <v>-2.0162052565244899E-4</v>
      </c>
      <c r="R1021" s="8">
        <v>41.308380126953097</v>
      </c>
      <c r="S1021" s="8">
        <v>-9.4862604695928904E-3</v>
      </c>
      <c r="T1021" s="9">
        <v>-9.5315416319056209E-3</v>
      </c>
      <c r="U1021" s="12">
        <v>2.6481000000000001E-2</v>
      </c>
      <c r="V1021" s="16">
        <v>3.2696999999999998</v>
      </c>
      <c r="W1021" s="17">
        <f t="shared" si="15"/>
        <v>-1.1577992744860932E-2</v>
      </c>
    </row>
    <row r="1022" spans="1:23" x14ac:dyDescent="0.2">
      <c r="A1022" s="14">
        <v>43028</v>
      </c>
      <c r="B1022" s="3">
        <v>109835523352771</v>
      </c>
      <c r="C1022" s="3">
        <f>[1]!nefin_factors__1[[#This Row],[Rm_minus_Rf]]/B1021-1</f>
        <v>-1.4604431122211539</v>
      </c>
      <c r="D1022" s="3">
        <v>-311189770361311</v>
      </c>
      <c r="E1022" s="3">
        <f>[1]!nefin_factors__1[[#This Row],[SMB]]/D1021-1</f>
        <v>-5.7671297651204267E-2</v>
      </c>
      <c r="F1022" s="3">
        <v>-1542857315.9871199</v>
      </c>
      <c r="G1022" s="3">
        <f>[1]!nefin_factors__1[[#This Row],[HML]]/F1021-1</f>
        <v>-0.99998849639172549</v>
      </c>
      <c r="H1022" s="3">
        <v>289242796492672</v>
      </c>
      <c r="I1022" s="4">
        <f>[1]!nefin_factors__1[[#This Row],[Risk_Free]]/H1021-1</f>
        <v>-2.5450410292444658E-3</v>
      </c>
      <c r="J1022">
        <v>79349</v>
      </c>
      <c r="K1022">
        <v>79847</v>
      </c>
      <c r="L1022">
        <v>79349</v>
      </c>
      <c r="M1022">
        <v>79752</v>
      </c>
      <c r="N1022">
        <v>1941000</v>
      </c>
      <c r="O1022">
        <v>79752</v>
      </c>
      <c r="P1022">
        <v>5.0788289707495203E-3</v>
      </c>
      <c r="Q1022">
        <v>5.0659752218505999E-3</v>
      </c>
      <c r="R1022" s="8">
        <v>41.291896820068402</v>
      </c>
      <c r="S1022" s="8">
        <v>-3.9908551919931601E-4</v>
      </c>
      <c r="T1022" s="9">
        <v>-3.9916517501882798E-4</v>
      </c>
      <c r="U1022" s="12">
        <v>2.6481000000000001E-2</v>
      </c>
      <c r="V1022" s="16">
        <v>3.2534999999999998</v>
      </c>
      <c r="W1022" s="17">
        <f t="shared" si="15"/>
        <v>-4.9545829892650994E-3</v>
      </c>
    </row>
    <row r="1023" spans="1:23" x14ac:dyDescent="0.2">
      <c r="A1023" s="15">
        <v>43031</v>
      </c>
      <c r="B1023" s="5">
        <v>-128441391544062</v>
      </c>
      <c r="C1023" s="5">
        <f>[1]!nefin_factors__1[[#This Row],[Rm_minus_Rf]]/B1022-1</f>
        <v>-2.1693975466528479</v>
      </c>
      <c r="D1023" s="5">
        <v>-421745945630539</v>
      </c>
      <c r="E1023" s="5">
        <f>[1]!nefin_factors__1[[#This Row],[SMB]]/D1022-1</f>
        <v>0.35526931088019142</v>
      </c>
      <c r="F1023" s="5">
        <v>-263900364278494</v>
      </c>
      <c r="G1023" s="5">
        <f>[1]!nefin_factors__1[[#This Row],[HML]]/F1022-1</f>
        <v>171045.51320893571</v>
      </c>
      <c r="H1023" s="5">
        <v>287397165690262</v>
      </c>
      <c r="I1023" s="6">
        <f>[1]!nefin_factors__1[[#This Row],[Risk_Free]]/H1022-1</f>
        <v>-6.3809049863641221E-3</v>
      </c>
      <c r="J1023">
        <v>79751</v>
      </c>
      <c r="K1023">
        <v>80246</v>
      </c>
      <c r="L1023">
        <v>79668</v>
      </c>
      <c r="M1023">
        <v>79832</v>
      </c>
      <c r="N1023">
        <v>2982500</v>
      </c>
      <c r="O1023">
        <v>79832</v>
      </c>
      <c r="P1023">
        <v>1.0031096398836999E-3</v>
      </c>
      <c r="Q1023">
        <v>1.00260686160862E-3</v>
      </c>
      <c r="R1023" s="8">
        <v>41.613330841064503</v>
      </c>
      <c r="S1023" s="8">
        <v>7.7844744305370899E-3</v>
      </c>
      <c r="T1023" s="9">
        <v>7.7543317384100802E-3</v>
      </c>
      <c r="U1023" s="12">
        <v>2.6481000000000001E-2</v>
      </c>
      <c r="V1023" s="16">
        <v>3.2317999999999998</v>
      </c>
      <c r="W1023" s="17">
        <f t="shared" si="15"/>
        <v>-6.6697402796987992E-3</v>
      </c>
    </row>
    <row r="1024" spans="1:23" x14ac:dyDescent="0.2">
      <c r="A1024" s="14">
        <v>43032</v>
      </c>
      <c r="B1024" s="3">
        <v>107454907328891</v>
      </c>
      <c r="C1024" s="3">
        <f>[1]!nefin_factors__1[[#This Row],[Rm_minus_Rf]]/B1023-1</f>
        <v>-1.8366065334322421</v>
      </c>
      <c r="D1024" s="3">
        <v>-233450538551374</v>
      </c>
      <c r="E1024" s="3">
        <f>[1]!nefin_factors__1[[#This Row],[SMB]]/D1023-1</f>
        <v>-0.4464664308690639</v>
      </c>
      <c r="F1024" s="3">
        <v>279667554588781</v>
      </c>
      <c r="G1024" s="3">
        <f>[1]!nefin_factors__1[[#This Row],[HML]]/F1023-1</f>
        <v>-2.0597467546261052</v>
      </c>
      <c r="H1024" s="3">
        <v>285920045382193</v>
      </c>
      <c r="I1024" s="4">
        <f>[1]!nefin_factors__1[[#This Row],[Risk_Free]]/H1023-1</f>
        <v>-5.1396481399574867E-3</v>
      </c>
      <c r="J1024">
        <v>79832</v>
      </c>
      <c r="K1024">
        <v>81189</v>
      </c>
      <c r="L1024">
        <v>79828</v>
      </c>
      <c r="M1024">
        <v>81189</v>
      </c>
      <c r="N1024">
        <v>3341200</v>
      </c>
      <c r="O1024">
        <v>81189</v>
      </c>
      <c r="P1024">
        <v>1.6998196212045302E-2</v>
      </c>
      <c r="Q1024">
        <v>1.6855343428709701E-2</v>
      </c>
      <c r="R1024" s="8">
        <v>41.868831634521499</v>
      </c>
      <c r="S1024" s="8">
        <v>6.1399809158968503E-3</v>
      </c>
      <c r="T1024" s="9">
        <v>6.1212080372941204E-3</v>
      </c>
      <c r="U1024" s="12">
        <v>2.6481000000000001E-2</v>
      </c>
      <c r="V1024" s="16">
        <v>3.2408999999999999</v>
      </c>
      <c r="W1024" s="17">
        <f t="shared" si="15"/>
        <v>2.8157683024940816E-3</v>
      </c>
    </row>
    <row r="1025" spans="1:23" x14ac:dyDescent="0.2">
      <c r="A1025" s="15">
        <v>43033</v>
      </c>
      <c r="B1025" s="5">
        <v>241399197301445</v>
      </c>
      <c r="C1025" s="5">
        <f>[1]!nefin_factors__1[[#This Row],[Rm_minus_Rf]]/B1024-1</f>
        <v>1.2465162671685714</v>
      </c>
      <c r="D1025" s="5">
        <v>-208793498637779</v>
      </c>
      <c r="E1025" s="5">
        <f>[1]!nefin_factors__1[[#This Row],[SMB]]/D1024-1</f>
        <v>-0.10561997443483673</v>
      </c>
      <c r="F1025" s="5">
        <v>-335252929033896</v>
      </c>
      <c r="G1025" s="5">
        <f>[1]!nefin_factors__1[[#This Row],[HML]]/F1024-1</f>
        <v>-2.1987551774707899</v>
      </c>
      <c r="H1025" s="5">
        <v>284442377374461</v>
      </c>
      <c r="I1025" s="6">
        <f>[1]!nefin_factors__1[[#This Row],[Risk_Free]]/H1024-1</f>
        <v>-5.1681161625334315E-3</v>
      </c>
      <c r="J1025">
        <v>81185</v>
      </c>
      <c r="K1025">
        <v>81367</v>
      </c>
      <c r="L1025">
        <v>80498</v>
      </c>
      <c r="M1025">
        <v>80963</v>
      </c>
      <c r="N1025">
        <v>3429600</v>
      </c>
      <c r="O1025">
        <v>80963</v>
      </c>
      <c r="P1025">
        <v>-2.7836283240339999E-3</v>
      </c>
      <c r="Q1025">
        <v>-2.7875098221292601E-3</v>
      </c>
      <c r="R1025" s="8">
        <v>42.033668518066399</v>
      </c>
      <c r="S1025" s="8">
        <v>3.9368766522993601E-3</v>
      </c>
      <c r="T1025" s="9">
        <v>3.9291474327595999E-3</v>
      </c>
      <c r="U1025" s="12">
        <v>2.6481000000000001E-2</v>
      </c>
      <c r="V1025" s="16">
        <v>3.2357</v>
      </c>
      <c r="W1025" s="17">
        <f t="shared" si="15"/>
        <v>-1.6044925792217946E-3</v>
      </c>
    </row>
    <row r="1026" spans="1:23" x14ac:dyDescent="0.2">
      <c r="A1026" s="14">
        <v>43034</v>
      </c>
      <c r="B1026" s="3">
        <v>-880573804898472</v>
      </c>
      <c r="C1026" s="3">
        <f>[1]!nefin_factors__1[[#This Row],[Rm_minus_Rf]]/B1025-1</f>
        <v>-4.6477909402443611</v>
      </c>
      <c r="D1026" s="3">
        <v>-519409698557474</v>
      </c>
      <c r="E1026" s="3">
        <f>[1]!nefin_factors__1[[#This Row],[SMB]]/D1025-1</f>
        <v>1.4876717998703635</v>
      </c>
      <c r="F1026" s="3">
        <v>491211133605892</v>
      </c>
      <c r="G1026" s="3">
        <f>[1]!nefin_factors__1[[#This Row],[HML]]/F1025-1</f>
        <v>-2.4651956510012409</v>
      </c>
      <c r="H1026" s="3">
        <v>28296416126028</v>
      </c>
      <c r="I1026" s="4">
        <f>[1]!nefin_factors__1[[#This Row],[Risk_Free]]/H1025-1</f>
        <v>-0.90051968912924496</v>
      </c>
      <c r="J1026">
        <v>80965</v>
      </c>
      <c r="K1026">
        <v>81429</v>
      </c>
      <c r="L1026">
        <v>80854</v>
      </c>
      <c r="M1026">
        <v>81220</v>
      </c>
      <c r="N1026">
        <v>3123200</v>
      </c>
      <c r="O1026">
        <v>81220</v>
      </c>
      <c r="P1026">
        <v>3.1742894902608799E-3</v>
      </c>
      <c r="Q1026">
        <v>3.16926206955984E-3</v>
      </c>
      <c r="R1026" s="8">
        <v>42.041912078857401</v>
      </c>
      <c r="S1026" s="8">
        <v>1.96145904069356E-4</v>
      </c>
      <c r="T1026" s="9">
        <v>1.9612666997659899E-4</v>
      </c>
      <c r="U1026" s="12">
        <v>2.6481000000000001E-2</v>
      </c>
      <c r="V1026" s="16">
        <v>3.2397</v>
      </c>
      <c r="W1026" s="17">
        <f t="shared" si="15"/>
        <v>1.2362085483821339E-3</v>
      </c>
    </row>
    <row r="1027" spans="1:23" x14ac:dyDescent="0.2">
      <c r="A1027" s="15">
        <v>43035</v>
      </c>
      <c r="B1027" s="5">
        <v>-568885156621799</v>
      </c>
      <c r="C1027" s="5">
        <f>[1]!nefin_factors__1[[#This Row],[Rm_minus_Rf]]/B1026-1</f>
        <v>-0.35396084523841809</v>
      </c>
      <c r="D1027" s="5">
        <v>114848149163675</v>
      </c>
      <c r="E1027" s="5">
        <f>[1]!nefin_factors__1[[#This Row],[SMB]]/D1026-1</f>
        <v>-1.2211128315136124</v>
      </c>
      <c r="F1027" s="5">
        <v>-889241078542638</v>
      </c>
      <c r="G1027" s="5">
        <f>[1]!nefin_factors__1[[#This Row],[HML]]/F1026-1</f>
        <v>-2.8103031826963698</v>
      </c>
      <c r="H1027" s="5">
        <v>28296416126028</v>
      </c>
      <c r="I1027" s="6">
        <f>[1]!nefin_factors__1[[#This Row],[Risk_Free]]/H1026-1</f>
        <v>0</v>
      </c>
      <c r="J1027">
        <v>81220</v>
      </c>
      <c r="K1027">
        <v>81675</v>
      </c>
      <c r="L1027">
        <v>80923</v>
      </c>
      <c r="M1027">
        <v>81675</v>
      </c>
      <c r="N1027">
        <v>2693000</v>
      </c>
      <c r="O1027">
        <v>81675</v>
      </c>
      <c r="P1027">
        <v>5.6020684560453803E-3</v>
      </c>
      <c r="Q1027">
        <v>5.5864352289822002E-3</v>
      </c>
      <c r="R1027" s="8">
        <v>41.621574401855497</v>
      </c>
      <c r="S1027" s="8">
        <v>-9.9980583421940307E-3</v>
      </c>
      <c r="T1027" s="9">
        <v>-1.0048374584913601E-2</v>
      </c>
      <c r="U1027" s="12">
        <v>2.6481000000000001E-2</v>
      </c>
      <c r="V1027" s="16">
        <v>3.2467000000000001</v>
      </c>
      <c r="W1027" s="17">
        <f t="shared" si="15"/>
        <v>2.1606938914098262E-3</v>
      </c>
    </row>
    <row r="1028" spans="1:23" x14ac:dyDescent="0.2">
      <c r="A1028" s="14">
        <v>43038</v>
      </c>
      <c r="B1028" s="3">
        <v>-147542128076409</v>
      </c>
      <c r="C1028" s="3">
        <f>[1]!nefin_factors__1[[#This Row],[Rm_minus_Rf]]/B1027-1</f>
        <v>-0.74064690147207235</v>
      </c>
      <c r="D1028" s="3">
        <v>-316205790531313</v>
      </c>
      <c r="E1028" s="3">
        <f>[1]!nefin_factors__1[[#This Row],[SMB]]/D1027-1</f>
        <v>-3.7532510783493307</v>
      </c>
      <c r="F1028" s="3">
        <v>-997243806346899</v>
      </c>
      <c r="G1028" s="3">
        <f>[1]!nefin_factors__1[[#This Row],[HML]]/F1027-1</f>
        <v>0.12145494670721324</v>
      </c>
      <c r="H1028" s="3">
        <v>28296416126028</v>
      </c>
      <c r="I1028" s="4">
        <f>[1]!nefin_factors__1[[#This Row],[Risk_Free]]/H1027-1</f>
        <v>0</v>
      </c>
      <c r="J1028">
        <v>81676</v>
      </c>
      <c r="K1028">
        <v>81676</v>
      </c>
      <c r="L1028">
        <v>80524</v>
      </c>
      <c r="M1028">
        <v>80678</v>
      </c>
      <c r="N1028">
        <v>3711200</v>
      </c>
      <c r="O1028">
        <v>80678</v>
      </c>
      <c r="P1028">
        <v>-1.2206917661463101E-2</v>
      </c>
      <c r="Q1028">
        <v>-1.2282033999408601E-2</v>
      </c>
      <c r="R1028" s="8">
        <v>41.506187438964801</v>
      </c>
      <c r="S1028" s="8">
        <v>-2.7722971270431902E-3</v>
      </c>
      <c r="T1028" s="9">
        <v>-2.7761470598081299E-3</v>
      </c>
      <c r="U1028" s="12">
        <v>2.6481000000000001E-2</v>
      </c>
      <c r="V1028" s="16">
        <v>3.2301000000000002</v>
      </c>
      <c r="W1028" s="17">
        <f t="shared" ref="W1028:W1091" si="16">V1028/V1027-1</f>
        <v>-5.112883851295158E-3</v>
      </c>
    </row>
    <row r="1029" spans="1:23" x14ac:dyDescent="0.2">
      <c r="A1029" s="15">
        <v>43039</v>
      </c>
      <c r="B1029" s="5">
        <v>-592920732331234</v>
      </c>
      <c r="C1029" s="5">
        <f>[1]!nefin_factors__1[[#This Row],[Rm_minus_Rf]]/B1028-1</f>
        <v>3.0186537910322988</v>
      </c>
      <c r="D1029" s="5">
        <v>151607503237187</v>
      </c>
      <c r="E1029" s="5">
        <f>[1]!nefin_factors__1[[#This Row],[SMB]]/D1028-1</f>
        <v>-1.4794583394012</v>
      </c>
      <c r="F1029" s="5">
        <v>-163881684205103</v>
      </c>
      <c r="G1029" s="5">
        <f>[1]!nefin_factors__1[[#This Row],[HML]]/F1028-1</f>
        <v>-0.8356653777520725</v>
      </c>
      <c r="H1029" s="5">
        <v>28296416126028</v>
      </c>
      <c r="I1029" s="6">
        <f>[1]!nefin_factors__1[[#This Row],[Risk_Free]]/H1028-1</f>
        <v>0</v>
      </c>
      <c r="J1029">
        <v>80679</v>
      </c>
      <c r="K1029">
        <v>83680</v>
      </c>
      <c r="L1029">
        <v>80679</v>
      </c>
      <c r="M1029">
        <v>83680</v>
      </c>
      <c r="N1029">
        <v>5503700</v>
      </c>
      <c r="O1029">
        <v>83680</v>
      </c>
      <c r="P1029">
        <v>3.7209648231240303E-2</v>
      </c>
      <c r="Q1029">
        <v>3.6534076828887603E-2</v>
      </c>
      <c r="R1029" s="8">
        <v>43.154567718505902</v>
      </c>
      <c r="S1029" s="8">
        <v>3.9714050296684199E-2</v>
      </c>
      <c r="T1029" s="9">
        <v>3.8945723709346E-2</v>
      </c>
      <c r="U1029" s="12">
        <v>2.6481000000000001E-2</v>
      </c>
      <c r="V1029" s="16">
        <v>3.2197</v>
      </c>
      <c r="W1029" s="17">
        <f t="shared" si="16"/>
        <v>-3.2197145599207611E-3</v>
      </c>
    </row>
    <row r="1030" spans="1:23" x14ac:dyDescent="0.2">
      <c r="A1030" s="14">
        <v>43040</v>
      </c>
      <c r="B1030" s="3">
        <v>-573347493481251</v>
      </c>
      <c r="C1030" s="3">
        <f>[1]!nefin_factors__1[[#This Row],[Rm_minus_Rf]]/B1029-1</f>
        <v>-3.3011560875979673E-2</v>
      </c>
      <c r="D1030" s="3">
        <v>128595961818094</v>
      </c>
      <c r="E1030" s="3">
        <f>[1]!nefin_factors__1[[#This Row],[SMB]]/D1029-1</f>
        <v>-0.15178365798354909</v>
      </c>
      <c r="F1030" s="3">
        <v>440272906534829</v>
      </c>
      <c r="G1030" s="3">
        <f>[1]!nefin_factors__1[[#This Row],[HML]]/F1029-1</f>
        <v>-3.6865290570471183</v>
      </c>
      <c r="H1030" s="3">
        <v>28296416126028</v>
      </c>
      <c r="I1030" s="4">
        <f>[1]!nefin_factors__1[[#This Row],[Risk_Free]]/H1029-1</f>
        <v>0</v>
      </c>
      <c r="R1030" s="8">
        <v>43.154567718505902</v>
      </c>
      <c r="S1030" s="8">
        <v>0</v>
      </c>
      <c r="T1030" s="9">
        <v>0</v>
      </c>
      <c r="U1030" s="12">
        <v>2.6481000000000001E-2</v>
      </c>
      <c r="V1030" s="16">
        <v>3.1962999999999999</v>
      </c>
      <c r="W1030" s="17">
        <f t="shared" si="16"/>
        <v>-7.2677578656397124E-3</v>
      </c>
    </row>
    <row r="1031" spans="1:23" x14ac:dyDescent="0.2">
      <c r="A1031" s="15">
        <v>43042</v>
      </c>
      <c r="B1031" s="5">
        <v>-14636930396556</v>
      </c>
      <c r="C1031" s="5">
        <f>[1]!nefin_factors__1[[#This Row],[Rm_minus_Rf]]/B1030-1</f>
        <v>-0.97447110074959342</v>
      </c>
      <c r="D1031" s="5">
        <v>-66344848407223</v>
      </c>
      <c r="E1031" s="5">
        <f>[1]!nefin_factors__1[[#This Row],[SMB]]/D1030-1</f>
        <v>-1.51591704334442</v>
      </c>
      <c r="F1031" s="5">
        <v>689063978586081</v>
      </c>
      <c r="G1031" s="5">
        <f>[1]!nefin_factors__1[[#This Row],[HML]]/F1030-1</f>
        <v>0.5650837659063872</v>
      </c>
      <c r="H1031" s="5">
        <v>282224847535817</v>
      </c>
      <c r="I1031" s="6">
        <f>[1]!nefin_factors__1[[#This Row],[Risk_Free]]/H1030-1</f>
        <v>8.9738725313774648</v>
      </c>
      <c r="J1031">
        <v>83680</v>
      </c>
      <c r="K1031">
        <v>85531</v>
      </c>
      <c r="L1031">
        <v>83680</v>
      </c>
      <c r="M1031">
        <v>85531</v>
      </c>
      <c r="N1031">
        <v>5410600</v>
      </c>
      <c r="O1031">
        <v>85531</v>
      </c>
      <c r="R1031" s="8">
        <v>44.786460876464801</v>
      </c>
      <c r="S1031" s="8">
        <v>3.78150768492422E-2</v>
      </c>
      <c r="T1031" s="9">
        <v>3.7117615548078901E-2</v>
      </c>
      <c r="U1031" s="12">
        <v>2.6481000000000001E-2</v>
      </c>
      <c r="V1031" s="16">
        <v>3.2219000000000002</v>
      </c>
      <c r="W1031" s="17">
        <f t="shared" si="16"/>
        <v>8.0092607076933664E-3</v>
      </c>
    </row>
    <row r="1032" spans="1:23" x14ac:dyDescent="0.2">
      <c r="A1032" s="14">
        <v>43045</v>
      </c>
      <c r="B1032" s="3">
        <v>437639255320945</v>
      </c>
      <c r="C1032" s="3">
        <f>[1]!nefin_factors__1[[#This Row],[Rm_minus_Rf]]/B1031-1</f>
        <v>-30.899660889548223</v>
      </c>
      <c r="D1032" s="3">
        <v>-534073897563881</v>
      </c>
      <c r="E1032" s="3">
        <f>[1]!nefin_factors__1[[#This Row],[SMB]]/D1031-1</f>
        <v>7.0499678631526734</v>
      </c>
      <c r="F1032" s="3">
        <v>-546987214538863</v>
      </c>
      <c r="G1032" s="3">
        <f>[1]!nefin_factors__1[[#This Row],[HML]]/F1031-1</f>
        <v>-1.7938119413254612</v>
      </c>
      <c r="H1032" s="3">
        <v>28111561972155</v>
      </c>
      <c r="I1032" s="4">
        <f>[1]!nefin_factors__1[[#This Row],[Risk_Free]]/H1031-1</f>
        <v>-0.90039302982141789</v>
      </c>
      <c r="J1032">
        <v>85531</v>
      </c>
      <c r="K1032">
        <v>85531</v>
      </c>
      <c r="L1032">
        <v>84341</v>
      </c>
      <c r="M1032">
        <v>84698</v>
      </c>
      <c r="N1032">
        <v>3889600</v>
      </c>
      <c r="O1032">
        <v>84698</v>
      </c>
      <c r="P1032">
        <v>-9.7391589014509394E-3</v>
      </c>
      <c r="Q1032">
        <v>-9.7868947000492295E-3</v>
      </c>
      <c r="R1032" s="8">
        <v>44.506237030029297</v>
      </c>
      <c r="S1032" s="8">
        <v>-6.2567975885880998E-3</v>
      </c>
      <c r="T1032" s="9">
        <v>-6.2764533777082201E-3</v>
      </c>
      <c r="U1032" s="12">
        <v>2.6481000000000001E-2</v>
      </c>
      <c r="V1032" s="16">
        <v>3.2324000000000002</v>
      </c>
      <c r="W1032" s="17">
        <f t="shared" si="16"/>
        <v>3.2589465843135823E-3</v>
      </c>
    </row>
    <row r="1033" spans="1:23" x14ac:dyDescent="0.2">
      <c r="A1033" s="15">
        <v>43046</v>
      </c>
      <c r="B1033" s="5">
        <v>-260455736463235</v>
      </c>
      <c r="C1033" s="5">
        <f>[1]!nefin_factors__1[[#This Row],[Rm_minus_Rf]]/B1032-1</f>
        <v>-1.5951379664793288</v>
      </c>
      <c r="D1033" s="5">
        <v>-9247853651932</v>
      </c>
      <c r="E1033" s="5">
        <f>[1]!nefin_factors__1[[#This Row],[SMB]]/D1032-1</f>
        <v>-0.9826843182299021</v>
      </c>
      <c r="F1033" s="5">
        <v>-850351910847688</v>
      </c>
      <c r="G1033" s="5">
        <f>[1]!nefin_factors__1[[#This Row],[HML]]/F1032-1</f>
        <v>0.55461021436227953</v>
      </c>
      <c r="H1033" s="5">
        <v>280375962952606</v>
      </c>
      <c r="I1033" s="6">
        <f>[1]!nefin_factors__1[[#This Row],[Risk_Free]]/H1032-1</f>
        <v>8.9736885211260535</v>
      </c>
      <c r="J1033">
        <v>84697</v>
      </c>
      <c r="K1033">
        <v>84697</v>
      </c>
      <c r="L1033">
        <v>83804</v>
      </c>
      <c r="M1033">
        <v>84482</v>
      </c>
      <c r="N1033">
        <v>3566000</v>
      </c>
      <c r="O1033">
        <v>84482</v>
      </c>
      <c r="P1033">
        <v>-2.5502373137500402E-3</v>
      </c>
      <c r="Q1033">
        <v>-2.5534947081927201E-3</v>
      </c>
      <c r="R1033" s="8">
        <v>44.052932739257798</v>
      </c>
      <c r="S1033" s="8">
        <v>-1.0185282957861501E-2</v>
      </c>
      <c r="T1033" s="9">
        <v>-1.0237507871981201E-2</v>
      </c>
      <c r="U1033" s="12">
        <v>2.6481000000000001E-2</v>
      </c>
      <c r="V1033" s="16">
        <v>3.2128999999999999</v>
      </c>
      <c r="W1033" s="17">
        <f t="shared" si="16"/>
        <v>-6.0326692241060575E-3</v>
      </c>
    </row>
    <row r="1034" spans="1:23" x14ac:dyDescent="0.2">
      <c r="A1034" s="14">
        <v>43047</v>
      </c>
      <c r="B1034" s="3">
        <v>235578045973254</v>
      </c>
      <c r="C1034" s="3">
        <f>[1]!nefin_factors__1[[#This Row],[Rm_minus_Rf]]/B1033-1</f>
        <v>-1.9044839985949296</v>
      </c>
      <c r="D1034" s="3">
        <v>135916236620964</v>
      </c>
      <c r="E1034" s="3">
        <f>[1]!nefin_factors__1[[#This Row],[SMB]]/D1033-1</f>
        <v>-15.697057472635208</v>
      </c>
      <c r="F1034" s="3">
        <v>153502588926645</v>
      </c>
      <c r="G1034" s="3">
        <f>[1]!nefin_factors__1[[#This Row],[HML]]/F1033-1</f>
        <v>-1.1805165449368171</v>
      </c>
      <c r="H1034" s="3">
        <v>280006083081208</v>
      </c>
      <c r="I1034" s="4">
        <f>[1]!nefin_factors__1[[#This Row],[Risk_Free]]/H1033-1</f>
        <v>-1.3192281802720807E-3</v>
      </c>
      <c r="J1034">
        <v>84485</v>
      </c>
      <c r="K1034">
        <v>86213</v>
      </c>
      <c r="L1034">
        <v>84484</v>
      </c>
      <c r="M1034">
        <v>84913</v>
      </c>
      <c r="N1034">
        <v>4233500</v>
      </c>
      <c r="O1034">
        <v>84913</v>
      </c>
      <c r="P1034">
        <v>5.1016784640514103E-3</v>
      </c>
      <c r="Q1034">
        <v>5.0887089944828198E-3</v>
      </c>
      <c r="R1034" s="8">
        <v>45.437572479247997</v>
      </c>
      <c r="S1034" s="8">
        <v>3.14312954955265E-2</v>
      </c>
      <c r="T1034" s="9">
        <v>3.09474449080787E-2</v>
      </c>
      <c r="U1034" s="12">
        <v>2.6481000000000001E-2</v>
      </c>
      <c r="V1034" s="16">
        <v>3.2086999999999999</v>
      </c>
      <c r="W1034" s="17">
        <f t="shared" si="16"/>
        <v>-1.3072302281428305E-3</v>
      </c>
    </row>
    <row r="1035" spans="1:23" x14ac:dyDescent="0.2">
      <c r="A1035" s="15">
        <v>43048</v>
      </c>
      <c r="B1035" s="5">
        <v>-166396540835859</v>
      </c>
      <c r="C1035" s="5">
        <f>[1]!nefin_factors__1[[#This Row],[Rm_minus_Rf]]/B1034-1</f>
        <v>-1.7063329698165108</v>
      </c>
      <c r="D1035" s="5">
        <v>-901091350348531</v>
      </c>
      <c r="E1035" s="5">
        <f>[1]!nefin_factors__1[[#This Row],[SMB]]/D1034-1</f>
        <v>-7.6297550075746052</v>
      </c>
      <c r="F1035" s="5">
        <v>-131286956453718</v>
      </c>
      <c r="G1035" s="5">
        <f>[1]!nefin_factors__1[[#This Row],[HML]]/F1034-1</f>
        <v>-1.8552751935438478</v>
      </c>
      <c r="H1035" s="5">
        <v>279266220332586</v>
      </c>
      <c r="I1035" s="6">
        <f>[1]!nefin_factors__1[[#This Row],[Risk_Free]]/H1034-1</f>
        <v>-2.6423095544229058E-3</v>
      </c>
      <c r="J1035">
        <v>84913</v>
      </c>
      <c r="K1035">
        <v>86028</v>
      </c>
      <c r="L1035">
        <v>84833</v>
      </c>
      <c r="M1035">
        <v>85495</v>
      </c>
      <c r="N1035">
        <v>4085300</v>
      </c>
      <c r="O1035">
        <v>85495</v>
      </c>
      <c r="P1035">
        <v>6.85407417003292E-3</v>
      </c>
      <c r="Q1035">
        <v>6.8306917859282902E-3</v>
      </c>
      <c r="R1035" s="8">
        <v>46.509017944335902</v>
      </c>
      <c r="S1035" s="8">
        <v>2.3580614029316899E-2</v>
      </c>
      <c r="T1035" s="9">
        <v>2.33068861141053E-2</v>
      </c>
      <c r="U1035" s="12">
        <v>2.6481000000000001E-2</v>
      </c>
      <c r="V1035" s="16">
        <v>3.1934</v>
      </c>
      <c r="W1035" s="17">
        <f t="shared" si="16"/>
        <v>-4.7682862218343391E-3</v>
      </c>
    </row>
    <row r="1036" spans="1:23" x14ac:dyDescent="0.2">
      <c r="A1036" s="14">
        <v>43049</v>
      </c>
      <c r="B1036" s="3">
        <v>-902296445055039</v>
      </c>
      <c r="C1036" s="3">
        <f>[1]!nefin_factors__1[[#This Row],[Rm_minus_Rf]]/B1035-1</f>
        <v>4.4225673233502167</v>
      </c>
      <c r="D1036" s="3">
        <v>-589722615686063</v>
      </c>
      <c r="E1036" s="3">
        <f>[1]!nefin_factors__1[[#This Row],[SMB]]/D1035-1</f>
        <v>-0.34554624738328077</v>
      </c>
      <c r="F1036" s="3">
        <v>-925298359408999</v>
      </c>
      <c r="G1036" s="3">
        <f>[1]!nefin_factors__1[[#This Row],[HML]]/F1035-1</f>
        <v>6.0479077617675623</v>
      </c>
      <c r="H1036" s="3">
        <v>278896237442483</v>
      </c>
      <c r="I1036" s="4">
        <f>[1]!nefin_factors__1[[#This Row],[Risk_Free]]/H1035-1</f>
        <v>-1.3248393939746528E-3</v>
      </c>
      <c r="J1036">
        <v>85495</v>
      </c>
      <c r="K1036">
        <v>85495</v>
      </c>
      <c r="L1036">
        <v>83831</v>
      </c>
      <c r="M1036">
        <v>84041</v>
      </c>
      <c r="N1036">
        <v>3376900</v>
      </c>
      <c r="O1036">
        <v>84041</v>
      </c>
      <c r="P1036">
        <v>-1.7006842505409601E-2</v>
      </c>
      <c r="Q1036">
        <v>-1.7153119698881499E-2</v>
      </c>
      <c r="R1036" s="8">
        <v>45.412845611572301</v>
      </c>
      <c r="S1036" s="8">
        <v>-2.3569026383141199E-2</v>
      </c>
      <c r="T1036" s="9">
        <v>-2.3851218704224499E-2</v>
      </c>
      <c r="U1036" s="12">
        <v>2.6481000000000001E-2</v>
      </c>
      <c r="V1036" s="16">
        <v>3.2248999999999999</v>
      </c>
      <c r="W1036" s="17">
        <f t="shared" si="16"/>
        <v>9.8640946953090225E-3</v>
      </c>
    </row>
    <row r="1037" spans="1:23" x14ac:dyDescent="0.2">
      <c r="A1037" s="15">
        <v>43052</v>
      </c>
      <c r="B1037" s="5">
        <v>278454538427948</v>
      </c>
      <c r="C1037" s="5">
        <f>[1]!nefin_factors__1[[#This Row],[Rm_minus_Rf]]/B1036-1</f>
        <v>-1.3086064895345593</v>
      </c>
      <c r="D1037" s="5">
        <v>166286765928283</v>
      </c>
      <c r="E1037" s="5">
        <f>[1]!nefin_factors__1[[#This Row],[SMB]]/D1036-1</f>
        <v>-1.2819745444811044</v>
      </c>
      <c r="F1037" s="5">
        <v>450774006339925</v>
      </c>
      <c r="G1037" s="5">
        <f>[1]!nefin_factors__1[[#This Row],[HML]]/F1036-1</f>
        <v>-1.4871661143199699</v>
      </c>
      <c r="H1037" s="5">
        <v>277786082632625</v>
      </c>
      <c r="I1037" s="6">
        <f>[1]!nefin_factors__1[[#This Row],[Risk_Free]]/H1036-1</f>
        <v>-3.9805298918274001E-3</v>
      </c>
      <c r="J1037">
        <v>84040</v>
      </c>
      <c r="K1037">
        <v>84311</v>
      </c>
      <c r="L1037">
        <v>81861</v>
      </c>
      <c r="M1037">
        <v>81861</v>
      </c>
      <c r="N1037">
        <v>3253600</v>
      </c>
      <c r="O1037">
        <v>81861</v>
      </c>
      <c r="P1037">
        <v>-2.59397198986209E-2</v>
      </c>
      <c r="Q1037">
        <v>-2.6282088033532301E-2</v>
      </c>
      <c r="R1037" s="8">
        <v>45.0007514953613</v>
      </c>
      <c r="S1037" s="8">
        <v>-9.0743655784755201E-3</v>
      </c>
      <c r="T1037" s="9">
        <v>-9.1157884148602899E-3</v>
      </c>
      <c r="U1037" s="12">
        <v>2.6481000000000001E-2</v>
      </c>
      <c r="V1037" s="16">
        <v>3.1970000000000001</v>
      </c>
      <c r="W1037" s="17">
        <f t="shared" si="16"/>
        <v>-8.6514310521256244E-3</v>
      </c>
    </row>
    <row r="1038" spans="1:23" x14ac:dyDescent="0.2">
      <c r="A1038" s="14">
        <v>43053</v>
      </c>
      <c r="B1038" s="3">
        <v>-197486626224151</v>
      </c>
      <c r="C1038" s="3">
        <f>[1]!nefin_factors__1[[#This Row],[Rm_minus_Rf]]/B1037-1</f>
        <v>-1.7092239449178597</v>
      </c>
      <c r="D1038" s="3">
        <v>376340759078955</v>
      </c>
      <c r="E1038" s="3">
        <f>[1]!nefin_factors__1[[#This Row],[SMB]]/D1037-1</f>
        <v>1.2632033101255042</v>
      </c>
      <c r="F1038" s="3">
        <v>-108482139185402</v>
      </c>
      <c r="G1038" s="3">
        <f>[1]!nefin_factors__1[[#This Row],[HML]]/F1037-1</f>
        <v>-1.2406574861452782</v>
      </c>
      <c r="H1038" s="3">
        <v>277415962294691</v>
      </c>
      <c r="I1038" s="4">
        <f>[1]!nefin_factors__1[[#This Row],[Risk_Free]]/H1037-1</f>
        <v>-1.3323933813613742E-3</v>
      </c>
      <c r="J1038">
        <v>81857</v>
      </c>
      <c r="K1038">
        <v>84162</v>
      </c>
      <c r="L1038">
        <v>80804</v>
      </c>
      <c r="M1038">
        <v>83894</v>
      </c>
      <c r="N1038">
        <v>5599100</v>
      </c>
      <c r="O1038">
        <v>83894</v>
      </c>
      <c r="P1038">
        <v>2.48347809091021E-2</v>
      </c>
      <c r="Q1038">
        <v>2.4531410240997299E-2</v>
      </c>
      <c r="R1038" s="8">
        <v>45.8661499023438</v>
      </c>
      <c r="S1038" s="8">
        <v>1.9230647965733101E-2</v>
      </c>
      <c r="T1038" s="9">
        <v>1.90480759936709E-2</v>
      </c>
      <c r="U1038" s="12">
        <v>2.6481000000000001E-2</v>
      </c>
      <c r="V1038" s="16">
        <v>3.1391</v>
      </c>
      <c r="W1038" s="17">
        <f t="shared" si="16"/>
        <v>-1.8110728808257814E-2</v>
      </c>
    </row>
    <row r="1039" spans="1:23" x14ac:dyDescent="0.2">
      <c r="A1039" s="15">
        <v>43055</v>
      </c>
      <c r="B1039" s="5">
        <v>212863545308882</v>
      </c>
      <c r="C1039" s="5">
        <f>[1]!nefin_factors__1[[#This Row],[Rm_minus_Rf]]/B1038-1</f>
        <v>-2.0778630906746969</v>
      </c>
      <c r="D1039" s="5">
        <v>181549633869926</v>
      </c>
      <c r="E1039" s="5">
        <f>[1]!nefin_factors__1[[#This Row],[SMB]]/D1038-1</f>
        <v>-0.51759242258466753</v>
      </c>
      <c r="F1039" s="5">
        <v>-447791893130825</v>
      </c>
      <c r="G1039" s="5">
        <f>[1]!nefin_factors__1[[#This Row],[HML]]/F1038-1</f>
        <v>3.1277937224811154</v>
      </c>
      <c r="H1039" s="5">
        <v>276305394988352</v>
      </c>
      <c r="I1039" s="6">
        <f>[1]!nefin_factors__1[[#This Row],[Risk_Free]]/H1038-1</f>
        <v>-4.003256687729051E-3</v>
      </c>
      <c r="J1039">
        <v>83894</v>
      </c>
      <c r="K1039">
        <v>84410</v>
      </c>
      <c r="L1039">
        <v>82548</v>
      </c>
      <c r="M1039">
        <v>82767</v>
      </c>
      <c r="N1039">
        <v>3886000</v>
      </c>
      <c r="O1039">
        <v>82767</v>
      </c>
      <c r="P1039">
        <v>-1.3433618613965199E-2</v>
      </c>
      <c r="Q1039">
        <v>-1.35246659850119E-2</v>
      </c>
      <c r="R1039" s="8">
        <v>45.3304252624512</v>
      </c>
      <c r="S1039" s="8">
        <v>-1.1680095707340099E-2</v>
      </c>
      <c r="T1039" s="9">
        <v>-1.17488438729655E-2</v>
      </c>
      <c r="U1039" s="12">
        <v>2.6481000000000001E-2</v>
      </c>
      <c r="V1039" s="16">
        <v>3.145</v>
      </c>
      <c r="W1039" s="17">
        <f t="shared" si="16"/>
        <v>1.8795196075307441E-3</v>
      </c>
    </row>
    <row r="1040" spans="1:23" x14ac:dyDescent="0.2">
      <c r="A1040" s="14">
        <v>43056</v>
      </c>
      <c r="B1040" s="3">
        <v>114508973887571</v>
      </c>
      <c r="C1040" s="3">
        <f>[1]!nefin_factors__1[[#This Row],[Rm_minus_Rf]]/B1039-1</f>
        <v>-0.46205455837255116</v>
      </c>
      <c r="D1040" s="3">
        <v>633114631831317</v>
      </c>
      <c r="E1040" s="3">
        <f>[1]!nefin_factors__1[[#This Row],[SMB]]/D1039-1</f>
        <v>2.487281237289201</v>
      </c>
      <c r="F1040" s="3">
        <v>517784436886979</v>
      </c>
      <c r="G1040" s="3">
        <f>[1]!nefin_factors__1[[#This Row],[HML]]/F1039-1</f>
        <v>-2.156305964511299</v>
      </c>
      <c r="H1040" s="3">
        <v>275935137100669</v>
      </c>
      <c r="I1040" s="4">
        <f>[1]!nefin_factors__1[[#This Row],[Risk_Free]]/H1039-1</f>
        <v>-1.3400313363356453E-3</v>
      </c>
      <c r="J1040">
        <v>82773</v>
      </c>
      <c r="K1040">
        <v>83501</v>
      </c>
      <c r="L1040">
        <v>81109</v>
      </c>
      <c r="M1040">
        <v>81533</v>
      </c>
      <c r="N1040">
        <v>4011400</v>
      </c>
      <c r="O1040">
        <v>81533</v>
      </c>
      <c r="P1040">
        <v>-1.49093237643022E-2</v>
      </c>
      <c r="Q1040">
        <v>-1.50215849549633E-2</v>
      </c>
      <c r="R1040" s="8">
        <v>45.058444976806598</v>
      </c>
      <c r="S1040" s="8">
        <v>-5.99992093632651E-3</v>
      </c>
      <c r="T1040" s="9">
        <v>-6.0179927846471699E-3</v>
      </c>
      <c r="U1040" s="12">
        <v>2.6481000000000001E-2</v>
      </c>
      <c r="V1040" s="16">
        <v>3.1655000000000002</v>
      </c>
      <c r="W1040" s="17">
        <f t="shared" si="16"/>
        <v>6.518282988871249E-3</v>
      </c>
    </row>
    <row r="1041" spans="1:23" x14ac:dyDescent="0.2">
      <c r="A1041" s="15">
        <v>43060</v>
      </c>
      <c r="B1041" s="5">
        <v>15074457796142</v>
      </c>
      <c r="C1041" s="5">
        <f>[1]!nefin_factors__1[[#This Row],[Rm_minus_Rf]]/B1040-1</f>
        <v>-0.86835566432598865</v>
      </c>
      <c r="D1041" s="5">
        <v>728796911627016</v>
      </c>
      <c r="E1041" s="5">
        <f>[1]!nefin_factors__1[[#This Row],[SMB]]/D1040-1</f>
        <v>0.15112947163917689</v>
      </c>
      <c r="F1041" s="5">
        <v>791451661699574</v>
      </c>
      <c r="G1041" s="5">
        <f>[1]!nefin_factors__1[[#This Row],[HML]]/F1040-1</f>
        <v>0.52853505303854953</v>
      </c>
      <c r="H1041" s="5">
        <v>273712867075337</v>
      </c>
      <c r="I1041" s="6">
        <f>[1]!nefin_factors__1[[#This Row],[Risk_Free]]/H1040-1</f>
        <v>-8.0535956699173683E-3</v>
      </c>
      <c r="J1041">
        <v>81532</v>
      </c>
      <c r="K1041">
        <v>81897</v>
      </c>
      <c r="L1041">
        <v>79690</v>
      </c>
      <c r="M1041">
        <v>80899</v>
      </c>
      <c r="N1041">
        <v>4283400</v>
      </c>
      <c r="O1041">
        <v>80899</v>
      </c>
      <c r="P1041">
        <v>-7.7759925428967404E-3</v>
      </c>
      <c r="Q1041">
        <v>-7.80638322054685E-3</v>
      </c>
      <c r="R1041" s="8">
        <v>44.258979797363303</v>
      </c>
      <c r="S1041" s="8">
        <v>-1.7742885984140599E-2</v>
      </c>
      <c r="T1041" s="9">
        <v>-1.7902177998291701E-2</v>
      </c>
      <c r="U1041" s="12">
        <v>2.6481000000000001E-2</v>
      </c>
      <c r="V1041" s="16">
        <v>3.1661000000000001</v>
      </c>
      <c r="W1041" s="17">
        <f t="shared" si="16"/>
        <v>1.8954351603217567E-4</v>
      </c>
    </row>
    <row r="1042" spans="1:23" x14ac:dyDescent="0.2">
      <c r="A1042" s="14">
        <v>43061</v>
      </c>
      <c r="B1042" s="3">
        <v>-401940074600438</v>
      </c>
      <c r="C1042" s="3">
        <f>[1]!nefin_factors__1[[#This Row],[Rm_minus_Rf]]/B1041-1</f>
        <v>-27.663650529659936</v>
      </c>
      <c r="D1042" s="3">
        <v>807339608621915</v>
      </c>
      <c r="E1042" s="3">
        <f>[1]!nefin_factors__1[[#This Row],[SMB]]/D1041-1</f>
        <v>0.1077703482847574</v>
      </c>
      <c r="F1042" s="3">
        <v>122273067152954</v>
      </c>
      <c r="G1042" s="3">
        <f>[1]!nefin_factors__1[[#This Row],[HML]]/F1041-1</f>
        <v>-0.84550785212784418</v>
      </c>
      <c r="H1042" s="3">
        <v>27334236822818</v>
      </c>
      <c r="I1042" s="4">
        <f>[1]!nefin_factors__1[[#This Row],[Risk_Free]]/H1041-1</f>
        <v>-0.90013536040563813</v>
      </c>
      <c r="J1042">
        <v>80901</v>
      </c>
      <c r="K1042">
        <v>83782</v>
      </c>
      <c r="L1042">
        <v>80901</v>
      </c>
      <c r="M1042">
        <v>83543</v>
      </c>
      <c r="N1042">
        <v>3910700</v>
      </c>
      <c r="O1042">
        <v>83543</v>
      </c>
      <c r="P1042">
        <v>3.2682727845832399E-2</v>
      </c>
      <c r="Q1042">
        <v>3.2160006316495897E-2</v>
      </c>
      <c r="R1042" s="8">
        <v>45.618892669677699</v>
      </c>
      <c r="S1042" s="8">
        <v>3.0726203010543299E-2</v>
      </c>
      <c r="T1042" s="9">
        <v>3.0263605276070801E-2</v>
      </c>
      <c r="U1042" s="12">
        <v>2.6481000000000001E-2</v>
      </c>
      <c r="V1042" s="16">
        <v>3.1623999999999999</v>
      </c>
      <c r="W1042" s="17">
        <f t="shared" si="16"/>
        <v>-1.1686301759262774E-3</v>
      </c>
    </row>
    <row r="1043" spans="1:23" x14ac:dyDescent="0.2">
      <c r="A1043" s="15">
        <v>43062</v>
      </c>
      <c r="B1043" s="5">
        <v>-138263658507569</v>
      </c>
      <c r="C1043" s="5">
        <f>[1]!nefin_factors__1[[#This Row],[Rm_minus_Rf]]/B1042-1</f>
        <v>-0.65600927291210109</v>
      </c>
      <c r="D1043" s="5">
        <v>-434176820684851</v>
      </c>
      <c r="E1043" s="5">
        <f>[1]!nefin_factors__1[[#This Row],[SMB]]/D1042-1</f>
        <v>-1.5377870923810704</v>
      </c>
      <c r="F1043" s="5">
        <v>277513441569988</v>
      </c>
      <c r="G1043" s="5">
        <f>[1]!nefin_factors__1[[#This Row],[HML]]/F1042-1</f>
        <v>1.2696203508401442</v>
      </c>
      <c r="H1043" s="5">
        <v>272230664970952</v>
      </c>
      <c r="I1043" s="6">
        <f>[1]!nefin_factors__1[[#This Row],[Risk_Free]]/H1042-1</f>
        <v>8.9593292739638528</v>
      </c>
      <c r="J1043">
        <v>83551</v>
      </c>
      <c r="K1043">
        <v>84686</v>
      </c>
      <c r="L1043">
        <v>83551</v>
      </c>
      <c r="M1043">
        <v>84291</v>
      </c>
      <c r="N1043">
        <v>3489300</v>
      </c>
      <c r="O1043">
        <v>84291</v>
      </c>
      <c r="P1043">
        <v>8.9534730617766307E-3</v>
      </c>
      <c r="Q1043">
        <v>8.9136283774383807E-3</v>
      </c>
      <c r="R1043" s="8">
        <v>45.3304252624512</v>
      </c>
      <c r="S1043" s="8">
        <v>-6.3233573875806099E-3</v>
      </c>
      <c r="T1043" s="9">
        <v>-6.3434344931318602E-3</v>
      </c>
      <c r="U1043" s="12">
        <v>2.6481000000000001E-2</v>
      </c>
      <c r="V1043" s="16">
        <v>3.173</v>
      </c>
      <c r="W1043" s="17">
        <f t="shared" si="16"/>
        <v>3.3518846445736994E-3</v>
      </c>
    </row>
    <row r="1044" spans="1:23" x14ac:dyDescent="0.2">
      <c r="A1044" s="14">
        <v>43063</v>
      </c>
      <c r="B1044" s="3">
        <v>-450845637818072</v>
      </c>
      <c r="C1044" s="3">
        <f>[1]!nefin_factors__1[[#This Row],[Rm_minus_Rf]]/B1043-1</f>
        <v>2.2607674546192573</v>
      </c>
      <c r="D1044" s="3">
        <v>534317370689216</v>
      </c>
      <c r="E1044" s="3">
        <f>[1]!nefin_factors__1[[#This Row],[SMB]]/D1043-1</f>
        <v>-2.2306446250318195</v>
      </c>
      <c r="F1044" s="3">
        <v>595812447026998</v>
      </c>
      <c r="G1044" s="3">
        <f>[1]!nefin_factors__1[[#This Row],[HML]]/F1043-1</f>
        <v>1.1469678861545738</v>
      </c>
      <c r="H1044" s="3">
        <v>271860028291604</v>
      </c>
      <c r="I1044" s="4">
        <f>[1]!nefin_factors__1[[#This Row],[Risk_Free]]/H1043-1</f>
        <v>-1.3614802703713069E-3</v>
      </c>
      <c r="J1044">
        <v>84291</v>
      </c>
      <c r="K1044">
        <v>84575</v>
      </c>
      <c r="L1044">
        <v>83824</v>
      </c>
      <c r="M1044">
        <v>84525</v>
      </c>
      <c r="N1044">
        <v>3475800</v>
      </c>
      <c r="O1044">
        <v>84525</v>
      </c>
      <c r="P1044">
        <v>2.77609709221616E-3</v>
      </c>
      <c r="Q1044">
        <v>2.77225085139775E-3</v>
      </c>
      <c r="R1044" s="8">
        <v>45.528232574462898</v>
      </c>
      <c r="S1044" s="8">
        <v>4.3636802064779302E-3</v>
      </c>
      <c r="T1044" s="9">
        <v>4.3541869609780397E-3</v>
      </c>
      <c r="U1044" s="12">
        <v>2.6481000000000001E-2</v>
      </c>
      <c r="V1044" s="16">
        <v>3.206</v>
      </c>
      <c r="W1044" s="17">
        <f t="shared" si="16"/>
        <v>1.0400252127324316E-2</v>
      </c>
    </row>
    <row r="1045" spans="1:23" x14ac:dyDescent="0.2">
      <c r="A1045" s="15">
        <v>43066</v>
      </c>
      <c r="B1045" s="5">
        <v>-11474063977882</v>
      </c>
      <c r="C1045" s="5">
        <f>[1]!nefin_factors__1[[#This Row],[Rm_minus_Rf]]/B1044-1</f>
        <v>-0.97454990574287848</v>
      </c>
      <c r="D1045" s="5">
        <v>-834127934238432</v>
      </c>
      <c r="E1045" s="5">
        <f>[1]!nefin_factors__1[[#This Row],[SMB]]/D1044-1</f>
        <v>-2.5611095202884577</v>
      </c>
      <c r="F1045" s="5">
        <v>198678458475534</v>
      </c>
      <c r="G1045" s="5">
        <f>[1]!nefin_factors__1[[#This Row],[HML]]/F1044-1</f>
        <v>-0.66654194710616488</v>
      </c>
      <c r="H1045" s="5">
        <v>271118651504532</v>
      </c>
      <c r="I1045" s="6">
        <f>[1]!nefin_factors__1[[#This Row],[Risk_Free]]/H1044-1</f>
        <v>-2.7270532991955365E-3</v>
      </c>
      <c r="J1045">
        <v>84525</v>
      </c>
      <c r="K1045">
        <v>84956</v>
      </c>
      <c r="L1045">
        <v>84525</v>
      </c>
      <c r="M1045">
        <v>84793</v>
      </c>
      <c r="N1045">
        <v>2088900</v>
      </c>
      <c r="O1045">
        <v>84793</v>
      </c>
      <c r="P1045">
        <v>3.1706595681750801E-3</v>
      </c>
      <c r="Q1045">
        <v>3.16564362689124E-3</v>
      </c>
      <c r="R1045" s="8">
        <v>46.014503479003899</v>
      </c>
      <c r="S1045" s="8">
        <v>1.06806698624891E-2</v>
      </c>
      <c r="T1045" s="9">
        <v>1.06240344208678E-2</v>
      </c>
      <c r="U1045" s="12">
        <v>2.6481000000000001E-2</v>
      </c>
      <c r="V1045" s="16">
        <v>3.2355</v>
      </c>
      <c r="W1045" s="17">
        <f t="shared" si="16"/>
        <v>9.2014971927636413E-3</v>
      </c>
    </row>
    <row r="1046" spans="1:23" x14ac:dyDescent="0.2">
      <c r="A1046" s="14">
        <v>43067</v>
      </c>
      <c r="B1046" s="3">
        <v>-111174180242193</v>
      </c>
      <c r="C1046" s="3">
        <f>[1]!nefin_factors__1[[#This Row],[Rm_minus_Rf]]/B1045-1</f>
        <v>8.689172071595392</v>
      </c>
      <c r="D1046" s="3">
        <v>100311114400714</v>
      </c>
      <c r="E1046" s="3">
        <f>[1]!nefin_factors__1[[#This Row],[SMB]]/D1045-1</f>
        <v>-1.1202586681050302</v>
      </c>
      <c r="F1046" s="3">
        <v>889959321026313</v>
      </c>
      <c r="G1046" s="3">
        <f>[1]!nefin_factors__1[[#This Row],[HML]]/F1045-1</f>
        <v>3.4793951385318698</v>
      </c>
      <c r="H1046" s="3">
        <v>270377136769584</v>
      </c>
      <c r="I1046" s="4">
        <f>[1]!nefin_factors__1[[#This Row],[Risk_Free]]/H1045-1</f>
        <v>-2.7350192649346905E-3</v>
      </c>
      <c r="J1046">
        <v>84792</v>
      </c>
      <c r="K1046">
        <v>86290</v>
      </c>
      <c r="L1046">
        <v>84261</v>
      </c>
      <c r="M1046">
        <v>85804</v>
      </c>
      <c r="N1046">
        <v>4078100</v>
      </c>
      <c r="O1046">
        <v>85804</v>
      </c>
      <c r="P1046">
        <v>1.1923154033941501E-2</v>
      </c>
      <c r="Q1046">
        <v>1.18526332330151E-2</v>
      </c>
      <c r="R1046" s="8">
        <v>46.237037658691399</v>
      </c>
      <c r="S1046" s="8">
        <v>4.8360840618815199E-3</v>
      </c>
      <c r="T1046" s="9">
        <v>4.8244277727777602E-3</v>
      </c>
      <c r="U1046" s="12">
        <v>2.6481000000000001E-2</v>
      </c>
      <c r="V1046" s="16">
        <v>3.2612999999999999</v>
      </c>
      <c r="W1046" s="17">
        <f t="shared" si="16"/>
        <v>7.9740380157626856E-3</v>
      </c>
    </row>
    <row r="1047" spans="1:23" x14ac:dyDescent="0.2">
      <c r="A1047" s="15">
        <v>43068</v>
      </c>
      <c r="B1047" s="5">
        <v>-172955921344704</v>
      </c>
      <c r="C1047" s="5">
        <f>[1]!nefin_factors__1[[#This Row],[Rm_minus_Rf]]/B1046-1</f>
        <v>0.55572023079387178</v>
      </c>
      <c r="D1047" s="5">
        <v>506698468049771</v>
      </c>
      <c r="E1047" s="5">
        <f>[1]!nefin_factors__1[[#This Row],[SMB]]/D1046-1</f>
        <v>4.0512694538080458</v>
      </c>
      <c r="F1047" s="5">
        <v>380690521580375</v>
      </c>
      <c r="G1047" s="5">
        <f>[1]!nefin_factors__1[[#This Row],[HML]]/F1046-1</f>
        <v>-0.57223828933960985</v>
      </c>
      <c r="H1047" s="5">
        <v>270006327655503</v>
      </c>
      <c r="I1047" s="6">
        <f>[1]!nefin_factors__1[[#This Row],[Risk_Free]]/H1046-1</f>
        <v>-1.3714514419057577E-3</v>
      </c>
      <c r="J1047">
        <v>85804</v>
      </c>
      <c r="K1047">
        <v>87358</v>
      </c>
      <c r="L1047">
        <v>85804</v>
      </c>
      <c r="M1047">
        <v>86052</v>
      </c>
      <c r="N1047">
        <v>4815500</v>
      </c>
      <c r="O1047">
        <v>86052</v>
      </c>
      <c r="P1047">
        <v>2.8903081441424799E-3</v>
      </c>
      <c r="Q1047">
        <v>2.8861392345821101E-3</v>
      </c>
      <c r="R1047" s="8">
        <v>45.734279632568402</v>
      </c>
      <c r="S1047" s="8">
        <v>-1.0873398669342E-2</v>
      </c>
      <c r="T1047" s="9">
        <v>-1.0932946117496701E-2</v>
      </c>
      <c r="U1047" s="12">
        <v>2.6481000000000001E-2</v>
      </c>
      <c r="V1047" s="16">
        <v>3.2467000000000001</v>
      </c>
      <c r="W1047" s="17">
        <f t="shared" si="16"/>
        <v>-4.4767424033359537E-3</v>
      </c>
    </row>
    <row r="1048" spans="1:23" x14ac:dyDescent="0.2">
      <c r="A1048" s="14">
        <v>43069</v>
      </c>
      <c r="B1048" s="3">
        <v>-117932454194251</v>
      </c>
      <c r="C1048" s="3">
        <f>[1]!nefin_factors__1[[#This Row],[Rm_minus_Rf]]/B1047-1</f>
        <v>-0.31813578120167585</v>
      </c>
      <c r="D1048" s="3">
        <v>492203264066239</v>
      </c>
      <c r="E1048" s="3">
        <f>[1]!nefin_factors__1[[#This Row],[SMB]]/D1047-1</f>
        <v>-2.8607159676883431E-2</v>
      </c>
      <c r="F1048" s="3">
        <v>612245390242505</v>
      </c>
      <c r="G1048" s="3">
        <f>[1]!nefin_factors__1[[#This Row],[HML]]/F1047-1</f>
        <v>0.60824962938627292</v>
      </c>
      <c r="H1048" s="3">
        <v>269264605902375</v>
      </c>
      <c r="I1048" s="4">
        <f>[1]!nefin_factors__1[[#This Row],[Risk_Free]]/H1047-1</f>
        <v>-2.7470532248946578E-3</v>
      </c>
      <c r="J1048">
        <v>86050</v>
      </c>
      <c r="K1048">
        <v>87159</v>
      </c>
      <c r="L1048">
        <v>86050</v>
      </c>
      <c r="M1048">
        <v>86686</v>
      </c>
      <c r="N1048">
        <v>3535700</v>
      </c>
      <c r="O1048">
        <v>86686</v>
      </c>
      <c r="P1048">
        <v>7.3676381722678199E-3</v>
      </c>
      <c r="Q1048">
        <v>7.3406297040996497E-3</v>
      </c>
      <c r="R1048" s="8">
        <v>45.907360076904297</v>
      </c>
      <c r="S1048" s="8">
        <v>3.7844078317565998E-3</v>
      </c>
      <c r="T1048" s="9">
        <v>3.7772649757530801E-3</v>
      </c>
      <c r="U1048" s="12">
        <v>2.5551999999999998E-2</v>
      </c>
      <c r="V1048" s="16">
        <v>3.2692000000000001</v>
      </c>
      <c r="W1048" s="17">
        <f t="shared" si="16"/>
        <v>6.9301136538639785E-3</v>
      </c>
    </row>
    <row r="1049" spans="1:23" x14ac:dyDescent="0.2">
      <c r="A1049" s="15">
        <v>43070</v>
      </c>
      <c r="B1049" s="5">
        <v>292415696675305</v>
      </c>
      <c r="C1049" s="5">
        <f>[1]!nefin_factors__1[[#This Row],[Rm_minus_Rf]]/B1048-1</f>
        <v>-3.4795184554851719</v>
      </c>
      <c r="D1049" s="5">
        <v>735602175052324</v>
      </c>
      <c r="E1049" s="5">
        <f>[1]!nefin_factors__1[[#This Row],[SMB]]/D1048-1</f>
        <v>0.49450893310884103</v>
      </c>
      <c r="F1049" s="5">
        <v>-188850499210477</v>
      </c>
      <c r="G1049" s="5">
        <f>[1]!nefin_factors__1[[#This Row],[HML]]/F1048-1</f>
        <v>-1.3084555673594782</v>
      </c>
      <c r="H1049" s="5">
        <v>268522746072808</v>
      </c>
      <c r="I1049" s="6">
        <f>[1]!nefin_factors__1[[#This Row],[Risk_Free]]/H1048-1</f>
        <v>-2.755133104408003E-3</v>
      </c>
      <c r="J1049">
        <v>86690</v>
      </c>
      <c r="K1049">
        <v>87345</v>
      </c>
      <c r="L1049">
        <v>86138</v>
      </c>
      <c r="M1049">
        <v>87293</v>
      </c>
      <c r="N1049">
        <v>4178600</v>
      </c>
      <c r="O1049">
        <v>87293</v>
      </c>
      <c r="P1049">
        <v>7.0022841058532403E-3</v>
      </c>
      <c r="Q1049">
        <v>6.9778819621082698E-3</v>
      </c>
      <c r="R1049" s="8">
        <v>46.813968658447301</v>
      </c>
      <c r="S1049" s="8">
        <v>1.9748675391658501E-2</v>
      </c>
      <c r="T1049" s="9">
        <v>1.95562002606871E-2</v>
      </c>
      <c r="U1049" s="12">
        <v>2.5551999999999998E-2</v>
      </c>
      <c r="V1049" s="16">
        <v>3.2820999999999998</v>
      </c>
      <c r="W1049" s="17">
        <f t="shared" si="16"/>
        <v>3.9459194910069773E-3</v>
      </c>
    </row>
    <row r="1050" spans="1:23" x14ac:dyDescent="0.2">
      <c r="A1050" s="14">
        <v>43073</v>
      </c>
      <c r="B1050" s="3">
        <v>732985017822834</v>
      </c>
      <c r="C1050" s="3">
        <f>[1]!nefin_factors__1[[#This Row],[Rm_minus_Rf]]/B1049-1</f>
        <v>1.5066541439351391</v>
      </c>
      <c r="D1050" s="3">
        <v>-286219371842001</v>
      </c>
      <c r="E1050" s="3">
        <f>[1]!nefin_factors__1[[#This Row],[SMB]]/D1049-1</f>
        <v>-1.3890953310757164</v>
      </c>
      <c r="F1050" s="3">
        <v>911344682830227</v>
      </c>
      <c r="G1050" s="3">
        <f>[1]!nefin_factors__1[[#This Row],[HML]]/F1049-1</f>
        <v>-5.8257467501556262</v>
      </c>
      <c r="H1050" s="3">
        <v>267780748115287</v>
      </c>
      <c r="I1050" s="4">
        <f>[1]!nefin_factors__1[[#This Row],[Risk_Free]]/H1049-1</f>
        <v>-2.7632592336137574E-3</v>
      </c>
      <c r="J1050">
        <v>87296</v>
      </c>
      <c r="K1050">
        <v>88318</v>
      </c>
      <c r="L1050">
        <v>87242</v>
      </c>
      <c r="M1050">
        <v>87653</v>
      </c>
      <c r="N1050">
        <v>4047100</v>
      </c>
      <c r="O1050">
        <v>87653</v>
      </c>
      <c r="P1050">
        <v>4.1240420194059704E-3</v>
      </c>
      <c r="Q1050">
        <v>4.1155614662266903E-3</v>
      </c>
      <c r="R1050" s="8">
        <v>46.550228118896499</v>
      </c>
      <c r="S1050" s="8">
        <v>-5.6338315867229304E-3</v>
      </c>
      <c r="T1050" s="9">
        <v>-5.6497614749427896E-3</v>
      </c>
      <c r="U1050" s="12">
        <v>2.5551999999999998E-2</v>
      </c>
      <c r="V1050" s="16">
        <v>3.2536</v>
      </c>
      <c r="W1050" s="17">
        <f t="shared" si="16"/>
        <v>-8.6834648548185234E-3</v>
      </c>
    </row>
    <row r="1051" spans="1:23" x14ac:dyDescent="0.2">
      <c r="A1051" s="15">
        <v>43074</v>
      </c>
      <c r="B1051" s="5">
        <v>-469215552279953</v>
      </c>
      <c r="C1051" s="5">
        <f>[1]!nefin_factors__1[[#This Row],[Rm_minus_Rf]]/B1050-1</f>
        <v>-1.6401434420496774</v>
      </c>
      <c r="D1051" s="5">
        <v>293228240254638</v>
      </c>
      <c r="E1051" s="5">
        <f>[1]!nefin_factors__1[[#This Row],[SMB]]/D1050-1</f>
        <v>-2.0244877499644085</v>
      </c>
      <c r="F1051" s="5">
        <v>-318801101774633</v>
      </c>
      <c r="G1051" s="5">
        <f>[1]!nefin_factors__1[[#This Row],[HML]]/F1050-1</f>
        <v>-1.3498139702583001</v>
      </c>
      <c r="H1051" s="5">
        <v>266296337609884</v>
      </c>
      <c r="I1051" s="6">
        <f>[1]!nefin_factors__1[[#This Row],[Risk_Free]]/H1050-1</f>
        <v>-5.5433802312178093E-3</v>
      </c>
      <c r="J1051">
        <v>87649</v>
      </c>
      <c r="K1051">
        <v>87839</v>
      </c>
      <c r="L1051">
        <v>86613</v>
      </c>
      <c r="M1051">
        <v>86935</v>
      </c>
      <c r="N1051">
        <v>3534700</v>
      </c>
      <c r="O1051">
        <v>86935</v>
      </c>
      <c r="P1051">
        <v>-8.1913910533580898E-3</v>
      </c>
      <c r="Q1051">
        <v>-8.2251248411197193E-3</v>
      </c>
      <c r="R1051" s="8">
        <v>46.278244018554702</v>
      </c>
      <c r="S1051" s="8">
        <v>-5.8427827241217499E-3</v>
      </c>
      <c r="T1051" s="9">
        <v>-5.8599185590099204E-3</v>
      </c>
      <c r="U1051" s="12">
        <v>2.5551999999999998E-2</v>
      </c>
      <c r="V1051" s="16">
        <v>3.2208000000000001</v>
      </c>
      <c r="W1051" s="17">
        <f t="shared" si="16"/>
        <v>-1.0081140890090934E-2</v>
      </c>
    </row>
    <row r="1052" spans="1:23" x14ac:dyDescent="0.2">
      <c r="A1052" s="14">
        <v>43075</v>
      </c>
      <c r="B1052" s="3">
        <v>967875587841488</v>
      </c>
      <c r="C1052" s="3">
        <f>[1]!nefin_factors__1[[#This Row],[Rm_minus_Rf]]/B1051-1</f>
        <v>-3.0627525731798726</v>
      </c>
      <c r="D1052" s="3">
        <v>-645623931862705</v>
      </c>
      <c r="E1052" s="3">
        <f>[1]!nefin_factors__1[[#This Row],[SMB]]/D1051-1</f>
        <v>-3.2017795124441228</v>
      </c>
      <c r="F1052" s="3">
        <v>279984084333255</v>
      </c>
      <c r="G1052" s="3">
        <f>[1]!nefin_factors__1[[#This Row],[HML]]/F1051-1</f>
        <v>-1.8782406421267059</v>
      </c>
      <c r="H1052" s="3">
        <v>265553924958972</v>
      </c>
      <c r="I1052" s="4">
        <f>[1]!nefin_factors__1[[#This Row],[Risk_Free]]/H1051-1</f>
        <v>-2.7879191188863173E-3</v>
      </c>
      <c r="J1052">
        <v>86939</v>
      </c>
      <c r="K1052">
        <v>87109</v>
      </c>
      <c r="L1052">
        <v>85431</v>
      </c>
      <c r="M1052">
        <v>85481</v>
      </c>
      <c r="N1052">
        <v>5947100</v>
      </c>
      <c r="O1052">
        <v>85481</v>
      </c>
      <c r="P1052">
        <v>-1.6725139472019399E-2</v>
      </c>
      <c r="Q1052">
        <v>-1.6866583954277401E-2</v>
      </c>
      <c r="R1052" s="8">
        <v>46.270004272460902</v>
      </c>
      <c r="S1052" s="8">
        <v>-1.7815567799195399E-4</v>
      </c>
      <c r="T1052" s="9">
        <v>-1.7817154959986001E-4</v>
      </c>
      <c r="U1052" s="12">
        <v>2.5551999999999998E-2</v>
      </c>
      <c r="V1052" s="16">
        <v>3.2381000000000002</v>
      </c>
      <c r="W1052" s="17">
        <f t="shared" si="16"/>
        <v>5.3713363139593628E-3</v>
      </c>
    </row>
    <row r="1053" spans="1:23" x14ac:dyDescent="0.2">
      <c r="A1053" s="15">
        <v>43076</v>
      </c>
      <c r="B1053" s="5">
        <v>-778246670176099</v>
      </c>
      <c r="C1053" s="5">
        <f>[1]!nefin_factors__1[[#This Row],[Rm_minus_Rf]]/B1052-1</f>
        <v>-1.8040771768112358</v>
      </c>
      <c r="D1053" s="5">
        <v>91089847012378</v>
      </c>
      <c r="E1053" s="5">
        <f>[1]!nefin_factors__1[[#This Row],[SMB]]/D1052-1</f>
        <v>-1.1410880893921831</v>
      </c>
      <c r="F1053" s="5">
        <v>-191962646050886</v>
      </c>
      <c r="G1053" s="5">
        <f>[1]!nefin_factors__1[[#This Row],[HML]]/F1052-1</f>
        <v>-1.6856198505283597</v>
      </c>
      <c r="H1053" s="5">
        <v>264811373973828</v>
      </c>
      <c r="I1053" s="6">
        <f>[1]!nefin_factors__1[[#This Row],[Risk_Free]]/H1052-1</f>
        <v>-2.7962342686470576E-3</v>
      </c>
      <c r="J1053">
        <v>85337</v>
      </c>
      <c r="K1053">
        <v>86260</v>
      </c>
      <c r="L1053">
        <v>84640</v>
      </c>
      <c r="M1053">
        <v>85378</v>
      </c>
      <c r="N1053">
        <v>4341300</v>
      </c>
      <c r="O1053">
        <v>85378</v>
      </c>
      <c r="P1053">
        <v>-1.2049461283793999E-3</v>
      </c>
      <c r="Q1053">
        <v>-1.20567265964488E-3</v>
      </c>
      <c r="R1053" s="8">
        <v>46.509017944335902</v>
      </c>
      <c r="S1053" s="8">
        <v>5.1657550488326499E-3</v>
      </c>
      <c r="T1053" s="9">
        <v>5.15245830836488E-3</v>
      </c>
      <c r="U1053" s="12">
        <v>2.5551999999999998E-2</v>
      </c>
      <c r="V1053" s="16">
        <v>3.2347000000000001</v>
      </c>
      <c r="W1053" s="17">
        <f t="shared" si="16"/>
        <v>-1.0499984558846043E-3</v>
      </c>
    </row>
    <row r="1054" spans="1:23" x14ac:dyDescent="0.2">
      <c r="A1054" s="14">
        <v>43077</v>
      </c>
      <c r="B1054" s="3">
        <v>448234043642652</v>
      </c>
      <c r="C1054" s="3">
        <f>[1]!nefin_factors__1[[#This Row],[Rm_minus_Rf]]/B1053-1</f>
        <v>-1.5759536928583673</v>
      </c>
      <c r="D1054" s="3">
        <v>564833894052731</v>
      </c>
      <c r="E1054" s="3">
        <f>[1]!nefin_factors__1[[#This Row],[SMB]]/D1053-1</f>
        <v>5.2008435910094013</v>
      </c>
      <c r="F1054" s="3">
        <v>153138674227482</v>
      </c>
      <c r="G1054" s="3">
        <f>[1]!nefin_factors__1[[#This Row],[HML]]/F1053-1</f>
        <v>-1.7977524657942441</v>
      </c>
      <c r="H1054" s="3">
        <v>264440046589653</v>
      </c>
      <c r="I1054" s="4">
        <f>[1]!nefin_factors__1[[#This Row],[Risk_Free]]/H1053-1</f>
        <v>-1.4022335166453681E-3</v>
      </c>
      <c r="J1054">
        <v>85378</v>
      </c>
      <c r="K1054">
        <v>85761</v>
      </c>
      <c r="L1054">
        <v>83897</v>
      </c>
      <c r="M1054">
        <v>85761</v>
      </c>
      <c r="N1054">
        <v>3884300</v>
      </c>
      <c r="O1054">
        <v>85761</v>
      </c>
      <c r="P1054">
        <v>4.4859331443698504E-3</v>
      </c>
      <c r="Q1054">
        <v>4.4759013364398499E-3</v>
      </c>
      <c r="R1054" s="8">
        <v>45.7013130187988</v>
      </c>
      <c r="S1054" s="8">
        <v>-1.7366607030054999E-2</v>
      </c>
      <c r="T1054" s="9">
        <v>-1.75191755283346E-2</v>
      </c>
      <c r="U1054" s="12">
        <v>2.5551999999999998E-2</v>
      </c>
      <c r="V1054" s="16">
        <v>3.2507000000000001</v>
      </c>
      <c r="W1054" s="17">
        <f t="shared" si="16"/>
        <v>4.9463628775465729E-3</v>
      </c>
    </row>
    <row r="1055" spans="1:23" x14ac:dyDescent="0.2">
      <c r="A1055" s="15">
        <v>43080</v>
      </c>
      <c r="B1055" s="5">
        <v>-605824621751862</v>
      </c>
      <c r="C1055" s="5">
        <f>[1]!nefin_factors__1[[#This Row],[Rm_minus_Rf]]/B1054-1</f>
        <v>-2.3515810107338631</v>
      </c>
      <c r="D1055" s="5">
        <v>-156685086594549</v>
      </c>
      <c r="E1055" s="5">
        <f>[1]!nefin_factors__1[[#This Row],[SMB]]/D1054-1</f>
        <v>-1.2774002910312627</v>
      </c>
      <c r="F1055" s="5">
        <v>924701515768067</v>
      </c>
      <c r="G1055" s="5">
        <f>[1]!nefin_factors__1[[#This Row],[HML]]/F1054-1</f>
        <v>5.0383278125710822</v>
      </c>
      <c r="H1055" s="5">
        <v>264440046589653</v>
      </c>
      <c r="I1055" s="6">
        <f>[1]!nefin_factors__1[[#This Row],[Risk_Free]]/H1054-1</f>
        <v>0</v>
      </c>
      <c r="J1055">
        <v>85292</v>
      </c>
      <c r="K1055">
        <v>86165</v>
      </c>
      <c r="L1055">
        <v>85053</v>
      </c>
      <c r="M1055">
        <v>86023</v>
      </c>
      <c r="N1055">
        <v>3425200</v>
      </c>
      <c r="O1055">
        <v>86023</v>
      </c>
      <c r="P1055">
        <v>3.0550016907451298E-3</v>
      </c>
      <c r="Q1055">
        <v>3.0503446555028399E-3</v>
      </c>
      <c r="R1055" s="8">
        <v>45.074928283691399</v>
      </c>
      <c r="S1055" s="8">
        <v>-1.3706078983405499E-2</v>
      </c>
      <c r="T1055" s="9">
        <v>-1.3800874463474E-2</v>
      </c>
      <c r="U1055" s="12">
        <v>2.5551999999999998E-2</v>
      </c>
      <c r="V1055" s="16">
        <v>3.2555000000000001</v>
      </c>
      <c r="W1055" s="17">
        <f t="shared" si="16"/>
        <v>1.47660503891478E-3</v>
      </c>
    </row>
    <row r="1056" spans="1:23" x14ac:dyDescent="0.2">
      <c r="A1056" s="14">
        <v>43081</v>
      </c>
      <c r="B1056" s="3">
        <v>11429768763588</v>
      </c>
      <c r="C1056" s="3">
        <f>[1]!nefin_factors__1[[#This Row],[Rm_minus_Rf]]/B1055-1</f>
        <v>-1.0188664645727612</v>
      </c>
      <c r="D1056" s="3">
        <v>-886673390479137</v>
      </c>
      <c r="E1056" s="3">
        <f>[1]!nefin_factors__1[[#This Row],[SMB]]/D1055-1</f>
        <v>4.6589520403659392</v>
      </c>
      <c r="F1056" s="3">
        <v>410602453610591</v>
      </c>
      <c r="G1056" s="3">
        <f>[1]!nefin_factors__1[[#This Row],[HML]]/F1055-1</f>
        <v>-0.5559621709178878</v>
      </c>
      <c r="H1056" s="3">
        <v>264440046589653</v>
      </c>
      <c r="I1056" s="4">
        <f>[1]!nefin_factors__1[[#This Row],[Risk_Free]]/H1055-1</f>
        <v>0</v>
      </c>
      <c r="J1056">
        <v>86023</v>
      </c>
      <c r="K1056">
        <v>86931</v>
      </c>
      <c r="L1056">
        <v>85653</v>
      </c>
      <c r="M1056">
        <v>85653</v>
      </c>
      <c r="N1056">
        <v>3608600</v>
      </c>
      <c r="O1056">
        <v>85653</v>
      </c>
      <c r="P1056">
        <v>-4.3011752670797402E-3</v>
      </c>
      <c r="Q1056">
        <v>-4.3104519313477497E-3</v>
      </c>
      <c r="R1056" s="8">
        <v>44.679317474365199</v>
      </c>
      <c r="S1056" s="8">
        <v>-8.7767432903702609E-3</v>
      </c>
      <c r="T1056" s="9">
        <v>-8.8154857567970205E-3</v>
      </c>
      <c r="U1056" s="12">
        <v>2.5551999999999998E-2</v>
      </c>
      <c r="V1056" s="16">
        <v>3.2597999999999998</v>
      </c>
      <c r="W1056" s="17">
        <f t="shared" si="16"/>
        <v>1.3208416525878341E-3</v>
      </c>
    </row>
    <row r="1057" spans="1:23" x14ac:dyDescent="0.2">
      <c r="A1057" s="15">
        <v>43082</v>
      </c>
      <c r="B1057" s="5">
        <v>-111347869044939</v>
      </c>
      <c r="C1057" s="5">
        <f>[1]!nefin_factors__1[[#This Row],[Rm_minus_Rf]]/B1056-1</f>
        <v>-10.741917911730788</v>
      </c>
      <c r="D1057" s="5">
        <v>-167542469002035</v>
      </c>
      <c r="E1057" s="5">
        <f>[1]!nefin_factors__1[[#This Row],[SMB]]/D1056-1</f>
        <v>-0.81104376109505316</v>
      </c>
      <c r="F1057" s="5">
        <v>-532258397423759</v>
      </c>
      <c r="G1057" s="5">
        <f>[1]!nefin_factors__1[[#This Row],[HML]]/F1056-1</f>
        <v>-2.2962864511485472</v>
      </c>
      <c r="H1057" s="5">
        <v>264440046589653</v>
      </c>
      <c r="I1057" s="6">
        <f>[1]!nefin_factors__1[[#This Row],[Risk_Free]]/H1056-1</f>
        <v>0</v>
      </c>
      <c r="J1057">
        <v>85653</v>
      </c>
      <c r="K1057">
        <v>85653</v>
      </c>
      <c r="L1057">
        <v>84397</v>
      </c>
      <c r="M1057">
        <v>85484</v>
      </c>
      <c r="N1057">
        <v>3456800</v>
      </c>
      <c r="O1057">
        <v>85484</v>
      </c>
      <c r="P1057">
        <v>-1.9730774170197999E-3</v>
      </c>
      <c r="Q1057">
        <v>-1.97502649848097E-3</v>
      </c>
      <c r="R1057" s="8">
        <v>44.835914611816399</v>
      </c>
      <c r="S1057" s="8">
        <v>3.5049633782398E-3</v>
      </c>
      <c r="T1057" s="9">
        <v>3.49883530902931E-3</v>
      </c>
      <c r="U1057" s="12">
        <v>2.5551999999999998E-2</v>
      </c>
      <c r="V1057" s="16">
        <v>3.2416999999999998</v>
      </c>
      <c r="W1057" s="17">
        <f t="shared" si="16"/>
        <v>-5.5524878826921364E-3</v>
      </c>
    </row>
    <row r="1058" spans="1:23" x14ac:dyDescent="0.2">
      <c r="A1058" s="14">
        <v>43083</v>
      </c>
      <c r="B1058" s="3">
        <v>-676943334164422</v>
      </c>
      <c r="C1058" s="3">
        <f>[1]!nefin_factors__1[[#This Row],[Rm_minus_Rf]]/B1057-1</f>
        <v>5.0795356028880425</v>
      </c>
      <c r="D1058" s="3">
        <v>-123051341237288</v>
      </c>
      <c r="E1058" s="3">
        <f>[1]!nefin_factors__1[[#This Row],[SMB]]/D1057-1</f>
        <v>-0.26555134366682043</v>
      </c>
      <c r="F1058" s="3">
        <v>-143678076922329</v>
      </c>
      <c r="G1058" s="3">
        <f>[1]!nefin_factors__1[[#This Row],[HML]]/F1057-1</f>
        <v>-0.73005953946849744</v>
      </c>
      <c r="H1058" s="3">
        <v>264440046589653</v>
      </c>
      <c r="I1058" s="4">
        <f>[1]!nefin_factors__1[[#This Row],[Risk_Free]]/H1057-1</f>
        <v>0</v>
      </c>
      <c r="J1058">
        <v>85510</v>
      </c>
      <c r="K1058">
        <v>85830</v>
      </c>
      <c r="L1058">
        <v>84491</v>
      </c>
      <c r="M1058">
        <v>84985</v>
      </c>
      <c r="N1058">
        <v>3694700</v>
      </c>
      <c r="O1058">
        <v>84985</v>
      </c>
      <c r="P1058">
        <v>-5.8373496794721404E-3</v>
      </c>
      <c r="Q1058">
        <v>-5.85445359862988E-3</v>
      </c>
      <c r="R1058" s="8">
        <v>45.808456420898402</v>
      </c>
      <c r="S1058" s="8">
        <v>2.1691095892311101E-2</v>
      </c>
      <c r="T1058" s="9">
        <v>2.14591915849104E-2</v>
      </c>
      <c r="U1058" s="12">
        <v>2.5551999999999998E-2</v>
      </c>
      <c r="V1058" s="16">
        <v>3.2351000000000001</v>
      </c>
      <c r="W1058" s="17">
        <f t="shared" si="16"/>
        <v>-2.0359687818118921E-3</v>
      </c>
    </row>
    <row r="1059" spans="1:23" x14ac:dyDescent="0.2">
      <c r="A1059" s="15">
        <v>43084</v>
      </c>
      <c r="B1059" s="5">
        <v>155321109048769</v>
      </c>
      <c r="C1059" s="5">
        <f>[1]!nefin_factors__1[[#This Row],[Rm_minus_Rf]]/B1058-1</f>
        <v>-1.2294447721248161</v>
      </c>
      <c r="D1059" s="5">
        <v>125790443630488</v>
      </c>
      <c r="E1059" s="5">
        <f>[1]!nefin_factors__1[[#This Row],[SMB]]/D1058-1</f>
        <v>-2.0222598337056565</v>
      </c>
      <c r="F1059" s="5">
        <v>490513835165128</v>
      </c>
      <c r="G1059" s="5">
        <f>[1]!nefin_factors__1[[#This Row],[HML]]/F1058-1</f>
        <v>-4.4139782886312933</v>
      </c>
      <c r="H1059" s="5">
        <v>264811373973828</v>
      </c>
      <c r="I1059" s="6">
        <f>[1]!nefin_factors__1[[#This Row],[Risk_Free]]/H1058-1</f>
        <v>1.4042025365061939E-3</v>
      </c>
      <c r="J1059">
        <v>84987</v>
      </c>
      <c r="K1059">
        <v>86389</v>
      </c>
      <c r="L1059">
        <v>84749</v>
      </c>
      <c r="M1059">
        <v>86371</v>
      </c>
      <c r="N1059">
        <v>3481500</v>
      </c>
      <c r="O1059">
        <v>86371</v>
      </c>
      <c r="P1059">
        <v>1.6308760369476899E-2</v>
      </c>
      <c r="Q1059">
        <v>1.6177200990099401E-2</v>
      </c>
      <c r="R1059" s="8">
        <v>46.970565795898402</v>
      </c>
      <c r="S1059" s="8">
        <v>2.5368911591474402E-2</v>
      </c>
      <c r="T1059" s="9">
        <v>2.5052461584735099E-2</v>
      </c>
      <c r="U1059" s="12">
        <v>2.5551999999999998E-2</v>
      </c>
      <c r="V1059" s="16">
        <v>3.2383000000000002</v>
      </c>
      <c r="W1059" s="17">
        <f t="shared" si="16"/>
        <v>9.8915025810653034E-4</v>
      </c>
    </row>
    <row r="1060" spans="1:23" x14ac:dyDescent="0.2">
      <c r="A1060" s="14">
        <v>43087</v>
      </c>
      <c r="B1060" s="3">
        <v>38046137151811</v>
      </c>
      <c r="C1060" s="3">
        <f>[1]!nefin_factors__1[[#This Row],[Rm_minus_Rf]]/B1059-1</f>
        <v>-0.75504850960171188</v>
      </c>
      <c r="D1060" s="3">
        <v>276200500938216</v>
      </c>
      <c r="E1060" s="3">
        <f>[1]!nefin_factors__1[[#This Row],[SMB]]/D1059-1</f>
        <v>1.195719269021426</v>
      </c>
      <c r="F1060" s="3">
        <v>-168134769918168</v>
      </c>
      <c r="G1060" s="3">
        <f>[1]!nefin_factors__1[[#This Row],[HML]]/F1059-1</f>
        <v>-1.3427727372084552</v>
      </c>
      <c r="H1060" s="3">
        <v>264440046589653</v>
      </c>
      <c r="I1060" s="4">
        <f>[1]!nefin_factors__1[[#This Row],[Risk_Free]]/H1059-1</f>
        <v>-1.4022335166453681E-3</v>
      </c>
      <c r="J1060">
        <v>86386</v>
      </c>
      <c r="K1060">
        <v>87046</v>
      </c>
      <c r="L1060">
        <v>86386</v>
      </c>
      <c r="M1060">
        <v>86900</v>
      </c>
      <c r="N1060">
        <v>2602900</v>
      </c>
      <c r="O1060">
        <v>86900</v>
      </c>
      <c r="P1060">
        <v>6.1247409431406403E-3</v>
      </c>
      <c r="Q1060">
        <v>6.1060609519320904E-3</v>
      </c>
      <c r="R1060" s="8">
        <v>47.061225891113303</v>
      </c>
      <c r="S1060" s="8">
        <v>1.9299996308992399E-3</v>
      </c>
      <c r="T1060" s="9">
        <v>1.9281395744991899E-3</v>
      </c>
      <c r="U1060" s="12">
        <v>2.5551999999999998E-2</v>
      </c>
      <c r="V1060" s="16">
        <v>3.2448999999999999</v>
      </c>
      <c r="W1060" s="17">
        <f t="shared" si="16"/>
        <v>2.0381064138590421E-3</v>
      </c>
    </row>
    <row r="1061" spans="1:23" x14ac:dyDescent="0.2">
      <c r="A1061" s="15">
        <v>43088</v>
      </c>
      <c r="B1061" s="5">
        <v>-510531643085116</v>
      </c>
      <c r="C1061" s="5">
        <f>[1]!nefin_factors__1[[#This Row],[Rm_minus_Rf]]/B1060-1</f>
        <v>-14.418751056066533</v>
      </c>
      <c r="D1061" s="5">
        <v>243731378112179</v>
      </c>
      <c r="E1061" s="5">
        <f>[1]!nefin_factors__1[[#This Row],[SMB]]/D1060-1</f>
        <v>-0.11755635024463662</v>
      </c>
      <c r="F1061" s="5">
        <v>159655546835573</v>
      </c>
      <c r="G1061" s="5">
        <f>[1]!nefin_factors__1[[#This Row],[HML]]/F1060-1</f>
        <v>-1.9495688899641528</v>
      </c>
      <c r="H1061" s="5">
        <v>264440046589653</v>
      </c>
      <c r="I1061" s="6">
        <f>[1]!nefin_factors__1[[#This Row],[Risk_Free]]/H1060-1</f>
        <v>0</v>
      </c>
      <c r="J1061">
        <v>86902</v>
      </c>
      <c r="K1061">
        <v>87333</v>
      </c>
      <c r="L1061">
        <v>86119</v>
      </c>
      <c r="M1061">
        <v>86384</v>
      </c>
      <c r="N1061">
        <v>2735800</v>
      </c>
      <c r="O1061">
        <v>86384</v>
      </c>
      <c r="P1061">
        <v>-5.9378596087457103E-3</v>
      </c>
      <c r="Q1061">
        <v>-5.9555587954152099E-3</v>
      </c>
      <c r="R1061" s="8">
        <v>47.143646240234403</v>
      </c>
      <c r="S1061" s="8">
        <v>1.75142067523848E-3</v>
      </c>
      <c r="T1061" s="9">
        <v>1.74988872651128E-3</v>
      </c>
      <c r="U1061" s="12">
        <v>2.5551999999999998E-2</v>
      </c>
      <c r="V1061" s="16">
        <v>3.262</v>
      </c>
      <c r="W1061" s="17">
        <f t="shared" si="16"/>
        <v>5.2698080064101926E-3</v>
      </c>
    </row>
    <row r="1062" spans="1:23" x14ac:dyDescent="0.2">
      <c r="A1062" s="14">
        <v>43089</v>
      </c>
      <c r="B1062" s="3">
        <v>55984030891923</v>
      </c>
      <c r="C1062" s="3">
        <f>[1]!nefin_factors__1[[#This Row],[Rm_minus_Rf]]/B1061-1</f>
        <v>-1.1096582976788949</v>
      </c>
      <c r="D1062" s="3">
        <v>219422527125781</v>
      </c>
      <c r="E1062" s="3">
        <f>[1]!nefin_factors__1[[#This Row],[SMB]]/D1061-1</f>
        <v>-9.9736239029550311E-2</v>
      </c>
      <c r="F1062" s="3">
        <v>464983518042582</v>
      </c>
      <c r="G1062" s="3">
        <f>[1]!nefin_factors__1[[#This Row],[HML]]/F1061-1</f>
        <v>1.9124169329454115</v>
      </c>
      <c r="H1062" s="3">
        <v>264440046589653</v>
      </c>
      <c r="I1062" s="4">
        <f>[1]!nefin_factors__1[[#This Row],[Risk_Free]]/H1061-1</f>
        <v>0</v>
      </c>
      <c r="J1062">
        <v>86383</v>
      </c>
      <c r="K1062">
        <v>86970</v>
      </c>
      <c r="L1062">
        <v>85691</v>
      </c>
      <c r="M1062">
        <v>86051</v>
      </c>
      <c r="N1062">
        <v>2561000</v>
      </c>
      <c r="O1062">
        <v>86051</v>
      </c>
      <c r="P1062">
        <v>-3.85488053343208E-3</v>
      </c>
      <c r="Q1062">
        <v>-3.8623297354138499E-3</v>
      </c>
      <c r="R1062" s="8">
        <v>46.995288848877003</v>
      </c>
      <c r="S1062" s="8">
        <v>-3.14694647000024E-3</v>
      </c>
      <c r="T1062" s="9">
        <v>-3.1519085189790699E-3</v>
      </c>
      <c r="U1062" s="12">
        <v>2.5551999999999998E-2</v>
      </c>
      <c r="V1062" s="16">
        <v>3.2614000000000001</v>
      </c>
      <c r="W1062" s="17">
        <f t="shared" si="16"/>
        <v>-1.8393623543833115E-4</v>
      </c>
    </row>
    <row r="1063" spans="1:23" x14ac:dyDescent="0.2">
      <c r="A1063" s="15">
        <v>43090</v>
      </c>
      <c r="B1063" s="5">
        <v>199821800050429</v>
      </c>
      <c r="C1063" s="5">
        <f>[1]!nefin_factors__1[[#This Row],[Rm_minus_Rf]]/B1062-1</f>
        <v>2.5692642503035263</v>
      </c>
      <c r="D1063" s="5">
        <v>-174017614216678</v>
      </c>
      <c r="E1063" s="5">
        <f>[1]!nefin_factors__1[[#This Row],[SMB]]/D1062-1</f>
        <v>-1.793070868776043</v>
      </c>
      <c r="F1063" s="5">
        <v>812346839150589</v>
      </c>
      <c r="G1063" s="5">
        <f>[1]!nefin_factors__1[[#This Row],[HML]]/F1062-1</f>
        <v>0.74704437389584277</v>
      </c>
      <c r="H1063" s="5">
        <v>264440046589653</v>
      </c>
      <c r="I1063" s="6">
        <f>[1]!nefin_factors__1[[#This Row],[Risk_Free]]/H1062-1</f>
        <v>0</v>
      </c>
      <c r="J1063">
        <v>86051</v>
      </c>
      <c r="K1063">
        <v>86051</v>
      </c>
      <c r="L1063">
        <v>84720</v>
      </c>
      <c r="M1063">
        <v>84928</v>
      </c>
      <c r="N1063">
        <v>3840100</v>
      </c>
      <c r="O1063">
        <v>84928</v>
      </c>
      <c r="P1063">
        <v>-1.30504003439821E-2</v>
      </c>
      <c r="Q1063">
        <v>-1.3136305030775E-2</v>
      </c>
      <c r="R1063" s="8">
        <v>46.896389007568402</v>
      </c>
      <c r="S1063" s="8">
        <v>-2.1044219080560401E-3</v>
      </c>
      <c r="T1063" s="9">
        <v>-2.10663931529268E-3</v>
      </c>
      <c r="U1063" s="12">
        <v>2.5551999999999998E-2</v>
      </c>
      <c r="V1063" s="16">
        <v>3.2582</v>
      </c>
      <c r="W1063" s="17">
        <f t="shared" si="16"/>
        <v>-9.8117372907347011E-4</v>
      </c>
    </row>
    <row r="1064" spans="1:23" x14ac:dyDescent="0.2">
      <c r="A1064" s="14">
        <v>43091</v>
      </c>
      <c r="B1064" s="3">
        <v>-240717130486531</v>
      </c>
      <c r="C1064" s="3">
        <f>[1]!nefin_factors__1[[#This Row],[Rm_minus_Rf]]/B1063-1</f>
        <v>-2.2046590033008471</v>
      </c>
      <c r="D1064" s="3">
        <v>846842886750088</v>
      </c>
      <c r="E1064" s="3">
        <f>[1]!nefin_factors__1[[#This Row],[SMB]]/D1063-1</f>
        <v>-5.8664205089930821</v>
      </c>
      <c r="F1064" s="3">
        <v>302041119343401</v>
      </c>
      <c r="G1064" s="3">
        <f>[1]!nefin_factors__1[[#This Row],[HML]]/F1063-1</f>
        <v>-0.62818699502884379</v>
      </c>
      <c r="H1064" s="3">
        <v>264440046589653</v>
      </c>
      <c r="I1064" s="4">
        <f>[1]!nefin_factors__1[[#This Row],[Risk_Free]]/H1063-1</f>
        <v>0</v>
      </c>
      <c r="J1064">
        <v>84928</v>
      </c>
      <c r="K1064">
        <v>85495</v>
      </c>
      <c r="L1064">
        <v>84525</v>
      </c>
      <c r="M1064">
        <v>84886</v>
      </c>
      <c r="N1064">
        <v>5446200</v>
      </c>
      <c r="O1064">
        <v>84886</v>
      </c>
      <c r="P1064">
        <v>-4.9453654860587303E-4</v>
      </c>
      <c r="Q1064">
        <v>-4.9465887213546002E-4</v>
      </c>
      <c r="R1064" s="8">
        <v>47.835964202880902</v>
      </c>
      <c r="S1064" s="8">
        <v>2.0035080247662099E-2</v>
      </c>
      <c r="T1064" s="9">
        <v>1.9837019104443399E-2</v>
      </c>
      <c r="U1064" s="12">
        <v>2.5551999999999998E-2</v>
      </c>
      <c r="V1064" s="16">
        <v>3.2246000000000001</v>
      </c>
      <c r="W1064" s="17">
        <f t="shared" si="16"/>
        <v>-1.0312442452888093E-2</v>
      </c>
    </row>
    <row r="1065" spans="1:23" x14ac:dyDescent="0.2">
      <c r="A1065" s="15">
        <v>43095</v>
      </c>
      <c r="B1065" s="5">
        <v>683593828590538</v>
      </c>
      <c r="C1065" s="5">
        <f>[1]!nefin_factors__1[[#This Row],[Rm_minus_Rf]]/B1064-1</f>
        <v>-3.839822106589907</v>
      </c>
      <c r="D1065" s="5">
        <v>-71464362783231</v>
      </c>
      <c r="E1065" s="5">
        <f>[1]!nefin_factors__1[[#This Row],[SMB]]/D1064-1</f>
        <v>-1.0843891634462306</v>
      </c>
      <c r="F1065" s="5">
        <v>-810602436010012</v>
      </c>
      <c r="G1065" s="5">
        <f>[1]!nefin_factors__1[[#This Row],[HML]]/F1064-1</f>
        <v>-3.6837486159902952</v>
      </c>
      <c r="H1065" s="5">
        <v>264440046589653</v>
      </c>
      <c r="I1065" s="6">
        <f>[1]!nefin_factors__1[[#This Row],[Risk_Free]]/H1064-1</f>
        <v>0</v>
      </c>
      <c r="J1065">
        <v>84886</v>
      </c>
      <c r="K1065">
        <v>84886</v>
      </c>
      <c r="L1065">
        <v>83678</v>
      </c>
      <c r="M1065">
        <v>83913</v>
      </c>
      <c r="N1065">
        <v>3330600</v>
      </c>
      <c r="O1065">
        <v>83913</v>
      </c>
      <c r="P1065">
        <v>-1.1462431967580001E-2</v>
      </c>
      <c r="Q1065">
        <v>-1.15286320026745E-2</v>
      </c>
      <c r="R1065" s="8">
        <v>46.484294891357401</v>
      </c>
      <c r="S1065" s="8">
        <v>-2.8256266491381601E-2</v>
      </c>
      <c r="T1065" s="9">
        <v>-2.8663157936799001E-2</v>
      </c>
      <c r="U1065" s="12">
        <v>2.5551999999999998E-2</v>
      </c>
      <c r="V1065" s="16">
        <v>3.2317999999999998</v>
      </c>
      <c r="W1065" s="17">
        <f t="shared" si="16"/>
        <v>2.232835080320017E-3</v>
      </c>
    </row>
    <row r="1066" spans="1:23" x14ac:dyDescent="0.2">
      <c r="A1066" s="14">
        <v>43096</v>
      </c>
      <c r="B1066" s="3">
        <v>523416765880576</v>
      </c>
      <c r="C1066" s="3">
        <f>[1]!nefin_factors__1[[#This Row],[Rm_minus_Rf]]/B1065-1</f>
        <v>-0.23431613336858481</v>
      </c>
      <c r="D1066" s="3">
        <v>-654156381.35415304</v>
      </c>
      <c r="E1066" s="3">
        <f>[1]!nefin_factors__1[[#This Row],[SMB]]/D1065-1</f>
        <v>-0.99999084639733882</v>
      </c>
      <c r="F1066" s="3">
        <v>-434662764106473</v>
      </c>
      <c r="G1066" s="3">
        <f>[1]!nefin_factors__1[[#This Row],[HML]]/F1065-1</f>
        <v>-0.46377811761090693</v>
      </c>
      <c r="H1066" s="3">
        <v>264811373973828</v>
      </c>
      <c r="I1066" s="4">
        <f>[1]!nefin_factors__1[[#This Row],[Risk_Free]]/H1065-1</f>
        <v>1.4042025365061939E-3</v>
      </c>
      <c r="J1066">
        <v>83919</v>
      </c>
      <c r="K1066">
        <v>84412</v>
      </c>
      <c r="L1066">
        <v>83682</v>
      </c>
      <c r="M1066">
        <v>84164</v>
      </c>
      <c r="N1066">
        <v>2682000</v>
      </c>
      <c r="O1066">
        <v>84164</v>
      </c>
      <c r="P1066">
        <v>2.99119325968555E-3</v>
      </c>
      <c r="Q1066">
        <v>2.9867285421334498E-3</v>
      </c>
      <c r="R1066" s="8">
        <v>47.638156890869098</v>
      </c>
      <c r="S1066" s="8">
        <v>2.4822621494011699E-2</v>
      </c>
      <c r="T1066" s="9">
        <v>2.4519545414147501E-2</v>
      </c>
      <c r="U1066" s="12">
        <v>2.5551999999999998E-2</v>
      </c>
      <c r="V1066" s="16">
        <v>3.2517999999999998</v>
      </c>
      <c r="W1066" s="17">
        <f t="shared" si="16"/>
        <v>6.1885017637230977E-3</v>
      </c>
    </row>
    <row r="1067" spans="1:23" x14ac:dyDescent="0.2">
      <c r="A1067" s="15">
        <v>43097</v>
      </c>
      <c r="B1067" s="5">
        <v>296901595054467</v>
      </c>
      <c r="C1067" s="5">
        <f>[1]!nefin_factors__1[[#This Row],[Rm_minus_Rf]]/B1066-1</f>
        <v>-0.43276254333395048</v>
      </c>
      <c r="D1067" s="5">
        <v>100939933214915</v>
      </c>
      <c r="E1067" s="5">
        <f>[1]!nefin_factors__1[[#This Row],[SMB]]/D1066-1</f>
        <v>-154306.50873166096</v>
      </c>
      <c r="F1067" s="5">
        <v>371437245965251</v>
      </c>
      <c r="G1067" s="5">
        <f>[1]!nefin_factors__1[[#This Row],[HML]]/F1066-1</f>
        <v>-1.8545412136436545</v>
      </c>
      <c r="H1067" s="5">
        <v>264811373973828</v>
      </c>
      <c r="I1067" s="6">
        <f>[1]!nefin_factors__1[[#This Row],[Risk_Free]]/H1066-1</f>
        <v>0</v>
      </c>
      <c r="J1067">
        <v>84166</v>
      </c>
      <c r="K1067">
        <v>85145</v>
      </c>
      <c r="L1067">
        <v>84080</v>
      </c>
      <c r="M1067">
        <v>84977</v>
      </c>
      <c r="N1067">
        <v>3260900</v>
      </c>
      <c r="O1067">
        <v>84977</v>
      </c>
      <c r="P1067">
        <v>9.6597119908750102E-3</v>
      </c>
      <c r="Q1067">
        <v>9.6133552623547201E-3</v>
      </c>
      <c r="R1067" s="8">
        <v>47.770027160644503</v>
      </c>
      <c r="S1067" s="8">
        <v>2.7681394364154101E-3</v>
      </c>
      <c r="T1067" s="9">
        <v>2.76431519417728E-3</v>
      </c>
      <c r="U1067" s="12">
        <v>2.5551999999999998E-2</v>
      </c>
      <c r="V1067" s="16">
        <v>3.2496</v>
      </c>
      <c r="W1067" s="17">
        <f t="shared" si="16"/>
        <v>-6.7654837320862971E-4</v>
      </c>
    </row>
    <row r="1068" spans="1:23" x14ac:dyDescent="0.2">
      <c r="A1068" s="14">
        <v>43102</v>
      </c>
      <c r="B1068" s="3">
        <v>184115117549066</v>
      </c>
      <c r="C1068" s="3">
        <f>[1]!nefin_factors__1[[#This Row],[Rm_minus_Rf]]/B1067-1</f>
        <v>-0.37987831451262555</v>
      </c>
      <c r="D1068" s="3">
        <v>155977079342404</v>
      </c>
      <c r="E1068" s="3">
        <f>[1]!nefin_factors__1[[#This Row],[SMB]]/D1067-1</f>
        <v>0.5452465082407707</v>
      </c>
      <c r="F1068" s="3">
        <v>105002607403058</v>
      </c>
      <c r="G1068" s="3">
        <f>[1]!nefin_factors__1[[#This Row],[HML]]/F1067-1</f>
        <v>-0.71730727452981036</v>
      </c>
      <c r="H1068" s="3">
        <v>264811373973828</v>
      </c>
      <c r="I1068" s="4">
        <f>[1]!nefin_factors__1[[#This Row],[Risk_Free]]/H1067-1</f>
        <v>0</v>
      </c>
      <c r="J1068">
        <v>84984</v>
      </c>
      <c r="K1068">
        <v>85499</v>
      </c>
      <c r="L1068">
        <v>84197</v>
      </c>
      <c r="M1068">
        <v>84768</v>
      </c>
      <c r="N1068">
        <v>3241700</v>
      </c>
      <c r="O1068">
        <v>84768</v>
      </c>
      <c r="P1068">
        <v>-2.4594890382103598E-3</v>
      </c>
      <c r="Q1068">
        <v>-2.4625185497613002E-3</v>
      </c>
      <c r="R1068" s="8">
        <v>48.091461181640597</v>
      </c>
      <c r="S1068" s="8">
        <v>6.7288155743383503E-3</v>
      </c>
      <c r="T1068" s="9">
        <v>6.7062781385000096E-3</v>
      </c>
      <c r="U1068" s="12">
        <v>2.5551999999999998E-2</v>
      </c>
      <c r="V1068" s="16">
        <v>3.2606000000000002</v>
      </c>
      <c r="W1068" s="17">
        <f t="shared" si="16"/>
        <v>3.3850320039390258E-3</v>
      </c>
    </row>
    <row r="1069" spans="1:23" x14ac:dyDescent="0.2">
      <c r="A1069" s="15">
        <v>43103</v>
      </c>
      <c r="B1069" s="5">
        <v>59823470432081</v>
      </c>
      <c r="C1069" s="5">
        <f>[1]!nefin_factors__1[[#This Row],[Rm_minus_Rf]]/B1068-1</f>
        <v>-0.67507572855260911</v>
      </c>
      <c r="D1069" s="5">
        <v>204482399629103</v>
      </c>
      <c r="E1069" s="5">
        <f>[1]!nefin_factors__1[[#This Row],[SMB]]/D1068-1</f>
        <v>0.31097723134191502</v>
      </c>
      <c r="F1069" s="5">
        <v>375836095580101</v>
      </c>
      <c r="G1069" s="5">
        <f>[1]!nefin_factors__1[[#This Row],[HML]]/F1068-1</f>
        <v>2.579302503769592</v>
      </c>
      <c r="H1069" s="5">
        <v>264440046589653</v>
      </c>
      <c r="I1069" s="6">
        <f>[1]!nefin_factors__1[[#This Row],[Risk_Free]]/H1068-1</f>
        <v>-1.4022335166453681E-3</v>
      </c>
      <c r="J1069">
        <v>84766</v>
      </c>
      <c r="K1069">
        <v>85450</v>
      </c>
      <c r="L1069">
        <v>84042</v>
      </c>
      <c r="M1069">
        <v>84377</v>
      </c>
      <c r="N1069">
        <v>3176900</v>
      </c>
      <c r="O1069">
        <v>84377</v>
      </c>
      <c r="P1069">
        <v>-4.6125896564741496E-3</v>
      </c>
      <c r="Q1069">
        <v>-4.6232604741899604E-3</v>
      </c>
      <c r="R1069" s="8">
        <v>47.9678344726562</v>
      </c>
      <c r="S1069" s="8">
        <v>-2.5706895160905198E-3</v>
      </c>
      <c r="T1069" s="9">
        <v>-2.5739994120780501E-3</v>
      </c>
      <c r="U1069" s="12">
        <v>2.5551999999999998E-2</v>
      </c>
      <c r="V1069" s="16">
        <v>3.2492000000000001</v>
      </c>
      <c r="W1069" s="17">
        <f t="shared" si="16"/>
        <v>-3.4962890265595181E-3</v>
      </c>
    </row>
    <row r="1070" spans="1:23" x14ac:dyDescent="0.2">
      <c r="A1070" s="14">
        <v>43104</v>
      </c>
      <c r="B1070" s="3">
        <v>638174298856205</v>
      </c>
      <c r="C1070" s="3">
        <f>[1]!nefin_factors__1[[#This Row],[Rm_minus_Rf]]/B1069-1</f>
        <v>9.667624165681584</v>
      </c>
      <c r="D1070" s="3">
        <v>266837388573398</v>
      </c>
      <c r="E1070" s="3">
        <f>[1]!nefin_factors__1[[#This Row],[SMB]]/D1069-1</f>
        <v>0.30494061619678048</v>
      </c>
      <c r="F1070" s="3">
        <v>69711311234067</v>
      </c>
      <c r="G1070" s="3">
        <f>[1]!nefin_factors__1[[#This Row],[HML]]/F1069-1</f>
        <v>-0.81451672137433218</v>
      </c>
      <c r="H1070" s="3">
        <v>264068684602492</v>
      </c>
      <c r="I1070" s="4">
        <f>[1]!nefin_factors__1[[#This Row],[Risk_Free]]/H1069-1</f>
        <v>-1.4043333903100974E-3</v>
      </c>
      <c r="J1070">
        <v>84377</v>
      </c>
      <c r="K1070">
        <v>85553</v>
      </c>
      <c r="L1070">
        <v>84357</v>
      </c>
      <c r="M1070">
        <v>85088</v>
      </c>
      <c r="N1070">
        <v>2355600</v>
      </c>
      <c r="O1070">
        <v>85088</v>
      </c>
      <c r="P1070">
        <v>8.4264669281912691E-3</v>
      </c>
      <c r="Q1070">
        <v>8.3911624451399897E-3</v>
      </c>
      <c r="R1070" s="8">
        <v>48.429378509521499</v>
      </c>
      <c r="S1070" s="8">
        <v>9.6219813753253298E-3</v>
      </c>
      <c r="T1070" s="9">
        <v>9.5759849284602194E-3</v>
      </c>
      <c r="U1070" s="12">
        <v>2.5551999999999998E-2</v>
      </c>
      <c r="V1070" s="16">
        <v>3.2584</v>
      </c>
      <c r="W1070" s="17">
        <f t="shared" si="16"/>
        <v>2.8314662070663132E-3</v>
      </c>
    </row>
    <row r="1071" spans="1:23" x14ac:dyDescent="0.2">
      <c r="A1071" s="15">
        <v>43105</v>
      </c>
      <c r="B1071" s="5">
        <v>468488519385147</v>
      </c>
      <c r="C1071" s="5">
        <f>[1]!nefin_factors__1[[#This Row],[Rm_minus_Rf]]/B1070-1</f>
        <v>-0.26589253088879405</v>
      </c>
      <c r="D1071" s="5">
        <v>-156825799209638</v>
      </c>
      <c r="E1071" s="5">
        <f>[1]!nefin_factors__1[[#This Row],[SMB]]/D1070-1</f>
        <v>-1.5877204841798265</v>
      </c>
      <c r="F1071" s="5">
        <v>-591080246957344</v>
      </c>
      <c r="G1071" s="5">
        <f>[1]!nefin_factors__1[[#This Row],[HML]]/F1070-1</f>
        <v>-9.4789718697543428</v>
      </c>
      <c r="H1071" s="5">
        <v>264068684602492</v>
      </c>
      <c r="I1071" s="6">
        <f>[1]!nefin_factors__1[[#This Row],[Risk_Free]]/H1070-1</f>
        <v>0</v>
      </c>
      <c r="J1071">
        <v>85103</v>
      </c>
      <c r="K1071">
        <v>85296</v>
      </c>
      <c r="L1071">
        <v>83542</v>
      </c>
      <c r="M1071">
        <v>83808</v>
      </c>
      <c r="N1071">
        <v>2948400</v>
      </c>
      <c r="O1071">
        <v>83808</v>
      </c>
      <c r="P1071">
        <v>-1.5043249341857899E-2</v>
      </c>
      <c r="Q1071">
        <v>-1.5157546735307901E-2</v>
      </c>
      <c r="R1071" s="8">
        <v>48.297508239746101</v>
      </c>
      <c r="S1071" s="8">
        <v>-2.7229948143102601E-3</v>
      </c>
      <c r="T1071" s="9">
        <v>-2.7267089085280102E-3</v>
      </c>
      <c r="U1071" s="12">
        <v>2.5551999999999998E-2</v>
      </c>
      <c r="V1071" s="16">
        <v>3.2858999999999998</v>
      </c>
      <c r="W1071" s="17">
        <f t="shared" si="16"/>
        <v>8.439725018413835E-3</v>
      </c>
    </row>
    <row r="1072" spans="1:23" x14ac:dyDescent="0.2">
      <c r="A1072" s="14">
        <v>43108</v>
      </c>
      <c r="B1072" s="3">
        <v>246588182242627</v>
      </c>
      <c r="C1072" s="3">
        <f>[1]!nefin_factors__1[[#This Row],[Rm_minus_Rf]]/B1071-1</f>
        <v>-0.4736516007558651</v>
      </c>
      <c r="D1072" s="3">
        <v>-147680382557618</v>
      </c>
      <c r="E1072" s="3">
        <f>[1]!nefin_factors__1[[#This Row],[SMB]]/D1071-1</f>
        <v>-5.8315766271305858E-2</v>
      </c>
      <c r="F1072" s="3">
        <v>217974919165888</v>
      </c>
      <c r="G1072" s="3">
        <f>[1]!nefin_factors__1[[#This Row],[HML]]/F1071-1</f>
        <v>-1.3687738175788142</v>
      </c>
      <c r="H1072" s="3">
        <v>26332585679345</v>
      </c>
      <c r="I1072" s="4">
        <f>[1]!nefin_factors__1[[#This Row],[Risk_Free]]/H1071-1</f>
        <v>-0.90028130098431025</v>
      </c>
      <c r="J1072">
        <v>83806</v>
      </c>
      <c r="K1072">
        <v>83889</v>
      </c>
      <c r="L1072">
        <v>82889</v>
      </c>
      <c r="M1072">
        <v>83874</v>
      </c>
      <c r="N1072">
        <v>2911400</v>
      </c>
      <c r="O1072">
        <v>83874</v>
      </c>
      <c r="P1072">
        <v>7.8751431844215102E-4</v>
      </c>
      <c r="Q1072">
        <v>7.8720439174507595E-4</v>
      </c>
      <c r="R1072" s="8">
        <v>48.627185821533203</v>
      </c>
      <c r="S1072" s="8">
        <v>6.82595367452676E-3</v>
      </c>
      <c r="T1072" s="9">
        <v>6.80276232829933E-3</v>
      </c>
      <c r="U1072" s="12">
        <v>2.5551999999999998E-2</v>
      </c>
      <c r="V1072" s="16">
        <v>3.2905000000000002</v>
      </c>
      <c r="W1072" s="17">
        <f t="shared" si="16"/>
        <v>1.399920874037619E-3</v>
      </c>
    </row>
    <row r="1073" spans="1:23" x14ac:dyDescent="0.2">
      <c r="A1073" s="15">
        <v>43109</v>
      </c>
      <c r="B1073" s="5">
        <v>-557131668979046</v>
      </c>
      <c r="C1073" s="5">
        <f>[1]!nefin_factors__1[[#This Row],[Rm_minus_Rf]]/B1072-1</f>
        <v>-3.2593607849011357</v>
      </c>
      <c r="D1073" s="5">
        <v>-635075087604533</v>
      </c>
      <c r="E1073" s="5">
        <f>[1]!nefin_factors__1[[#This Row],[SMB]]/D1072-1</f>
        <v>3.3003347946824038</v>
      </c>
      <c r="F1073" s="5">
        <v>-37876615819102</v>
      </c>
      <c r="G1073" s="5">
        <f>[1]!nefin_factors__1[[#This Row],[HML]]/F1072-1</f>
        <v>-1.173765935842721</v>
      </c>
      <c r="H1073" s="5">
        <v>26295439095847</v>
      </c>
      <c r="I1073" s="6">
        <f>[1]!nefin_factors__1[[#This Row],[Risk_Free]]/H1072-1</f>
        <v>-1.4106698047179345E-3</v>
      </c>
      <c r="J1073">
        <v>83874</v>
      </c>
      <c r="K1073">
        <v>85708</v>
      </c>
      <c r="L1073">
        <v>83874</v>
      </c>
      <c r="M1073">
        <v>85366</v>
      </c>
      <c r="N1073">
        <v>3150300</v>
      </c>
      <c r="O1073">
        <v>85366</v>
      </c>
      <c r="P1073">
        <v>1.7788587643369901E-2</v>
      </c>
      <c r="Q1073">
        <v>1.7632222340395701E-2</v>
      </c>
      <c r="R1073" s="8">
        <v>49.987098693847699</v>
      </c>
      <c r="S1073" s="8">
        <v>2.7966133196158701E-2</v>
      </c>
      <c r="T1073" s="9">
        <v>2.7582222128582599E-2</v>
      </c>
      <c r="U1073" s="12">
        <v>2.5551999999999998E-2</v>
      </c>
      <c r="V1073" s="16">
        <v>3.2911000000000001</v>
      </c>
      <c r="W1073" s="17">
        <f t="shared" si="16"/>
        <v>1.8234310895004491E-4</v>
      </c>
    </row>
    <row r="1074" spans="1:23" x14ac:dyDescent="0.2">
      <c r="A1074" s="14">
        <v>43110</v>
      </c>
      <c r="B1074" s="3">
        <v>-788108428047415</v>
      </c>
      <c r="C1074" s="3">
        <f>[1]!nefin_factors__1[[#This Row],[Rm_minus_Rf]]/B1073-1</f>
        <v>0.41458199547629038</v>
      </c>
      <c r="D1074" s="3">
        <v>205227973450613</v>
      </c>
      <c r="E1074" s="3">
        <f>[1]!nefin_factors__1[[#This Row],[SMB]]/D1073-1</f>
        <v>-1.3231554464287383</v>
      </c>
      <c r="F1074" s="3">
        <v>-512713289039279</v>
      </c>
      <c r="G1074" s="3">
        <f>[1]!nefin_factors__1[[#This Row],[HML]]/F1073-1</f>
        <v>12.536407040375201</v>
      </c>
      <c r="H1074" s="3">
        <v>263697288005904</v>
      </c>
      <c r="I1074" s="4">
        <f>[1]!nefin_factors__1[[#This Row],[Risk_Free]]/H1073-1</f>
        <v>9.0282519354297968</v>
      </c>
      <c r="J1074">
        <v>85365</v>
      </c>
      <c r="K1074">
        <v>85675</v>
      </c>
      <c r="L1074">
        <v>84166</v>
      </c>
      <c r="M1074">
        <v>84666</v>
      </c>
      <c r="N1074">
        <v>2598500</v>
      </c>
      <c r="O1074">
        <v>84666</v>
      </c>
      <c r="P1074">
        <v>-8.1999859428812903E-3</v>
      </c>
      <c r="Q1074">
        <v>-8.2337907537635598E-3</v>
      </c>
      <c r="R1074" s="8">
        <v>48.618942260742202</v>
      </c>
      <c r="S1074" s="8">
        <v>-2.7370087655450001E-2</v>
      </c>
      <c r="T1074" s="9">
        <v>-2.7751626452939101E-2</v>
      </c>
      <c r="U1074" s="12">
        <v>2.5551999999999998E-2</v>
      </c>
      <c r="V1074" s="16">
        <v>3.2980999999999998</v>
      </c>
      <c r="W1074" s="17">
        <f t="shared" si="16"/>
        <v>2.1269484366928104E-3</v>
      </c>
    </row>
    <row r="1075" spans="1:23" x14ac:dyDescent="0.2">
      <c r="A1075" s="15">
        <v>43111</v>
      </c>
      <c r="B1075" s="5">
        <v>142910283994411</v>
      </c>
      <c r="C1075" s="5">
        <f>[1]!nefin_factors__1[[#This Row],[Rm_minus_Rf]]/B1074-1</f>
        <v>-1.1813332771335534</v>
      </c>
      <c r="D1075" s="5">
        <v>-396177983065111</v>
      </c>
      <c r="E1075" s="5">
        <f>[1]!nefin_factors__1[[#This Row],[SMB]]/D1074-1</f>
        <v>-2.930428763700915</v>
      </c>
      <c r="F1075" s="5">
        <v>123362950630253</v>
      </c>
      <c r="G1075" s="5">
        <f>[1]!nefin_factors__1[[#This Row],[HML]]/F1074-1</f>
        <v>-1.2406080615960047</v>
      </c>
      <c r="H1075" s="5">
        <v>262582890494967</v>
      </c>
      <c r="I1075" s="6">
        <f>[1]!nefin_factors__1[[#This Row],[Risk_Free]]/H1074-1</f>
        <v>-4.226048433657148E-3</v>
      </c>
      <c r="J1075">
        <v>84669</v>
      </c>
      <c r="K1075">
        <v>85411</v>
      </c>
      <c r="L1075">
        <v>84210</v>
      </c>
      <c r="M1075">
        <v>84623</v>
      </c>
      <c r="N1075">
        <v>2579000</v>
      </c>
      <c r="O1075">
        <v>84623</v>
      </c>
      <c r="P1075">
        <v>-5.0787801478746598E-4</v>
      </c>
      <c r="Q1075">
        <v>-5.0800702851042296E-4</v>
      </c>
      <c r="R1075" s="8">
        <v>47.151885986328097</v>
      </c>
      <c r="S1075" s="8">
        <v>-3.01747530836757E-2</v>
      </c>
      <c r="T1075" s="9">
        <v>-3.0639381533300002E-2</v>
      </c>
      <c r="U1075" s="12">
        <v>2.5551999999999998E-2</v>
      </c>
      <c r="V1075" s="16">
        <v>3.2921</v>
      </c>
      <c r="W1075" s="17">
        <f t="shared" si="16"/>
        <v>-1.8192292532063226E-3</v>
      </c>
    </row>
    <row r="1076" spans="1:23" x14ac:dyDescent="0.2">
      <c r="A1076" s="14">
        <v>43112</v>
      </c>
      <c r="B1076" s="3">
        <v>-622037184480664</v>
      </c>
      <c r="C1076" s="3">
        <f>[1]!nefin_factors__1[[#This Row],[Rm_minus_Rf]]/B1075-1</f>
        <v>-5.3526411612546436</v>
      </c>
      <c r="D1076" s="3">
        <v>-137949974407065</v>
      </c>
      <c r="E1076" s="3">
        <f>[1]!nefin_factors__1[[#This Row],[SMB]]/D1075-1</f>
        <v>-0.65179797892909863</v>
      </c>
      <c r="F1076" s="3">
        <v>-511461751171079</v>
      </c>
      <c r="G1076" s="3">
        <f>[1]!nefin_factors__1[[#This Row],[HML]]/F1075-1</f>
        <v>-5.1459915522290558</v>
      </c>
      <c r="H1076" s="3">
        <v>262211355396058</v>
      </c>
      <c r="I1076" s="4">
        <f>[1]!nefin_factors__1[[#This Row],[Risk_Free]]/H1075-1</f>
        <v>-1.4149250098079991E-3</v>
      </c>
      <c r="J1076">
        <v>84610</v>
      </c>
      <c r="K1076">
        <v>84610</v>
      </c>
      <c r="L1076">
        <v>82826</v>
      </c>
      <c r="M1076">
        <v>84360</v>
      </c>
      <c r="N1076">
        <v>2948300</v>
      </c>
      <c r="O1076">
        <v>84360</v>
      </c>
      <c r="P1076">
        <v>-3.1079021069921899E-3</v>
      </c>
      <c r="Q1076">
        <v>-3.1127416645943102E-3</v>
      </c>
      <c r="R1076" s="8">
        <v>47.2672729492188</v>
      </c>
      <c r="S1076" s="8">
        <v>2.4472249367810698E-3</v>
      </c>
      <c r="T1076" s="9">
        <v>2.4442353582894301E-3</v>
      </c>
      <c r="U1076" s="12">
        <v>2.462E-2</v>
      </c>
      <c r="V1076" s="16">
        <v>3.3033000000000001</v>
      </c>
      <c r="W1076" s="17">
        <f t="shared" si="16"/>
        <v>3.4020837763131251E-3</v>
      </c>
    </row>
    <row r="1077" spans="1:23" x14ac:dyDescent="0.2">
      <c r="A1077" s="15">
        <v>43115</v>
      </c>
      <c r="B1077" s="5">
        <v>570529226412132</v>
      </c>
      <c r="C1077" s="5">
        <f>[1]!nefin_factors__1[[#This Row],[Rm_minus_Rf]]/B1076-1</f>
        <v>-1.917194728299827</v>
      </c>
      <c r="D1077" s="5">
        <v>13178564285054</v>
      </c>
      <c r="E1077" s="5">
        <f>[1]!nefin_factors__1[[#This Row],[SMB]]/D1076-1</f>
        <v>-1.0955314732148227</v>
      </c>
      <c r="F1077" s="5">
        <v>-134969786145026</v>
      </c>
      <c r="G1077" s="5">
        <f>[1]!nefin_factors__1[[#This Row],[HML]]/F1076-1</f>
        <v>-0.73610971722520868</v>
      </c>
      <c r="H1077" s="5">
        <v>262211355396058</v>
      </c>
      <c r="I1077" s="6">
        <f>[1]!nefin_factors__1[[#This Row],[Risk_Free]]/H1076-1</f>
        <v>0</v>
      </c>
      <c r="J1077">
        <v>84374</v>
      </c>
      <c r="K1077">
        <v>86148</v>
      </c>
      <c r="L1077">
        <v>84374</v>
      </c>
      <c r="M1077">
        <v>85210</v>
      </c>
      <c r="N1077">
        <v>4257700</v>
      </c>
      <c r="O1077">
        <v>85210</v>
      </c>
      <c r="P1077">
        <v>1.00758653390232E-2</v>
      </c>
      <c r="Q1077">
        <v>1.00254422292907E-2</v>
      </c>
      <c r="R1077" s="8">
        <v>47.8029975891113</v>
      </c>
      <c r="S1077" s="8">
        <v>1.13338669517165E-2</v>
      </c>
      <c r="T1077" s="9">
        <v>1.1270119896571999E-2</v>
      </c>
      <c r="U1077" s="12">
        <v>2.462E-2</v>
      </c>
      <c r="V1077" s="16">
        <v>3.3041</v>
      </c>
      <c r="W1077" s="17">
        <f t="shared" si="16"/>
        <v>2.4218206036374923E-4</v>
      </c>
    </row>
    <row r="1078" spans="1:23" x14ac:dyDescent="0.2">
      <c r="A1078" s="14">
        <v>43116</v>
      </c>
      <c r="B1078" s="3">
        <v>168470734738115</v>
      </c>
      <c r="C1078" s="3">
        <f>[1]!nefin_factors__1[[#This Row],[Rm_minus_Rf]]/B1077-1</f>
        <v>-0.70471147324463768</v>
      </c>
      <c r="D1078" s="3">
        <v>219478431603361</v>
      </c>
      <c r="E1078" s="3">
        <f>[1]!nefin_factors__1[[#This Row],[SMB]]/D1077-1</f>
        <v>15.654198959462882</v>
      </c>
      <c r="F1078" s="3">
        <v>-27649769074781</v>
      </c>
      <c r="G1078" s="3">
        <f>[1]!nefin_factors__1[[#This Row],[HML]]/F1077-1</f>
        <v>-0.79514104701128352</v>
      </c>
      <c r="H1078" s="3">
        <v>261839785655305</v>
      </c>
      <c r="I1078" s="4">
        <f>[1]!nefin_factors__1[[#This Row],[Risk_Free]]/H1077-1</f>
        <v>-1.4170619735051071E-3</v>
      </c>
      <c r="J1078">
        <v>85210</v>
      </c>
      <c r="K1078">
        <v>85210</v>
      </c>
      <c r="L1078">
        <v>83833</v>
      </c>
      <c r="M1078">
        <v>84820</v>
      </c>
      <c r="N1078">
        <v>3069100</v>
      </c>
      <c r="O1078">
        <v>84820</v>
      </c>
      <c r="P1078">
        <v>-4.5769275906584203E-3</v>
      </c>
      <c r="Q1078">
        <v>-4.5874337934199896E-3</v>
      </c>
      <c r="R1078" s="8">
        <v>48.379928588867202</v>
      </c>
      <c r="S1078" s="8">
        <v>1.20689716861091E-2</v>
      </c>
      <c r="T1078" s="9">
        <v>1.19967223829351E-2</v>
      </c>
      <c r="U1078" s="12">
        <v>2.462E-2</v>
      </c>
      <c r="V1078" s="16">
        <v>3.3033999999999999</v>
      </c>
      <c r="W1078" s="17">
        <f t="shared" si="16"/>
        <v>-2.11857994612763E-4</v>
      </c>
    </row>
    <row r="1079" spans="1:23" x14ac:dyDescent="0.2">
      <c r="A1079" s="15">
        <v>43117</v>
      </c>
      <c r="B1079" s="5">
        <v>155746776354346</v>
      </c>
      <c r="C1079" s="5">
        <f>[1]!nefin_factors__1[[#This Row],[Rm_minus_Rf]]/B1078-1</f>
        <v>-7.5526223611170118E-2</v>
      </c>
      <c r="D1079" s="5">
        <v>-412172521801958</v>
      </c>
      <c r="E1079" s="5">
        <f>[1]!nefin_factors__1[[#This Row],[SMB]]/D1078-1</f>
        <v>-2.8779636741109558</v>
      </c>
      <c r="F1079" s="5">
        <v>424721438508279</v>
      </c>
      <c r="G1079" s="5">
        <f>[1]!nefin_factors__1[[#This Row],[HML]]/F1078-1</f>
        <v>-16.360758976307764</v>
      </c>
      <c r="H1079" s="5">
        <v>261839785655305</v>
      </c>
      <c r="I1079" s="6">
        <f>[1]!nefin_factors__1[[#This Row],[Risk_Free]]/H1078-1</f>
        <v>0</v>
      </c>
      <c r="J1079">
        <v>84832</v>
      </c>
      <c r="K1079">
        <v>85110</v>
      </c>
      <c r="L1079">
        <v>83155</v>
      </c>
      <c r="M1079">
        <v>83307</v>
      </c>
      <c r="N1079">
        <v>3174800</v>
      </c>
      <c r="O1079">
        <v>83307</v>
      </c>
      <c r="P1079">
        <v>-1.78377741098797E-2</v>
      </c>
      <c r="Q1079">
        <v>-1.7998784790828601E-2</v>
      </c>
      <c r="R1079" s="8">
        <v>47.547496795654297</v>
      </c>
      <c r="S1079" s="8">
        <v>-1.7206108282131399E-2</v>
      </c>
      <c r="T1079" s="9">
        <v>-1.7355853537711199E-2</v>
      </c>
      <c r="U1079" s="12">
        <v>2.462E-2</v>
      </c>
      <c r="V1079" s="16">
        <v>3.3256000000000001</v>
      </c>
      <c r="W1079" s="17">
        <f t="shared" si="16"/>
        <v>6.7203487316098709E-3</v>
      </c>
    </row>
    <row r="1080" spans="1:23" x14ac:dyDescent="0.2">
      <c r="A1080" s="14">
        <v>43118</v>
      </c>
      <c r="B1080" s="3">
        <v>-305498714467002</v>
      </c>
      <c r="C1080" s="3">
        <f>[1]!nefin_factors__1[[#This Row],[Rm_minus_Rf]]/B1079-1</f>
        <v>-2.9615090701585318</v>
      </c>
      <c r="D1080" s="3">
        <v>-422714962480137</v>
      </c>
      <c r="E1080" s="3">
        <f>[1]!nefin_factors__1[[#This Row],[SMB]]/D1079-1</f>
        <v>2.5577737768857078E-2</v>
      </c>
      <c r="F1080" s="3">
        <v>-121382362883256</v>
      </c>
      <c r="G1080" s="3">
        <f>[1]!nefin_factors__1[[#This Row],[HML]]/F1079-1</f>
        <v>-1.2857928794684328</v>
      </c>
      <c r="H1080" s="3">
        <v>261468181266267</v>
      </c>
      <c r="I1080" s="4">
        <f>[1]!nefin_factors__1[[#This Row],[Risk_Free]]/H1079-1</f>
        <v>-1.4192052140128419E-3</v>
      </c>
      <c r="J1080">
        <v>83312</v>
      </c>
      <c r="K1080">
        <v>84538</v>
      </c>
      <c r="L1080">
        <v>83312</v>
      </c>
      <c r="M1080">
        <v>84510</v>
      </c>
      <c r="N1080">
        <v>3518700</v>
      </c>
      <c r="O1080">
        <v>84510</v>
      </c>
      <c r="P1080">
        <v>1.44405632179769E-2</v>
      </c>
      <c r="Q1080">
        <v>1.43372913007749E-2</v>
      </c>
      <c r="R1080" s="8">
        <v>47.835964202880902</v>
      </c>
      <c r="S1080" s="8">
        <v>6.0668713783045298E-3</v>
      </c>
      <c r="T1080" s="9">
        <v>6.0485420113921204E-3</v>
      </c>
      <c r="U1080" s="12">
        <v>2.462E-2</v>
      </c>
      <c r="V1080" s="16">
        <v>3.3380000000000001</v>
      </c>
      <c r="W1080" s="17">
        <f t="shared" si="16"/>
        <v>3.7286504690883238E-3</v>
      </c>
    </row>
    <row r="1081" spans="1:23" x14ac:dyDescent="0.2">
      <c r="A1081" s="15">
        <v>43119</v>
      </c>
      <c r="B1081" s="5">
        <v>307928904113295</v>
      </c>
      <c r="C1081" s="5">
        <f>[1]!nefin_factors__1[[#This Row],[Rm_minus_Rf]]/B1080-1</f>
        <v>-2.0079548277331805</v>
      </c>
      <c r="D1081" s="5">
        <v>534801637748404</v>
      </c>
      <c r="E1081" s="5">
        <f>[1]!nefin_factors__1[[#This Row],[SMB]]/D1080-1</f>
        <v>-2.2651589965272021</v>
      </c>
      <c r="F1081" s="5">
        <v>191790160021164</v>
      </c>
      <c r="G1081" s="5">
        <f>[1]!nefin_factors__1[[#This Row],[HML]]/F1080-1</f>
        <v>-2.580049650257882</v>
      </c>
      <c r="H1081" s="5">
        <v>261096542222727</v>
      </c>
      <c r="I1081" s="6">
        <f>[1]!nefin_factors__1[[#This Row],[Risk_Free]]/H1080-1</f>
        <v>-1.4213547581207742E-3</v>
      </c>
      <c r="J1081">
        <v>84494</v>
      </c>
      <c r="K1081">
        <v>85417</v>
      </c>
      <c r="L1081">
        <v>84340</v>
      </c>
      <c r="M1081">
        <v>85246</v>
      </c>
      <c r="N1081">
        <v>3370600</v>
      </c>
      <c r="O1081">
        <v>85246</v>
      </c>
      <c r="P1081">
        <v>8.7090285173352395E-3</v>
      </c>
      <c r="Q1081">
        <v>8.6713236853047295E-3</v>
      </c>
      <c r="R1081" s="8">
        <v>48.000801086425803</v>
      </c>
      <c r="S1081" s="8">
        <v>3.4459475986159398E-3</v>
      </c>
      <c r="T1081" s="9">
        <v>3.4400239257332999E-3</v>
      </c>
      <c r="U1081" s="12">
        <v>2.462E-2</v>
      </c>
      <c r="V1081" s="16">
        <v>3.3237999999999999</v>
      </c>
      <c r="W1081" s="17">
        <f t="shared" si="16"/>
        <v>-4.2540443379269766E-3</v>
      </c>
    </row>
    <row r="1082" spans="1:23" x14ac:dyDescent="0.2">
      <c r="A1082" s="14">
        <v>43122</v>
      </c>
      <c r="B1082" s="3">
        <v>559732485789214</v>
      </c>
      <c r="C1082" s="3">
        <f>[1]!nefin_factors__1[[#This Row],[Rm_minus_Rf]]/B1081-1</f>
        <v>0.81773285428013587</v>
      </c>
      <c r="D1082" s="3">
        <v>-485463042271366</v>
      </c>
      <c r="E1082" s="3">
        <f>[1]!nefin_factors__1[[#This Row],[SMB]]/D1081-1</f>
        <v>-1.9077441204466745</v>
      </c>
      <c r="F1082" s="3">
        <v>231576072273345</v>
      </c>
      <c r="G1082" s="3">
        <f>[1]!nefin_factors__1[[#This Row],[HML]]/F1081-1</f>
        <v>0.20744501306944341</v>
      </c>
      <c r="H1082" s="3">
        <v>260353160145277</v>
      </c>
      <c r="I1082" s="4">
        <f>[1]!nefin_factors__1[[#This Row],[Risk_Free]]/H1081-1</f>
        <v>-2.8471540493089087E-3</v>
      </c>
      <c r="J1082">
        <v>85246</v>
      </c>
      <c r="K1082">
        <v>85577</v>
      </c>
      <c r="L1082">
        <v>85025</v>
      </c>
      <c r="M1082">
        <v>85444</v>
      </c>
      <c r="N1082">
        <v>2837000</v>
      </c>
      <c r="O1082">
        <v>85444</v>
      </c>
      <c r="P1082">
        <v>2.3226896276658002E-3</v>
      </c>
      <c r="Q1082">
        <v>2.3199963537326299E-3</v>
      </c>
      <c r="R1082" s="8">
        <v>48.363445281982401</v>
      </c>
      <c r="S1082" s="8">
        <v>7.5549532309913099E-3</v>
      </c>
      <c r="T1082" s="9">
        <v>7.5265575010902497E-3</v>
      </c>
      <c r="U1082" s="12">
        <v>2.462E-2</v>
      </c>
      <c r="V1082" s="16">
        <v>3.3104</v>
      </c>
      <c r="W1082" s="17">
        <f t="shared" si="16"/>
        <v>-4.0315301763041989E-3</v>
      </c>
    </row>
    <row r="1083" spans="1:23" x14ac:dyDescent="0.2">
      <c r="A1083" s="15">
        <v>43123</v>
      </c>
      <c r="B1083" s="5">
        <v>-10918410304272</v>
      </c>
      <c r="C1083" s="5">
        <f>[1]!nefin_factors__1[[#This Row],[Rm_minus_Rf]]/B1082-1</f>
        <v>-1.0195064795799322</v>
      </c>
      <c r="D1083" s="5">
        <v>800085629722135</v>
      </c>
      <c r="E1083" s="5">
        <f>[1]!nefin_factors__1[[#This Row],[SMB]]/D1082-1</f>
        <v>-2.648087619561573</v>
      </c>
      <c r="F1083" s="5">
        <v>-246330208306767</v>
      </c>
      <c r="G1083" s="5">
        <f>[1]!nefin_factors__1[[#This Row],[HML]]/F1082-1</f>
        <v>-2.0637118329565878</v>
      </c>
      <c r="H1083" s="5">
        <v>260353160145277</v>
      </c>
      <c r="I1083" s="6">
        <f>[1]!nefin_factors__1[[#This Row],[Risk_Free]]/H1082-1</f>
        <v>0</v>
      </c>
      <c r="J1083">
        <v>85441</v>
      </c>
      <c r="K1083">
        <v>85441</v>
      </c>
      <c r="L1083">
        <v>84144</v>
      </c>
      <c r="M1083">
        <v>84334</v>
      </c>
      <c r="N1083">
        <v>3504200</v>
      </c>
      <c r="O1083">
        <v>84334</v>
      </c>
      <c r="P1083">
        <v>-1.2990964842470001E-2</v>
      </c>
      <c r="Q1083">
        <v>-1.3076085428923301E-2</v>
      </c>
      <c r="R1083" s="8">
        <v>48.050254821777301</v>
      </c>
      <c r="S1083" s="8">
        <v>-6.4758590574137704E-3</v>
      </c>
      <c r="T1083" s="9">
        <v>-6.4969184001376998E-3</v>
      </c>
      <c r="U1083" s="12">
        <v>2.462E-2</v>
      </c>
      <c r="V1083" s="16">
        <v>3.3138999999999998</v>
      </c>
      <c r="W1083" s="17">
        <f t="shared" si="16"/>
        <v>1.0572740454324325E-3</v>
      </c>
    </row>
    <row r="1084" spans="1:23" x14ac:dyDescent="0.2">
      <c r="A1084" s="14">
        <v>43124</v>
      </c>
      <c r="B1084" s="3">
        <v>325744948488024</v>
      </c>
      <c r="C1084" s="3">
        <f>[1]!nefin_factors__1[[#This Row],[Rm_minus_Rf]]/B1083-1</f>
        <v>-30.834466686104584</v>
      </c>
      <c r="D1084" s="3">
        <v>-769104127496492</v>
      </c>
      <c r="E1084" s="3">
        <f>[1]!nefin_factors__1[[#This Row],[SMB]]/D1083-1</f>
        <v>-1.9612772669890313</v>
      </c>
      <c r="F1084" s="3">
        <v>121887933118686</v>
      </c>
      <c r="G1084" s="3">
        <f>[1]!nefin_factors__1[[#This Row],[HML]]/F1083-1</f>
        <v>-1.4948152074263381</v>
      </c>
      <c r="H1084" s="3">
        <v>259981417098487</v>
      </c>
      <c r="I1084" s="4">
        <f>[1]!nefin_factors__1[[#This Row],[Risk_Free]]/H1083-1</f>
        <v>-1.4278415003012856E-3</v>
      </c>
      <c r="J1084">
        <v>84328</v>
      </c>
      <c r="K1084">
        <v>84591</v>
      </c>
      <c r="L1084">
        <v>82762</v>
      </c>
      <c r="M1084">
        <v>82862</v>
      </c>
      <c r="N1084">
        <v>2913400</v>
      </c>
      <c r="O1084">
        <v>82862</v>
      </c>
      <c r="P1084">
        <v>-1.74544074750397E-2</v>
      </c>
      <c r="Q1084">
        <v>-1.7608531709823599E-2</v>
      </c>
      <c r="R1084" s="8">
        <v>47.349693298339801</v>
      </c>
      <c r="S1084" s="8">
        <v>-1.45796807682376E-2</v>
      </c>
      <c r="T1084" s="9">
        <v>-1.46870087969028E-2</v>
      </c>
      <c r="U1084" s="12">
        <v>2.462E-2</v>
      </c>
      <c r="V1084" s="16">
        <v>3.3538000000000001</v>
      </c>
      <c r="W1084" s="17">
        <f t="shared" si="16"/>
        <v>1.2040194332961329E-2</v>
      </c>
    </row>
    <row r="1085" spans="1:23" x14ac:dyDescent="0.2">
      <c r="A1085" s="15">
        <v>43126</v>
      </c>
      <c r="B1085" s="5">
        <v>190536224702289</v>
      </c>
      <c r="C1085" s="5">
        <f>[1]!nefin_factors__1[[#This Row],[Rm_minus_Rf]]/B1084-1</f>
        <v>-0.41507542761083194</v>
      </c>
      <c r="D1085" s="5">
        <v>384676270371935</v>
      </c>
      <c r="E1085" s="5">
        <f>[1]!nefin_factors__1[[#This Row],[SMB]]/D1084-1</f>
        <v>-1.5001614951984372</v>
      </c>
      <c r="F1085" s="5">
        <v>142335972575</v>
      </c>
      <c r="G1085" s="5">
        <f>[1]!nefin_factors__1[[#This Row],[HML]]/F1084-1</f>
        <v>-0.99883223901716012</v>
      </c>
      <c r="H1085" s="5">
        <v>259609639371217</v>
      </c>
      <c r="I1085" s="6">
        <f>[1]!nefin_factors__1[[#This Row],[Risk_Free]]/H1084-1</f>
        <v>-1.43001654279451E-3</v>
      </c>
      <c r="J1085">
        <v>82862</v>
      </c>
      <c r="K1085">
        <v>84191</v>
      </c>
      <c r="L1085">
        <v>82810</v>
      </c>
      <c r="M1085">
        <v>84086</v>
      </c>
      <c r="N1085">
        <v>2628600</v>
      </c>
      <c r="O1085">
        <v>84086</v>
      </c>
      <c r="P1085">
        <v>1.4771547874779901E-2</v>
      </c>
      <c r="Q1085">
        <v>1.46635111749111E-2</v>
      </c>
      <c r="R1085" s="8">
        <v>47.844207763671903</v>
      </c>
      <c r="S1085" s="8">
        <v>1.04438453671198E-2</v>
      </c>
      <c r="T1085" s="9">
        <v>1.0389685181453201E-2</v>
      </c>
      <c r="U1085" s="12">
        <v>2.462E-2</v>
      </c>
      <c r="V1085" s="16">
        <v>3.3195999999999999</v>
      </c>
      <c r="W1085" s="17">
        <f t="shared" si="16"/>
        <v>-1.0197388037450072E-2</v>
      </c>
    </row>
    <row r="1086" spans="1:23" x14ac:dyDescent="0.2">
      <c r="A1086" s="14">
        <v>43129</v>
      </c>
      <c r="B1086" s="3">
        <v>-94734333566899</v>
      </c>
      <c r="C1086" s="3">
        <f>[1]!nefin_factors__1[[#This Row],[Rm_minus_Rf]]/B1085-1</f>
        <v>-1.4971985443446278</v>
      </c>
      <c r="D1086" s="3">
        <v>-563859968032298</v>
      </c>
      <c r="E1086" s="3">
        <f>[1]!nefin_factors__1[[#This Row],[SMB]]/D1085-1</f>
        <v>-2.4658038757813534</v>
      </c>
      <c r="F1086" s="3">
        <v>410807355792476</v>
      </c>
      <c r="G1086" s="3">
        <f>[1]!nefin_factors__1[[#This Row],[HML]]/F1085-1</f>
        <v>2885.180832298121</v>
      </c>
      <c r="H1086" s="3">
        <v>259237826956804</v>
      </c>
      <c r="I1086" s="4">
        <f>[1]!nefin_factors__1[[#This Row],[Risk_Free]]/H1085-1</f>
        <v>-1.43219803129635E-3</v>
      </c>
      <c r="J1086">
        <v>84090</v>
      </c>
      <c r="K1086">
        <v>86149</v>
      </c>
      <c r="L1086">
        <v>84090</v>
      </c>
      <c r="M1086">
        <v>85776</v>
      </c>
      <c r="N1086">
        <v>4196900</v>
      </c>
      <c r="O1086">
        <v>85776</v>
      </c>
      <c r="P1086">
        <v>2.0098470613419499E-2</v>
      </c>
      <c r="Q1086">
        <v>1.98991624535894E-2</v>
      </c>
      <c r="R1086" s="8">
        <v>48.627185821533203</v>
      </c>
      <c r="S1086" s="8">
        <v>1.63651460777678E-2</v>
      </c>
      <c r="T1086" s="9">
        <v>1.6232680334943201E-2</v>
      </c>
      <c r="U1086" s="12">
        <v>2.462E-2</v>
      </c>
      <c r="V1086" s="16">
        <v>3.3666</v>
      </c>
      <c r="W1086" s="17">
        <f t="shared" si="16"/>
        <v>1.4158332329196277E-2</v>
      </c>
    </row>
    <row r="1087" spans="1:23" x14ac:dyDescent="0.2">
      <c r="A1087" s="15">
        <v>43130</v>
      </c>
      <c r="B1087" s="5">
        <v>-251951132809178</v>
      </c>
      <c r="C1087" s="5">
        <f>[1]!nefin_factors__1[[#This Row],[Rm_minus_Rf]]/B1086-1</f>
        <v>1.6595546020414704</v>
      </c>
      <c r="D1087" s="5">
        <v>-890286110071725</v>
      </c>
      <c r="E1087" s="5">
        <f>[1]!nefin_factors__1[[#This Row],[SMB]]/D1086-1</f>
        <v>0.57891349013223303</v>
      </c>
      <c r="F1087" s="5">
        <v>-157917264457664</v>
      </c>
      <c r="G1087" s="5">
        <f>[1]!nefin_factors__1[[#This Row],[HML]]/F1086-1</f>
        <v>-1.3844071003865805</v>
      </c>
      <c r="H1087" s="5">
        <v>258122181525877</v>
      </c>
      <c r="I1087" s="6">
        <f>[1]!nefin_factors__1[[#This Row],[Risk_Free]]/H1086-1</f>
        <v>-4.3035595693097228E-3</v>
      </c>
      <c r="J1087">
        <v>85775</v>
      </c>
      <c r="K1087">
        <v>86059</v>
      </c>
      <c r="L1087">
        <v>85197</v>
      </c>
      <c r="M1087">
        <v>85824</v>
      </c>
      <c r="N1087">
        <v>3522500</v>
      </c>
      <c r="O1087">
        <v>85824</v>
      </c>
      <c r="P1087">
        <v>5.5959709009512104E-4</v>
      </c>
      <c r="Q1087">
        <v>5.5944057403140002E-4</v>
      </c>
      <c r="R1087" s="8">
        <v>48.165641784667997</v>
      </c>
      <c r="S1087" s="8">
        <v>-9.4914343749738003E-3</v>
      </c>
      <c r="T1087" s="9">
        <v>-9.5367651019972501E-3</v>
      </c>
      <c r="U1087" s="12">
        <v>2.462E-2</v>
      </c>
      <c r="V1087" s="16">
        <v>3.3902999999999999</v>
      </c>
      <c r="W1087" s="17">
        <f t="shared" si="16"/>
        <v>7.039743361254569E-3</v>
      </c>
    </row>
    <row r="1088" spans="1:23" x14ac:dyDescent="0.2">
      <c r="A1088" s="14">
        <v>43131</v>
      </c>
      <c r="B1088" s="3">
        <v>588908132609403</v>
      </c>
      <c r="C1088" s="3">
        <f>[1]!nefin_factors__1[[#This Row],[Rm_minus_Rf]]/B1087-1</f>
        <v>-3.33739029486892</v>
      </c>
      <c r="D1088" s="3">
        <v>311982658890552</v>
      </c>
      <c r="E1088" s="3">
        <f>[1]!nefin_factors__1[[#This Row],[SMB]]/D1087-1</f>
        <v>-1.3504296600397567</v>
      </c>
      <c r="F1088" s="3">
        <v>99454911188769</v>
      </c>
      <c r="G1088" s="3">
        <f>[1]!nefin_factors__1[[#This Row],[HML]]/F1087-1</f>
        <v>-1.6297912487930151</v>
      </c>
      <c r="H1088" s="3">
        <v>258122181525877</v>
      </c>
      <c r="I1088" s="4">
        <f>[1]!nefin_factors__1[[#This Row],[Risk_Free]]/H1087-1</f>
        <v>0</v>
      </c>
      <c r="J1088">
        <v>85823</v>
      </c>
      <c r="K1088">
        <v>85823</v>
      </c>
      <c r="L1088">
        <v>85025</v>
      </c>
      <c r="M1088">
        <v>85550</v>
      </c>
      <c r="N1088">
        <v>2990100</v>
      </c>
      <c r="O1088">
        <v>85550</v>
      </c>
      <c r="P1088">
        <v>-3.1925801640566602E-3</v>
      </c>
      <c r="Q1088">
        <v>-3.1976873210108302E-3</v>
      </c>
      <c r="R1088" s="8">
        <v>47.613433837890597</v>
      </c>
      <c r="S1088" s="8">
        <v>-1.1464820725533099E-2</v>
      </c>
      <c r="T1088" s="9">
        <v>-1.1531048462014601E-2</v>
      </c>
      <c r="U1088" s="12">
        <v>2.462E-2</v>
      </c>
      <c r="V1088" s="16">
        <v>3.4195000000000002</v>
      </c>
      <c r="W1088" s="17">
        <f t="shared" si="16"/>
        <v>8.6128071262130401E-3</v>
      </c>
    </row>
    <row r="1089" spans="1:23" x14ac:dyDescent="0.2">
      <c r="A1089" s="15">
        <v>43132</v>
      </c>
      <c r="B1089" s="5">
        <v>751525497674984</v>
      </c>
      <c r="C1089" s="5">
        <f>[1]!nefin_factors__1[[#This Row],[Rm_minus_Rf]]/B1088-1</f>
        <v>0.27613367189384364</v>
      </c>
      <c r="D1089" s="5">
        <v>-241140770673457</v>
      </c>
      <c r="E1089" s="5">
        <f>[1]!nefin_factors__1[[#This Row],[SMB]]/D1088-1</f>
        <v>-1.7729300453140016</v>
      </c>
      <c r="F1089" s="5">
        <v>-50196386715721</v>
      </c>
      <c r="G1089" s="5">
        <f>[1]!nefin_factors__1[[#This Row],[HML]]/F1088-1</f>
        <v>-1.5047150122174102</v>
      </c>
      <c r="H1089" s="5">
        <v>257750230298059</v>
      </c>
      <c r="I1089" s="6">
        <f>[1]!nefin_factors__1[[#This Row],[Risk_Free]]/H1088-1</f>
        <v>-1.4409890138817882E-3</v>
      </c>
      <c r="J1089">
        <v>85520</v>
      </c>
      <c r="K1089">
        <v>85746</v>
      </c>
      <c r="L1089">
        <v>84711</v>
      </c>
      <c r="M1089">
        <v>85602</v>
      </c>
      <c r="N1089">
        <v>2426000</v>
      </c>
      <c r="O1089">
        <v>85602</v>
      </c>
      <c r="P1089">
        <v>6.07831677381654E-4</v>
      </c>
      <c r="Q1089">
        <v>6.0764702252989603E-4</v>
      </c>
      <c r="R1089" s="8">
        <v>47.629917144775398</v>
      </c>
      <c r="S1089" s="8">
        <v>3.46319582927412E-4</v>
      </c>
      <c r="T1089" s="9">
        <v>3.4625962814259801E-4</v>
      </c>
      <c r="U1089" s="12">
        <v>2.462E-2</v>
      </c>
      <c r="V1089" s="16">
        <v>3.4051999999999998</v>
      </c>
      <c r="W1089" s="17">
        <f t="shared" si="16"/>
        <v>-4.1818979382951538E-3</v>
      </c>
    </row>
    <row r="1090" spans="1:23" x14ac:dyDescent="0.2">
      <c r="A1090" s="14">
        <v>43133</v>
      </c>
      <c r="B1090" s="3">
        <v>-169032323300875</v>
      </c>
      <c r="C1090" s="3">
        <f>[1]!nefin_factors__1[[#This Row],[Rm_minus_Rf]]/B1089-1</f>
        <v>-1.2249189466276462</v>
      </c>
      <c r="D1090" s="3">
        <v>189493206851078</v>
      </c>
      <c r="E1090" s="3">
        <f>[1]!nefin_factors__1[[#This Row],[SMB]]/D1089-1</f>
        <v>-1.7858198608300957</v>
      </c>
      <c r="F1090" s="3">
        <v>393673023397884</v>
      </c>
      <c r="G1090" s="3">
        <f>[1]!nefin_factors__1[[#This Row],[HML]]/F1089-1</f>
        <v>-8.8426565965272879</v>
      </c>
      <c r="H1090" s="3">
        <v>257378244350681</v>
      </c>
      <c r="I1090" s="4">
        <f>[1]!nefin_factors__1[[#This Row],[Risk_Free]]/H1089-1</f>
        <v>-1.4432031620217334E-3</v>
      </c>
      <c r="J1090">
        <v>85603</v>
      </c>
      <c r="K1090">
        <v>86578</v>
      </c>
      <c r="L1090">
        <v>85106</v>
      </c>
      <c r="M1090">
        <v>85469</v>
      </c>
      <c r="N1090">
        <v>2845000</v>
      </c>
      <c r="O1090">
        <v>85469</v>
      </c>
      <c r="P1090">
        <v>-1.553702016308E-3</v>
      </c>
      <c r="Q1090">
        <v>-1.5549102629514101E-3</v>
      </c>
      <c r="R1090" s="8">
        <v>47.877174377441399</v>
      </c>
      <c r="S1090" s="8">
        <v>5.1911182233574903E-3</v>
      </c>
      <c r="T1090" s="9">
        <v>5.1776908179390598E-3</v>
      </c>
      <c r="U1090" s="12">
        <v>2.462E-2</v>
      </c>
      <c r="V1090" s="16">
        <v>3.3858000000000001</v>
      </c>
      <c r="W1090" s="17">
        <f t="shared" si="16"/>
        <v>-5.6971690355924753E-3</v>
      </c>
    </row>
    <row r="1091" spans="1:23" x14ac:dyDescent="0.2">
      <c r="A1091" s="15">
        <v>43136</v>
      </c>
      <c r="B1091" s="5">
        <v>-23903458048439</v>
      </c>
      <c r="C1091" s="5">
        <f>[1]!nefin_factors__1[[#This Row],[Rm_minus_Rf]]/B1090-1</f>
        <v>-0.85858646688603335</v>
      </c>
      <c r="D1091" s="5">
        <v>-139823248420462</v>
      </c>
      <c r="E1091" s="5">
        <f>[1]!nefin_factors__1[[#This Row],[SMB]]/D1090-1</f>
        <v>-1.7378800050090901</v>
      </c>
      <c r="F1091" s="5">
        <v>-658403470751278</v>
      </c>
      <c r="G1091" s="5">
        <f>[1]!nefin_factors__1[[#This Row],[HML]]/F1090-1</f>
        <v>-2.67246275873425</v>
      </c>
      <c r="H1091" s="5">
        <v>256634168271264</v>
      </c>
      <c r="I1091" s="6">
        <f>[1]!nefin_factors__1[[#This Row],[Risk_Free]]/H1090-1</f>
        <v>-2.8909828074015209E-3</v>
      </c>
      <c r="J1091">
        <v>85466</v>
      </c>
      <c r="K1091">
        <v>85466</v>
      </c>
      <c r="L1091">
        <v>84349</v>
      </c>
      <c r="M1091">
        <v>85044</v>
      </c>
      <c r="N1091">
        <v>3218400</v>
      </c>
      <c r="O1091">
        <v>85044</v>
      </c>
      <c r="P1091">
        <v>-4.9725631515520298E-3</v>
      </c>
      <c r="Q1091">
        <v>-4.98496748166168E-3</v>
      </c>
      <c r="R1091" s="8">
        <v>47.085952758789098</v>
      </c>
      <c r="S1091" s="8">
        <v>-1.6526083267277801E-2</v>
      </c>
      <c r="T1091" s="9">
        <v>-1.6664162366200001E-2</v>
      </c>
      <c r="U1091" s="12">
        <v>2.462E-2</v>
      </c>
      <c r="V1091" s="16">
        <v>3.4104999999999999</v>
      </c>
      <c r="W1091" s="17">
        <f t="shared" si="16"/>
        <v>7.2951739618405398E-3</v>
      </c>
    </row>
    <row r="1092" spans="1:23" x14ac:dyDescent="0.2">
      <c r="A1092" s="14">
        <v>43137</v>
      </c>
      <c r="B1092" s="3">
        <v>220504049136906</v>
      </c>
      <c r="C1092" s="3">
        <f>[1]!nefin_factors__1[[#This Row],[Rm_minus_Rf]]/B1091-1</f>
        <v>-10.224776126118115</v>
      </c>
      <c r="D1092" s="3">
        <v>-158347051727683</v>
      </c>
      <c r="E1092" s="3">
        <f>[1]!nefin_factors__1[[#This Row],[SMB]]/D1091-1</f>
        <v>0.13248013843533468</v>
      </c>
      <c r="F1092" s="3">
        <v>10383208708983</v>
      </c>
      <c r="G1092" s="3">
        <f>[1]!nefin_factors__1[[#This Row],[HML]]/F1091-1</f>
        <v>-1.0157702824639352</v>
      </c>
      <c r="H1092" s="3">
        <v>255889953235444</v>
      </c>
      <c r="I1092" s="4">
        <f>[1]!nefin_factors__1[[#This Row],[Risk_Free]]/H1091-1</f>
        <v>-2.899906278392983E-3</v>
      </c>
      <c r="J1092">
        <v>85051</v>
      </c>
      <c r="K1092">
        <v>86383</v>
      </c>
      <c r="L1092">
        <v>85051</v>
      </c>
      <c r="M1092">
        <v>86383</v>
      </c>
      <c r="N1092">
        <v>3138000</v>
      </c>
      <c r="O1092">
        <v>86383</v>
      </c>
      <c r="P1092">
        <v>1.5744790931752999E-2</v>
      </c>
      <c r="Q1092">
        <v>1.56221275749889E-2</v>
      </c>
      <c r="R1092" s="8">
        <v>47.390899658203097</v>
      </c>
      <c r="S1092" s="8">
        <v>6.4763741418900596E-3</v>
      </c>
      <c r="T1092" s="9">
        <v>6.45549254042895E-3</v>
      </c>
      <c r="U1092" s="12">
        <v>2.462E-2</v>
      </c>
      <c r="V1092" s="16">
        <v>3.4262999999999999</v>
      </c>
      <c r="W1092" s="17">
        <f t="shared" ref="W1092:W1155" si="17">V1092/V1091-1</f>
        <v>4.6327517959243725E-3</v>
      </c>
    </row>
    <row r="1093" spans="1:23" x14ac:dyDescent="0.2">
      <c r="A1093" s="15">
        <v>43138</v>
      </c>
      <c r="B1093" s="5">
        <v>-111352000336846</v>
      </c>
      <c r="C1093" s="5">
        <f>[1]!nefin_factors__1[[#This Row],[Rm_minus_Rf]]/B1092-1</f>
        <v>-1.5049884606323489</v>
      </c>
      <c r="D1093" s="5">
        <v>-134489513454723</v>
      </c>
      <c r="E1093" s="5">
        <f>[1]!nefin_factors__1[[#This Row],[SMB]]/D1092-1</f>
        <v>-0.15066613500318871</v>
      </c>
      <c r="F1093" s="5">
        <v>-366581234498545</v>
      </c>
      <c r="G1093" s="5">
        <f>[1]!nefin_factors__1[[#This Row],[HML]]/F1092-1</f>
        <v>-36.305197533147762</v>
      </c>
      <c r="H1093" s="5">
        <v>255517793592785</v>
      </c>
      <c r="I1093" s="6">
        <f>[1]!nefin_factors__1[[#This Row],[Risk_Free]]/H1092-1</f>
        <v>-1.4543737960535097E-3</v>
      </c>
      <c r="J1093">
        <v>86383</v>
      </c>
      <c r="K1093">
        <v>87179</v>
      </c>
      <c r="L1093">
        <v>86262</v>
      </c>
      <c r="M1093">
        <v>86445</v>
      </c>
      <c r="N1093">
        <v>0</v>
      </c>
      <c r="O1093">
        <v>86445</v>
      </c>
      <c r="P1093">
        <v>7.1773381336614995E-4</v>
      </c>
      <c r="Q1093">
        <v>7.1747636563132403E-4</v>
      </c>
      <c r="R1093" s="8">
        <v>47.563980102539098</v>
      </c>
      <c r="S1093" s="8">
        <v>3.6522005316139698E-3</v>
      </c>
      <c r="T1093" s="9">
        <v>3.64554744127855E-3</v>
      </c>
      <c r="U1093" s="12">
        <v>2.462E-2</v>
      </c>
      <c r="V1093" s="16">
        <v>3.4041000000000001</v>
      </c>
      <c r="W1093" s="17">
        <f t="shared" si="17"/>
        <v>-6.4792925313019722E-3</v>
      </c>
    </row>
    <row r="1094" spans="1:23" x14ac:dyDescent="0.2">
      <c r="A1094" s="14">
        <v>43139</v>
      </c>
      <c r="B1094" s="3">
        <v>-139419410879074</v>
      </c>
      <c r="C1094" s="3">
        <f>[1]!nefin_factors__1[[#This Row],[Rm_minus_Rf]]/B1093-1</f>
        <v>0.25206022754259028</v>
      </c>
      <c r="D1094" s="3">
        <v>16745928392595</v>
      </c>
      <c r="E1094" s="3">
        <f>[1]!nefin_factors__1[[#This Row],[SMB]]/D1093-1</f>
        <v>-1.1245147518377532</v>
      </c>
      <c r="F1094" s="3">
        <v>691799351791304</v>
      </c>
      <c r="G1094" s="3">
        <f>[1]!nefin_factors__1[[#This Row],[HML]]/F1093-1</f>
        <v>-2.8871652083817994</v>
      </c>
      <c r="H1094" s="3">
        <v>255145599191486</v>
      </c>
      <c r="I1094" s="4">
        <f>[1]!nefin_factors__1[[#This Row],[Risk_Free]]/H1093-1</f>
        <v>-1.4566281121390912E-3</v>
      </c>
      <c r="J1094">
        <v>86443</v>
      </c>
      <c r="K1094">
        <v>86739</v>
      </c>
      <c r="L1094">
        <v>85979</v>
      </c>
      <c r="M1094">
        <v>86115</v>
      </c>
      <c r="N1094">
        <v>2181000</v>
      </c>
      <c r="O1094">
        <v>86115</v>
      </c>
      <c r="P1094">
        <v>-3.8174561860142599E-3</v>
      </c>
      <c r="Q1094">
        <v>-3.8247612690295598E-3</v>
      </c>
      <c r="R1094" s="8">
        <v>47.794754028320298</v>
      </c>
      <c r="S1094" s="8">
        <v>6.3100273943943498E-3</v>
      </c>
      <c r="T1094" s="9">
        <v>6.29020252480934E-3</v>
      </c>
      <c r="U1094" s="12">
        <v>2.462E-2</v>
      </c>
      <c r="V1094" s="16">
        <v>3.3843999999999999</v>
      </c>
      <c r="W1094" s="17">
        <f t="shared" si="17"/>
        <v>-5.7871390382187027E-3</v>
      </c>
    </row>
    <row r="1095" spans="1:23" x14ac:dyDescent="0.2">
      <c r="A1095" s="15">
        <v>43140</v>
      </c>
      <c r="B1095" s="5">
        <v>-889673911088358</v>
      </c>
      <c r="C1095" s="5">
        <f>[1]!nefin_factors__1[[#This Row],[Rm_minus_Rf]]/B1094-1</f>
        <v>5.3812772230117965</v>
      </c>
      <c r="D1095" s="5">
        <v>-102870493808762</v>
      </c>
      <c r="E1095" s="5">
        <f>[1]!nefin_factors__1[[#This Row],[SMB]]/D1094-1</f>
        <v>-7.1430152689683677</v>
      </c>
      <c r="F1095" s="5">
        <v>384721192692743</v>
      </c>
      <c r="G1095" s="5">
        <f>[1]!nefin_factors__1[[#This Row],[HML]]/F1094-1</f>
        <v>-0.4438832709273739</v>
      </c>
      <c r="H1095" s="5">
        <v>25477337002533</v>
      </c>
      <c r="I1095" s="6">
        <f>[1]!nefin_factors__1[[#This Row],[Risk_Free]]/H1094-1</f>
        <v>-0.90014588892277014</v>
      </c>
      <c r="J1095">
        <v>86111</v>
      </c>
      <c r="K1095">
        <v>86111</v>
      </c>
      <c r="L1095">
        <v>84383</v>
      </c>
      <c r="M1095">
        <v>84547</v>
      </c>
      <c r="N1095">
        <v>3720600</v>
      </c>
      <c r="O1095">
        <v>84547</v>
      </c>
      <c r="P1095">
        <v>-1.82082099518086E-2</v>
      </c>
      <c r="Q1095">
        <v>-1.83760195359556E-2</v>
      </c>
      <c r="R1095" s="8">
        <v>46.583194732666001</v>
      </c>
      <c r="S1095" s="8">
        <v>-2.5349277081917101E-2</v>
      </c>
      <c r="T1095" s="9">
        <v>-2.5676105069555401E-2</v>
      </c>
      <c r="U1095" s="12">
        <v>2.462E-2</v>
      </c>
      <c r="V1095" s="16">
        <v>3.3976999999999999</v>
      </c>
      <c r="W1095" s="17">
        <f t="shared" si="17"/>
        <v>3.9297955324431033E-3</v>
      </c>
    </row>
    <row r="1096" spans="1:23" x14ac:dyDescent="0.2">
      <c r="A1096" s="14">
        <v>43145</v>
      </c>
      <c r="B1096" s="3">
        <v>315051668219494</v>
      </c>
      <c r="C1096" s="3">
        <f>[1]!nefin_factors__1[[#This Row],[Rm_minus_Rf]]/B1095-1</f>
        <v>-1.3541203853376844</v>
      </c>
      <c r="D1096" s="3">
        <v>-148329049160515</v>
      </c>
      <c r="E1096" s="3">
        <f>[1]!nefin_factors__1[[#This Row],[SMB]]/D1095-1</f>
        <v>0.44190081789887414</v>
      </c>
      <c r="F1096" s="3">
        <v>755377616383587</v>
      </c>
      <c r="G1096" s="3">
        <f>[1]!nefin_factors__1[[#This Row],[HML]]/F1095-1</f>
        <v>0.96344165783159275</v>
      </c>
      <c r="H1096" s="3">
        <v>25477337002533</v>
      </c>
      <c r="I1096" s="4">
        <f>[1]!nefin_factors__1[[#This Row],[Risk_Free]]/H1095-1</f>
        <v>0</v>
      </c>
      <c r="J1096">
        <v>84547</v>
      </c>
      <c r="K1096">
        <v>84562</v>
      </c>
      <c r="L1096">
        <v>83178</v>
      </c>
      <c r="M1096">
        <v>83288</v>
      </c>
      <c r="N1096">
        <v>3977800</v>
      </c>
      <c r="O1096">
        <v>83288</v>
      </c>
      <c r="P1096">
        <v>-1.4891125646090299E-2</v>
      </c>
      <c r="Q1096">
        <v>-1.5003111579302401E-2</v>
      </c>
      <c r="R1096" s="8">
        <v>44.258979797363303</v>
      </c>
      <c r="S1096" s="8">
        <v>-4.98938560673775E-2</v>
      </c>
      <c r="T1096" s="9">
        <v>-5.11815701735409E-2</v>
      </c>
      <c r="U1096" s="12">
        <v>2.462E-2</v>
      </c>
      <c r="V1096" s="16">
        <v>3.4100999999999999</v>
      </c>
      <c r="W1096" s="17">
        <f t="shared" si="17"/>
        <v>3.6495276216264028E-3</v>
      </c>
    </row>
    <row r="1097" spans="1:23" x14ac:dyDescent="0.2">
      <c r="A1097" s="15">
        <v>43146</v>
      </c>
      <c r="B1097" s="5">
        <v>655410707426785</v>
      </c>
      <c r="C1097" s="5">
        <f>[1]!nefin_factors__1[[#This Row],[Rm_minus_Rf]]/B1096-1</f>
        <v>1.0803276844424312</v>
      </c>
      <c r="D1097" s="5">
        <v>-257772284753929</v>
      </c>
      <c r="E1097" s="5">
        <f>[1]!nefin_factors__1[[#This Row],[SMB]]/D1096-1</f>
        <v>0.73784087616566252</v>
      </c>
      <c r="F1097" s="5">
        <v>101145731471918</v>
      </c>
      <c r="G1097" s="5">
        <f>[1]!nefin_factors__1[[#This Row],[HML]]/F1096-1</f>
        <v>-0.86609911482927049</v>
      </c>
      <c r="H1097" s="5">
        <v>254401106087432</v>
      </c>
      <c r="I1097" s="6">
        <f>[1]!nefin_factors__1[[#This Row],[Risk_Free]]/H1096-1</f>
        <v>8.9853884282387533</v>
      </c>
      <c r="J1097">
        <v>83286</v>
      </c>
      <c r="K1097">
        <v>83671</v>
      </c>
      <c r="L1097">
        <v>82746</v>
      </c>
      <c r="M1097">
        <v>83118</v>
      </c>
      <c r="N1097">
        <v>3472900</v>
      </c>
      <c r="O1097">
        <v>83118</v>
      </c>
      <c r="P1097">
        <v>-2.0411103640380901E-3</v>
      </c>
      <c r="Q1097">
        <v>-2.0431962686548498E-3</v>
      </c>
      <c r="R1097" s="8">
        <v>45.041961669921903</v>
      </c>
      <c r="S1097" s="8">
        <v>1.76909666084419E-2</v>
      </c>
      <c r="T1097" s="9">
        <v>1.7536302894976701E-2</v>
      </c>
      <c r="U1097" s="12">
        <v>2.462E-2</v>
      </c>
      <c r="V1097" s="16">
        <v>3.4420999999999999</v>
      </c>
      <c r="W1097" s="17">
        <f t="shared" si="17"/>
        <v>9.3838890355122384E-3</v>
      </c>
    </row>
    <row r="1098" spans="1:23" x14ac:dyDescent="0.2">
      <c r="A1098" s="14">
        <v>43147</v>
      </c>
      <c r="B1098" s="3">
        <v>319263556854994</v>
      </c>
      <c r="C1098" s="3">
        <f>[1]!nefin_factors__1[[#This Row],[Rm_minus_Rf]]/B1097-1</f>
        <v>-0.51288016317515162</v>
      </c>
      <c r="D1098" s="3">
        <v>173742562618539</v>
      </c>
      <c r="E1098" s="3">
        <f>[1]!nefin_factors__1[[#This Row],[SMB]]/D1097-1</f>
        <v>-1.674015683200367</v>
      </c>
      <c r="F1098" s="3">
        <v>106032981352329</v>
      </c>
      <c r="G1098" s="3">
        <f>[1]!nefin_factors__1[[#This Row],[HML]]/F1097-1</f>
        <v>4.831889402834455E-2</v>
      </c>
      <c r="H1098" s="3">
        <v>254401106087432</v>
      </c>
      <c r="I1098" s="4">
        <f>[1]!nefin_factors__1[[#This Row],[Risk_Free]]/H1097-1</f>
        <v>0</v>
      </c>
      <c r="J1098">
        <v>83199</v>
      </c>
      <c r="K1098">
        <v>83643</v>
      </c>
      <c r="L1098">
        <v>82602</v>
      </c>
      <c r="M1098">
        <v>82714</v>
      </c>
      <c r="N1098">
        <v>2843000</v>
      </c>
      <c r="O1098">
        <v>82714</v>
      </c>
      <c r="P1098">
        <v>-4.8605596862292301E-3</v>
      </c>
      <c r="Q1098">
        <v>-4.87241062351443E-3</v>
      </c>
      <c r="R1098" s="8">
        <v>44.201286315917997</v>
      </c>
      <c r="S1098" s="8">
        <v>-1.8664364260469499E-2</v>
      </c>
      <c r="T1098" s="9">
        <v>-1.8840741602264999E-2</v>
      </c>
      <c r="U1098" s="12">
        <v>2.462E-2</v>
      </c>
      <c r="V1098" s="16">
        <v>3.4666999999999999</v>
      </c>
      <c r="W1098" s="17">
        <f t="shared" si="17"/>
        <v>7.1467999186543008E-3</v>
      </c>
    </row>
    <row r="1099" spans="1:23" x14ac:dyDescent="0.2">
      <c r="A1099" s="15">
        <v>43150</v>
      </c>
      <c r="B1099" s="5">
        <v>293202435474943</v>
      </c>
      <c r="C1099" s="5">
        <f>[1]!nefin_factors__1[[#This Row],[Rm_minus_Rf]]/B1098-1</f>
        <v>-8.1628863741212032E-2</v>
      </c>
      <c r="D1099" s="5">
        <v>3480672012.67031</v>
      </c>
      <c r="E1099" s="5">
        <f>[1]!nefin_factors__1[[#This Row],[SMB]]/D1098-1</f>
        <v>-0.9999799664977872</v>
      </c>
      <c r="F1099" s="5">
        <v>152319626644076</v>
      </c>
      <c r="G1099" s="5">
        <f>[1]!nefin_factors__1[[#This Row],[HML]]/F1098-1</f>
        <v>0.43653064076303383</v>
      </c>
      <c r="H1099" s="5">
        <v>254401106087432</v>
      </c>
      <c r="I1099" s="6">
        <f>[1]!nefin_factors__1[[#This Row],[Risk_Free]]/H1098-1</f>
        <v>0</v>
      </c>
      <c r="J1099">
        <v>82715</v>
      </c>
      <c r="K1099">
        <v>83409</v>
      </c>
      <c r="L1099">
        <v>82201</v>
      </c>
      <c r="M1099">
        <v>82956</v>
      </c>
      <c r="N1099">
        <v>3949500</v>
      </c>
      <c r="O1099">
        <v>82956</v>
      </c>
      <c r="P1099">
        <v>2.9257441303769398E-3</v>
      </c>
      <c r="Q1099">
        <v>2.9214724708456802E-3</v>
      </c>
      <c r="R1099" s="8">
        <v>44.094142913818402</v>
      </c>
      <c r="S1099" s="8">
        <v>-2.4239717395613302E-3</v>
      </c>
      <c r="T1099" s="9">
        <v>-2.4269143151669299E-3</v>
      </c>
      <c r="U1099" s="12">
        <v>2.462E-2</v>
      </c>
      <c r="V1099" s="16">
        <v>3.504</v>
      </c>
      <c r="W1099" s="17">
        <f t="shared" si="17"/>
        <v>1.0759511927769916E-2</v>
      </c>
    </row>
    <row r="1100" spans="1:23" x14ac:dyDescent="0.2">
      <c r="A1100" s="14">
        <v>43151</v>
      </c>
      <c r="B1100" s="3">
        <v>120785365308784</v>
      </c>
      <c r="C1100" s="3">
        <f>[1]!nefin_factors__1[[#This Row],[Rm_minus_Rf]]/B1099-1</f>
        <v>-0.58804787854804064</v>
      </c>
      <c r="D1100" s="3">
        <v>-134645617551963</v>
      </c>
      <c r="E1100" s="3">
        <f>[1]!nefin_factors__1[[#This Row],[SMB]]/D1099-1</f>
        <v>-38684.799295603625</v>
      </c>
      <c r="F1100" s="3">
        <v>-614062970401471</v>
      </c>
      <c r="G1100" s="3">
        <f>[1]!nefin_factors__1[[#This Row],[HML]]/F1099-1</f>
        <v>-5.0314106850875282</v>
      </c>
      <c r="H1100" s="3">
        <v>254028807371354</v>
      </c>
      <c r="I1100" s="4">
        <f>[1]!nefin_factors__1[[#This Row],[Risk_Free]]/H1099-1</f>
        <v>-1.4634319866126955E-3</v>
      </c>
      <c r="J1100">
        <v>82977</v>
      </c>
      <c r="K1100">
        <v>84447</v>
      </c>
      <c r="L1100">
        <v>82855</v>
      </c>
      <c r="M1100">
        <v>84265</v>
      </c>
      <c r="N1100">
        <v>4695400</v>
      </c>
      <c r="O1100">
        <v>84265</v>
      </c>
      <c r="P1100">
        <v>1.5779449346641699E-2</v>
      </c>
      <c r="Q1100">
        <v>1.5656248176855101E-2</v>
      </c>
      <c r="R1100" s="8">
        <v>43.978755950927699</v>
      </c>
      <c r="S1100" s="8">
        <v>-2.6167470047727698E-3</v>
      </c>
      <c r="T1100" s="9">
        <v>-2.6201766715696398E-3</v>
      </c>
      <c r="U1100" s="12">
        <v>2.462E-2</v>
      </c>
      <c r="V1100" s="16">
        <v>3.4977</v>
      </c>
      <c r="W1100" s="17">
        <f t="shared" si="17"/>
        <v>-1.7979452054794898E-3</v>
      </c>
    </row>
    <row r="1101" spans="1:23" x14ac:dyDescent="0.2">
      <c r="A1101" s="15">
        <v>43152</v>
      </c>
      <c r="B1101" s="5">
        <v>123001601049148</v>
      </c>
      <c r="C1101" s="5">
        <f>[1]!nefin_factors__1[[#This Row],[Rm_minus_Rf]]/B1100-1</f>
        <v>1.8348545245512771E-2</v>
      </c>
      <c r="D1101" s="5">
        <v>-162350712443828</v>
      </c>
      <c r="E1101" s="5">
        <f>[1]!nefin_factors__1[[#This Row],[SMB]]/D1100-1</f>
        <v>0.20576306452137549</v>
      </c>
      <c r="F1101" s="5">
        <v>-726806217631316</v>
      </c>
      <c r="G1101" s="5">
        <f>[1]!nefin_factors__1[[#This Row],[HML]]/F1100-1</f>
        <v>0.18360209402650374</v>
      </c>
      <c r="H1101" s="5">
        <v>254028807371354</v>
      </c>
      <c r="I1101" s="6">
        <f>[1]!nefin_factors__1[[#This Row],[Risk_Free]]/H1100-1</f>
        <v>0</v>
      </c>
      <c r="J1101">
        <v>84284</v>
      </c>
      <c r="K1101">
        <v>86201</v>
      </c>
      <c r="L1101">
        <v>84284</v>
      </c>
      <c r="M1101">
        <v>85861</v>
      </c>
      <c r="N1101">
        <v>4611100</v>
      </c>
      <c r="O1101">
        <v>85861</v>
      </c>
      <c r="P1101">
        <v>1.8940248027057498E-2</v>
      </c>
      <c r="Q1101">
        <v>1.8763114667599799E-2</v>
      </c>
      <c r="R1101" s="8">
        <v>44.316673278808601</v>
      </c>
      <c r="S1101" s="8">
        <v>7.6836378592397602E-3</v>
      </c>
      <c r="T1101" s="9">
        <v>7.6542690574213897E-3</v>
      </c>
      <c r="U1101" s="12">
        <v>2.462E-2</v>
      </c>
      <c r="V1101" s="16">
        <v>3.4676</v>
      </c>
      <c r="W1101" s="17">
        <f t="shared" si="17"/>
        <v>-8.6056551448094876E-3</v>
      </c>
    </row>
    <row r="1102" spans="1:23" x14ac:dyDescent="0.2">
      <c r="A1102" s="14">
        <v>43153</v>
      </c>
      <c r="B1102" s="3">
        <v>567613196066678</v>
      </c>
      <c r="C1102" s="3">
        <f>[1]!nefin_factors__1[[#This Row],[Rm_minus_Rf]]/B1101-1</f>
        <v>3.6146813636992876</v>
      </c>
      <c r="D1102" s="3">
        <v>-565408186150406</v>
      </c>
      <c r="E1102" s="3">
        <f>[1]!nefin_factors__1[[#This Row],[SMB]]/D1101-1</f>
        <v>2.4826344623897634</v>
      </c>
      <c r="F1102" s="3">
        <v>-157204746127434</v>
      </c>
      <c r="G1102" s="3">
        <f>[1]!nefin_factors__1[[#This Row],[HML]]/F1101-1</f>
        <v>-0.78370473131095497</v>
      </c>
      <c r="H1102" s="3">
        <v>254028807371354</v>
      </c>
      <c r="I1102" s="4">
        <f>[1]!nefin_factors__1[[#This Row],[Risk_Free]]/H1101-1</f>
        <v>0</v>
      </c>
      <c r="J1102">
        <v>85861</v>
      </c>
      <c r="K1102">
        <v>86406</v>
      </c>
      <c r="L1102">
        <v>85183</v>
      </c>
      <c r="M1102">
        <v>85220</v>
      </c>
      <c r="N1102">
        <v>4379700</v>
      </c>
      <c r="O1102">
        <v>85220</v>
      </c>
      <c r="P1102">
        <v>-7.4655547920475804E-3</v>
      </c>
      <c r="Q1102">
        <v>-7.4935615238170801E-3</v>
      </c>
      <c r="R1102" s="8">
        <v>42.725986480712898</v>
      </c>
      <c r="S1102" s="8">
        <v>-3.5893710536095601E-2</v>
      </c>
      <c r="T1102" s="9">
        <v>-3.6553731669660097E-2</v>
      </c>
      <c r="U1102" s="12">
        <v>2.462E-2</v>
      </c>
      <c r="V1102" s="16">
        <v>3.4811000000000001</v>
      </c>
      <c r="W1102" s="17">
        <f t="shared" si="17"/>
        <v>3.8931826046832985E-3</v>
      </c>
    </row>
    <row r="1103" spans="1:23" x14ac:dyDescent="0.2">
      <c r="A1103" s="15">
        <v>43154</v>
      </c>
      <c r="B1103" s="5">
        <v>619356223994212</v>
      </c>
      <c r="C1103" s="5">
        <f>[1]!nefin_factors__1[[#This Row],[Rm_minus_Rf]]/B1102-1</f>
        <v>9.1158958752353803E-2</v>
      </c>
      <c r="D1103" s="5">
        <v>-400397577048081</v>
      </c>
      <c r="E1103" s="5">
        <f>[1]!nefin_factors__1[[#This Row],[SMB]]/D1102-1</f>
        <v>-0.29184333220536363</v>
      </c>
      <c r="F1103" s="5">
        <v>105043044187226</v>
      </c>
      <c r="G1103" s="5">
        <f>[1]!nefin_factors__1[[#This Row],[HML]]/F1102-1</f>
        <v>-1.6681925754460081</v>
      </c>
      <c r="H1103" s="5">
        <v>254028807371354</v>
      </c>
      <c r="I1103" s="6">
        <f>[1]!nefin_factors__1[[#This Row],[Risk_Free]]/H1102-1</f>
        <v>0</v>
      </c>
      <c r="J1103">
        <v>85222</v>
      </c>
      <c r="K1103">
        <v>86105</v>
      </c>
      <c r="L1103">
        <v>84688</v>
      </c>
      <c r="M1103">
        <v>85232</v>
      </c>
      <c r="N1103">
        <v>4080700</v>
      </c>
      <c r="O1103">
        <v>85232</v>
      </c>
      <c r="P1103">
        <v>1.4081201595872499E-4</v>
      </c>
      <c r="Q1103">
        <v>1.40802102877382E-4</v>
      </c>
      <c r="R1103" s="8">
        <v>41.745201110839801</v>
      </c>
      <c r="S1103" s="8">
        <v>-2.2955222063642401E-2</v>
      </c>
      <c r="T1103" s="9">
        <v>-2.3222795915550699E-2</v>
      </c>
      <c r="U1103" s="12">
        <v>2.462E-2</v>
      </c>
      <c r="V1103" s="16">
        <v>3.5424000000000002</v>
      </c>
      <c r="W1103" s="17">
        <f t="shared" si="17"/>
        <v>1.7609376346557237E-2</v>
      </c>
    </row>
    <row r="1104" spans="1:23" x14ac:dyDescent="0.2">
      <c r="A1104" s="14">
        <v>43157</v>
      </c>
      <c r="B1104" s="3">
        <v>389881639646716</v>
      </c>
      <c r="C1104" s="3">
        <f>[1]!nefin_factors__1[[#This Row],[Rm_minus_Rf]]/B1103-1</f>
        <v>-0.37050501061831664</v>
      </c>
      <c r="D1104" s="3">
        <v>369325294253195</v>
      </c>
      <c r="E1104" s="3">
        <f>[1]!nefin_factors__1[[#This Row],[SMB]]/D1103-1</f>
        <v>-1.9223964265119546</v>
      </c>
      <c r="F1104" s="3">
        <v>152058388869536</v>
      </c>
      <c r="G1104" s="3">
        <f>[1]!nefin_factors__1[[#This Row],[HML]]/F1103-1</f>
        <v>0.44758170373005446</v>
      </c>
      <c r="H1104" s="3">
        <v>253656473870656</v>
      </c>
      <c r="I1104" s="4">
        <f>[1]!nefin_factors__1[[#This Row],[Risk_Free]]/H1103-1</f>
        <v>-1.4657136903126755E-3</v>
      </c>
      <c r="J1104">
        <v>85225</v>
      </c>
      <c r="K1104">
        <v>85231</v>
      </c>
      <c r="L1104">
        <v>83830</v>
      </c>
      <c r="M1104">
        <v>85130</v>
      </c>
      <c r="N1104">
        <v>4405100</v>
      </c>
      <c r="O1104">
        <v>85130</v>
      </c>
      <c r="P1104">
        <v>-1.19673362117512E-3</v>
      </c>
      <c r="Q1104">
        <v>-1.1974502786776199E-3</v>
      </c>
      <c r="R1104" s="8">
        <v>41.209480285644503</v>
      </c>
      <c r="S1104" s="8">
        <v>-1.28330248805365E-2</v>
      </c>
      <c r="T1104" s="9">
        <v>-1.29160794705404E-2</v>
      </c>
      <c r="U1104" s="12">
        <v>2.462E-2</v>
      </c>
      <c r="V1104" s="16">
        <v>3.5484</v>
      </c>
      <c r="W1104" s="17">
        <f t="shared" si="17"/>
        <v>1.6937669376693165E-3</v>
      </c>
    </row>
    <row r="1105" spans="1:23" x14ac:dyDescent="0.2">
      <c r="A1105" s="15">
        <v>43158</v>
      </c>
      <c r="B1105" s="5">
        <v>-639033425343028</v>
      </c>
      <c r="C1105" s="5">
        <f>[1]!nefin_factors__1[[#This Row],[Rm_minus_Rf]]/B1104-1</f>
        <v>-2.6390446749995107</v>
      </c>
      <c r="D1105" s="5">
        <v>489922281655232</v>
      </c>
      <c r="E1105" s="5">
        <f>[1]!nefin_factors__1[[#This Row],[SMB]]/D1104-1</f>
        <v>0.3265332466488482</v>
      </c>
      <c r="F1105" s="5">
        <v>-17249792860495</v>
      </c>
      <c r="G1105" s="5">
        <f>[1]!nefin_factors__1[[#This Row],[HML]]/F1104-1</f>
        <v>-1.1134419020794379</v>
      </c>
      <c r="H1105" s="5">
        <v>253656473870656</v>
      </c>
      <c r="I1105" s="6">
        <f>[1]!nefin_factors__1[[#This Row],[Risk_Free]]/H1104-1</f>
        <v>0</v>
      </c>
      <c r="J1105">
        <v>85122</v>
      </c>
      <c r="K1105">
        <v>86678</v>
      </c>
      <c r="L1105">
        <v>85044</v>
      </c>
      <c r="M1105">
        <v>86537</v>
      </c>
      <c r="N1105">
        <v>3707000</v>
      </c>
      <c r="O1105">
        <v>86537</v>
      </c>
      <c r="P1105">
        <v>1.65276635733584E-2</v>
      </c>
      <c r="Q1105">
        <v>1.6392568249510402E-2</v>
      </c>
      <c r="R1105" s="8">
        <v>42.800163269042997</v>
      </c>
      <c r="S1105" s="8">
        <v>3.8599810713952E-2</v>
      </c>
      <c r="T1105" s="9">
        <v>3.7873470176911499E-2</v>
      </c>
      <c r="U1105" s="12">
        <v>2.462E-2</v>
      </c>
      <c r="V1105" s="16">
        <v>3.5308000000000002</v>
      </c>
      <c r="W1105" s="17">
        <f t="shared" si="17"/>
        <v>-4.9599819637019538E-3</v>
      </c>
    </row>
    <row r="1106" spans="1:23" x14ac:dyDescent="0.2">
      <c r="A1106" s="14">
        <v>43159</v>
      </c>
      <c r="B1106" s="3">
        <v>-163869097404588</v>
      </c>
      <c r="C1106" s="3">
        <f>[1]!nefin_factors__1[[#This Row],[Rm_minus_Rf]]/B1105-1</f>
        <v>-0.74356725187477579</v>
      </c>
      <c r="D1106" s="3">
        <v>-275228924532914</v>
      </c>
      <c r="E1106" s="3">
        <f>[1]!nefin_factors__1[[#This Row],[SMB]]/D1105-1</f>
        <v>-1.5617807861341526</v>
      </c>
      <c r="F1106" s="3">
        <v>-732903921255528</v>
      </c>
      <c r="G1106" s="3">
        <f>[1]!nefin_factors__1[[#This Row],[HML]]/F1105-1</f>
        <v>41.487694036837063</v>
      </c>
      <c r="H1106" s="3">
        <v>253284105579121</v>
      </c>
      <c r="I1106" s="4">
        <f>[1]!nefin_factors__1[[#This Row],[Risk_Free]]/H1105-1</f>
        <v>-1.4680023176734114E-3</v>
      </c>
      <c r="J1106">
        <v>86537</v>
      </c>
      <c r="K1106">
        <v>86537</v>
      </c>
      <c r="L1106">
        <v>83377</v>
      </c>
      <c r="M1106">
        <v>83622</v>
      </c>
      <c r="N1106">
        <v>5508600</v>
      </c>
      <c r="O1106">
        <v>83622</v>
      </c>
      <c r="P1106">
        <v>-3.3685013346892098E-2</v>
      </c>
      <c r="Q1106">
        <v>-3.4265424780048501E-2</v>
      </c>
      <c r="R1106" s="8">
        <v>41.127059936523402</v>
      </c>
      <c r="S1106" s="8">
        <v>-3.9090956909420299E-2</v>
      </c>
      <c r="T1106" s="9">
        <v>-3.9875522680049902E-2</v>
      </c>
      <c r="U1106" s="12">
        <v>2.462E-2</v>
      </c>
      <c r="V1106" s="16">
        <v>3.5457999999999998</v>
      </c>
      <c r="W1106" s="17">
        <f t="shared" si="17"/>
        <v>4.2483289905970167E-3</v>
      </c>
    </row>
    <row r="1107" spans="1:23" x14ac:dyDescent="0.2">
      <c r="A1107" s="15">
        <v>43160</v>
      </c>
      <c r="B1107" s="5">
        <v>768332802295972</v>
      </c>
      <c r="C1107" s="5">
        <f>[1]!nefin_factors__1[[#This Row],[Rm_minus_Rf]]/B1106-1</f>
        <v>-5.6886985677292214</v>
      </c>
      <c r="D1107" s="5">
        <v>-160471259901662</v>
      </c>
      <c r="E1107" s="5">
        <f>[1]!nefin_factors__1[[#This Row],[SMB]]/D1106-1</f>
        <v>-0.41695350452720459</v>
      </c>
      <c r="F1107" s="5">
        <v>-247459322365205</v>
      </c>
      <c r="G1107" s="5">
        <f>[1]!nefin_factors__1[[#This Row],[HML]]/F1106-1</f>
        <v>-0.66235775906167116</v>
      </c>
      <c r="H1107" s="5">
        <v>253656473870656</v>
      </c>
      <c r="I1107" s="6">
        <f>[1]!nefin_factors__1[[#This Row],[Risk_Free]]/H1106-1</f>
        <v>1.4701605167193321E-3</v>
      </c>
      <c r="J1107">
        <v>83614</v>
      </c>
      <c r="K1107">
        <v>83614</v>
      </c>
      <c r="L1107">
        <v>81391</v>
      </c>
      <c r="M1107">
        <v>83082</v>
      </c>
      <c r="N1107">
        <v>5730200</v>
      </c>
      <c r="O1107">
        <v>83082</v>
      </c>
      <c r="P1107">
        <v>-6.4576307670229901E-3</v>
      </c>
      <c r="Q1107">
        <v>-6.4785714647956297E-3</v>
      </c>
      <c r="R1107" s="8">
        <v>40.838592529296903</v>
      </c>
      <c r="S1107" s="8">
        <v>-7.0141084396001504E-3</v>
      </c>
      <c r="T1107" s="9">
        <v>-7.0388229327617603E-3</v>
      </c>
      <c r="U1107" s="12">
        <v>2.462E-2</v>
      </c>
      <c r="V1107" s="16">
        <v>3.5788000000000002</v>
      </c>
      <c r="W1107" s="17">
        <f t="shared" si="17"/>
        <v>9.3067854926955906E-3</v>
      </c>
    </row>
    <row r="1108" spans="1:23" x14ac:dyDescent="0.2">
      <c r="A1108" s="14">
        <v>43161</v>
      </c>
      <c r="B1108" s="3">
        <v>408300653771928</v>
      </c>
      <c r="C1108" s="3">
        <f>[1]!nefin_factors__1[[#This Row],[Rm_minus_Rf]]/B1107-1</f>
        <v>-0.46858880350829379</v>
      </c>
      <c r="D1108" s="3">
        <v>858695226223789</v>
      </c>
      <c r="E1108" s="3">
        <f>[1]!nefin_factors__1[[#This Row],[SMB]]/D1107-1</f>
        <v>-6.3510842175103752</v>
      </c>
      <c r="F1108" s="3">
        <v>-103117867507831</v>
      </c>
      <c r="G1108" s="3">
        <f>[1]!nefin_factors__1[[#This Row],[HML]]/F1107-1</f>
        <v>-0.58329366409705208</v>
      </c>
      <c r="H1108" s="3">
        <v>253284105579121</v>
      </c>
      <c r="I1108" s="4">
        <f>[1]!nefin_factors__1[[#This Row],[Risk_Free]]/H1107-1</f>
        <v>-1.4680023176734114E-3</v>
      </c>
      <c r="J1108">
        <v>83095</v>
      </c>
      <c r="K1108">
        <v>83883</v>
      </c>
      <c r="L1108">
        <v>81576</v>
      </c>
      <c r="M1108">
        <v>81815</v>
      </c>
      <c r="N1108">
        <v>4242200</v>
      </c>
      <c r="O1108">
        <v>81815</v>
      </c>
      <c r="P1108">
        <v>-1.5249993981849201E-2</v>
      </c>
      <c r="Q1108">
        <v>-1.5367471019773E-2</v>
      </c>
      <c r="R1108" s="8">
        <v>41.621574401855497</v>
      </c>
      <c r="S1108" s="8">
        <v>1.9172557004991E-2</v>
      </c>
      <c r="T1108" s="9">
        <v>1.8991079457739E-2</v>
      </c>
      <c r="U1108" s="12">
        <v>2.462E-2</v>
      </c>
      <c r="V1108" s="16">
        <v>3.5943000000000001</v>
      </c>
      <c r="W1108" s="17">
        <f t="shared" si="17"/>
        <v>4.3310606907343008E-3</v>
      </c>
    </row>
    <row r="1109" spans="1:23" x14ac:dyDescent="0.2">
      <c r="A1109" s="15">
        <v>43164</v>
      </c>
      <c r="B1109" s="5">
        <v>380186046398223</v>
      </c>
      <c r="C1109" s="5">
        <f>[1]!nefin_factors__1[[#This Row],[Rm_minus_Rf]]/B1108-1</f>
        <v>-6.885761047399519E-2</v>
      </c>
      <c r="D1109" s="5">
        <v>846715853446835</v>
      </c>
      <c r="E1109" s="5">
        <f>[1]!nefin_factors__1[[#This Row],[SMB]]/D1108-1</f>
        <v>-1.3950668888232487E-2</v>
      </c>
      <c r="F1109" s="5">
        <v>111692118062793</v>
      </c>
      <c r="G1109" s="5">
        <f>[1]!nefin_factors__1[[#This Row],[HML]]/F1108-1</f>
        <v>-2.0831499987556557</v>
      </c>
      <c r="H1109" s="5">
        <v>252166791891995</v>
      </c>
      <c r="I1109" s="6">
        <f>[1]!nefin_factors__1[[#This Row],[Risk_Free]]/H1108-1</f>
        <v>-4.4113059703108082E-3</v>
      </c>
      <c r="J1109">
        <v>81817</v>
      </c>
      <c r="K1109">
        <v>83396</v>
      </c>
      <c r="L1109">
        <v>81613</v>
      </c>
      <c r="M1109">
        <v>82739</v>
      </c>
      <c r="N1109">
        <v>4785500</v>
      </c>
      <c r="O1109">
        <v>82739</v>
      </c>
      <c r="P1109">
        <v>1.1293772535598601E-2</v>
      </c>
      <c r="Q1109">
        <v>1.12304740266745E-2</v>
      </c>
      <c r="R1109" s="8">
        <v>43.962272644042997</v>
      </c>
      <c r="S1109" s="8">
        <v>5.6237667750763699E-2</v>
      </c>
      <c r="T1109" s="9">
        <v>5.4713224118851801E-2</v>
      </c>
      <c r="U1109" s="12">
        <v>2.462E-2</v>
      </c>
      <c r="V1109" s="16">
        <v>3.5566</v>
      </c>
      <c r="W1109" s="17">
        <f t="shared" si="17"/>
        <v>-1.0488829535653665E-2</v>
      </c>
    </row>
    <row r="1110" spans="1:23" x14ac:dyDescent="0.2">
      <c r="A1110" s="14">
        <v>43165</v>
      </c>
      <c r="B1110" s="3">
        <v>-330515106937681</v>
      </c>
      <c r="C1110" s="3">
        <f>[1]!nefin_factors__1[[#This Row],[Rm_minus_Rf]]/B1109-1</f>
        <v>-1.8693509666356494</v>
      </c>
      <c r="D1110" s="3">
        <v>231730609855728</v>
      </c>
      <c r="E1110" s="3">
        <f>[1]!nefin_factors__1[[#This Row],[SMB]]/D1109-1</f>
        <v>-0.72631832873756585</v>
      </c>
      <c r="F1110" s="3">
        <v>-665748471992331</v>
      </c>
      <c r="G1110" s="3">
        <f>[1]!nefin_factors__1[[#This Row],[HML]]/F1109-1</f>
        <v>-6.9605680645974415</v>
      </c>
      <c r="H1110" s="3">
        <v>251794284370499</v>
      </c>
      <c r="I1110" s="4">
        <f>[1]!nefin_factors__1[[#This Row],[Risk_Free]]/H1109-1</f>
        <v>-1.4772267145134466E-3</v>
      </c>
      <c r="J1110">
        <v>82742</v>
      </c>
      <c r="K1110">
        <v>82742</v>
      </c>
      <c r="L1110">
        <v>80867</v>
      </c>
      <c r="M1110">
        <v>80867</v>
      </c>
      <c r="N1110">
        <v>3875500</v>
      </c>
      <c r="O1110">
        <v>80867</v>
      </c>
      <c r="P1110">
        <v>-2.2625364096738002E-2</v>
      </c>
      <c r="Q1110">
        <v>-2.2885245062647198E-2</v>
      </c>
      <c r="R1110" s="8">
        <v>42.025428771972699</v>
      </c>
      <c r="S1110" s="8">
        <v>-4.4057032652409303E-2</v>
      </c>
      <c r="T1110" s="9">
        <v>-4.5057025296522599E-2</v>
      </c>
      <c r="U1110" s="12">
        <v>2.462E-2</v>
      </c>
      <c r="V1110" s="16">
        <v>3.5716000000000001</v>
      </c>
      <c r="W1110" s="17">
        <f t="shared" si="17"/>
        <v>4.2175111061126813E-3</v>
      </c>
    </row>
    <row r="1111" spans="1:23" x14ac:dyDescent="0.2">
      <c r="A1111" s="15">
        <v>43166</v>
      </c>
      <c r="B1111" s="5">
        <v>-114978518596085</v>
      </c>
      <c r="C1111" s="5">
        <f>[1]!nefin_factors__1[[#This Row],[Rm_minus_Rf]]/B1110-1</f>
        <v>-0.65212325796120318</v>
      </c>
      <c r="D1111" s="5">
        <v>-113650615425361</v>
      </c>
      <c r="E1111" s="5">
        <f>[1]!nefin_factors__1[[#This Row],[SMB]]/D1110-1</f>
        <v>-1.4904428271091081</v>
      </c>
      <c r="F1111" s="5">
        <v>-850705980834337</v>
      </c>
      <c r="G1111" s="5">
        <f>[1]!nefin_factors__1[[#This Row],[HML]]/F1110-1</f>
        <v>0.27781890101602302</v>
      </c>
      <c r="H1111" s="5">
        <v>251421742025526</v>
      </c>
      <c r="I1111" s="6">
        <f>[1]!nefin_factors__1[[#This Row],[Risk_Free]]/H1110-1</f>
        <v>-1.4795504429513384E-3</v>
      </c>
      <c r="J1111">
        <v>80860</v>
      </c>
      <c r="K1111">
        <v>80860</v>
      </c>
      <c r="L1111">
        <v>79027</v>
      </c>
      <c r="M1111">
        <v>80122</v>
      </c>
      <c r="N1111">
        <v>6182200</v>
      </c>
      <c r="O1111">
        <v>80122</v>
      </c>
      <c r="P1111">
        <v>-9.2126578208663306E-3</v>
      </c>
      <c r="Q1111">
        <v>-9.2553568026623699E-3</v>
      </c>
      <c r="R1111" s="8">
        <v>42.668296813964801</v>
      </c>
      <c r="S1111" s="8">
        <v>1.5297203846772699E-2</v>
      </c>
      <c r="T1111" s="9">
        <v>1.5181381304476899E-2</v>
      </c>
      <c r="U1111" s="12">
        <v>2.462E-2</v>
      </c>
      <c r="V1111" s="16">
        <v>3.6097000000000001</v>
      </c>
      <c r="W1111" s="17">
        <f t="shared" si="17"/>
        <v>1.0667487960577926E-2</v>
      </c>
    </row>
    <row r="1112" spans="1:23" x14ac:dyDescent="0.2">
      <c r="A1112" s="14">
        <v>43167</v>
      </c>
      <c r="B1112" s="3">
        <v>-40669326648287</v>
      </c>
      <c r="C1112" s="3">
        <f>[1]!nefin_factors__1[[#This Row],[Rm_minus_Rf]]/B1111-1</f>
        <v>-0.64628760967814569</v>
      </c>
      <c r="D1112" s="3">
        <v>106258857481166</v>
      </c>
      <c r="E1112" s="3">
        <f>[1]!nefin_factors__1[[#This Row],[SMB]]/D1111-1</f>
        <v>-1.9349606870448541</v>
      </c>
      <c r="F1112" s="3">
        <v>283482638259352</v>
      </c>
      <c r="G1112" s="3">
        <f>[1]!nefin_factors__1[[#This Row],[HML]]/F1111-1</f>
        <v>-1.3332322149437859</v>
      </c>
      <c r="H1112" s="3">
        <v>251049164850192</v>
      </c>
      <c r="I1112" s="4">
        <f>[1]!nefin_factors__1[[#This Row],[Risk_Free]]/H1111-1</f>
        <v>-1.481881289710274E-3</v>
      </c>
      <c r="J1112">
        <v>80123</v>
      </c>
      <c r="K1112">
        <v>80629</v>
      </c>
      <c r="L1112">
        <v>78622</v>
      </c>
      <c r="M1112">
        <v>78898</v>
      </c>
      <c r="N1112">
        <v>4650100</v>
      </c>
      <c r="O1112">
        <v>78898</v>
      </c>
      <c r="P1112">
        <v>-1.5276703027882499E-2</v>
      </c>
      <c r="Q1112">
        <v>-1.53945940541339E-2</v>
      </c>
      <c r="R1112" s="8">
        <v>42.239715576171903</v>
      </c>
      <c r="S1112" s="8">
        <v>-1.00445137114458E-2</v>
      </c>
      <c r="T1112" s="9">
        <v>-1.0095300209277701E-2</v>
      </c>
      <c r="U1112" s="12">
        <v>2.462E-2</v>
      </c>
      <c r="V1112" s="16">
        <v>3.6753</v>
      </c>
      <c r="W1112" s="17">
        <f t="shared" si="17"/>
        <v>1.8173255395185217E-2</v>
      </c>
    </row>
    <row r="1113" spans="1:23" x14ac:dyDescent="0.2">
      <c r="A1113" s="15">
        <v>43168</v>
      </c>
      <c r="B1113" s="5">
        <v>14567933252453</v>
      </c>
      <c r="C1113" s="5">
        <f>[1]!nefin_factors__1[[#This Row],[Rm_minus_Rf]]/B1112-1</f>
        <v>-1.3582044369319943</v>
      </c>
      <c r="D1113" s="5">
        <v>-125523972903666</v>
      </c>
      <c r="E1113" s="5">
        <f>[1]!nefin_factors__1[[#This Row],[SMB]]/D1112-1</f>
        <v>-2.1813036190974922</v>
      </c>
      <c r="F1113" s="5">
        <v>-170478525798893</v>
      </c>
      <c r="G1113" s="5">
        <f>[1]!nefin_factors__1[[#This Row],[HML]]/F1112-1</f>
        <v>-1.6013720164510603</v>
      </c>
      <c r="H1113" s="5">
        <v>250676552838058</v>
      </c>
      <c r="I1113" s="6">
        <f>[1]!nefin_factors__1[[#This Row],[Risk_Free]]/H1112-1</f>
        <v>-1.4842192857177361E-3</v>
      </c>
      <c r="J1113">
        <v>78886</v>
      </c>
      <c r="K1113">
        <v>78886</v>
      </c>
      <c r="L1113">
        <v>75337</v>
      </c>
      <c r="M1113">
        <v>75356</v>
      </c>
      <c r="N1113">
        <v>4176200</v>
      </c>
      <c r="O1113">
        <v>75356</v>
      </c>
      <c r="P1113">
        <v>-4.4893406676975403E-2</v>
      </c>
      <c r="Q1113">
        <v>-4.5932328684962102E-2</v>
      </c>
      <c r="R1113" s="8">
        <v>39.149005889892599</v>
      </c>
      <c r="S1113" s="8">
        <v>-7.3170722742089703E-2</v>
      </c>
      <c r="T1113" s="9">
        <v>-7.5985897304913605E-2</v>
      </c>
      <c r="U1113" s="12">
        <v>2.462E-2</v>
      </c>
      <c r="V1113" s="16">
        <v>3.6802999999999999</v>
      </c>
      <c r="W1113" s="17">
        <f t="shared" si="17"/>
        <v>1.3604331619188059E-3</v>
      </c>
    </row>
    <row r="1114" spans="1:23" x14ac:dyDescent="0.2">
      <c r="A1114" s="14">
        <v>43171</v>
      </c>
      <c r="B1114" s="3">
        <v>716071174948733</v>
      </c>
      <c r="C1114" s="3">
        <f>[1]!nefin_factors__1[[#This Row],[Rm_minus_Rf]]/B1113-1</f>
        <v>48.153930248009502</v>
      </c>
      <c r="D1114" s="3">
        <v>-462547657823065</v>
      </c>
      <c r="E1114" s="3">
        <f>[1]!nefin_factors__1[[#This Row],[SMB]]/D1113-1</f>
        <v>2.6849348146273981</v>
      </c>
      <c r="F1114" s="3">
        <v>662992064273655</v>
      </c>
      <c r="G1114" s="3">
        <f>[1]!nefin_factors__1[[#This Row],[HML]]/F1113-1</f>
        <v>-4.8890063201025171</v>
      </c>
      <c r="H1114" s="3">
        <v>250303905982685</v>
      </c>
      <c r="I1114" s="4">
        <f>[1]!nefin_factors__1[[#This Row],[Risk_Free]]/H1113-1</f>
        <v>-1.4865644638640818E-3</v>
      </c>
      <c r="J1114">
        <v>75361</v>
      </c>
      <c r="K1114">
        <v>77214</v>
      </c>
      <c r="L1114">
        <v>75361</v>
      </c>
      <c r="M1114">
        <v>76072</v>
      </c>
      <c r="N1114">
        <v>5972300</v>
      </c>
      <c r="O1114">
        <v>76072</v>
      </c>
      <c r="P1114">
        <v>9.5015659005255292E-3</v>
      </c>
      <c r="Q1114">
        <v>9.4567099340152096E-3</v>
      </c>
      <c r="R1114" s="8">
        <v>41.151786804199197</v>
      </c>
      <c r="S1114" s="8">
        <v>5.1157963326616998E-2</v>
      </c>
      <c r="T1114" s="9">
        <v>4.98923787235587E-2</v>
      </c>
      <c r="U1114" s="12">
        <v>2.462E-2</v>
      </c>
      <c r="V1114" s="16">
        <v>3.6873999999999998</v>
      </c>
      <c r="W1114" s="17">
        <f t="shared" si="17"/>
        <v>1.9291905551177546E-3</v>
      </c>
    </row>
    <row r="1115" spans="1:23" x14ac:dyDescent="0.2">
      <c r="A1115" s="15">
        <v>43172</v>
      </c>
      <c r="B1115" s="5">
        <v>-586271044641161</v>
      </c>
      <c r="C1115" s="5">
        <f>[1]!nefin_factors__1[[#This Row],[Rm_minus_Rf]]/B1114-1</f>
        <v>-1.8187329209043153</v>
      </c>
      <c r="D1115" s="5">
        <v>600308842466941</v>
      </c>
      <c r="E1115" s="5">
        <f>[1]!nefin_factors__1[[#This Row],[SMB]]/D1114-1</f>
        <v>-2.2978313311372833</v>
      </c>
      <c r="F1115" s="5">
        <v>-177740311581872</v>
      </c>
      <c r="G1115" s="5">
        <f>[1]!nefin_factors__1[[#This Row],[HML]]/F1114-1</f>
        <v>-1.2680881433725704</v>
      </c>
      <c r="H1115" s="5">
        <v>249931224277633</v>
      </c>
      <c r="I1115" s="6">
        <f>[1]!nefin_factors__1[[#This Row],[Risk_Free]]/H1114-1</f>
        <v>-1.4889168572455036E-3</v>
      </c>
      <c r="J1115">
        <v>76058</v>
      </c>
      <c r="K1115">
        <v>77097</v>
      </c>
      <c r="L1115">
        <v>75515</v>
      </c>
      <c r="M1115">
        <v>76754</v>
      </c>
      <c r="N1115">
        <v>7442100</v>
      </c>
      <c r="O1115">
        <v>76754</v>
      </c>
      <c r="P1115">
        <v>8.9651908718055805E-3</v>
      </c>
      <c r="Q1115">
        <v>8.9252421359495796E-3</v>
      </c>
      <c r="R1115" s="8">
        <v>42.033668518066399</v>
      </c>
      <c r="S1115" s="8">
        <v>2.1429988967986102E-2</v>
      </c>
      <c r="T1115" s="9">
        <v>2.12035954504655E-2</v>
      </c>
      <c r="U1115" s="12">
        <v>2.462E-2</v>
      </c>
      <c r="V1115" s="16">
        <v>3.7503000000000002</v>
      </c>
      <c r="W1115" s="17">
        <f t="shared" si="17"/>
        <v>1.7058089710907609E-2</v>
      </c>
    </row>
    <row r="1116" spans="1:23" x14ac:dyDescent="0.2">
      <c r="A1116" s="14">
        <v>43173</v>
      </c>
      <c r="B1116" s="3">
        <v>-282968459356749</v>
      </c>
      <c r="C1116" s="3">
        <f>[1]!nefin_factors__1[[#This Row],[Rm_minus_Rf]]/B1115-1</f>
        <v>-0.51734191558113607</v>
      </c>
      <c r="D1116" s="3">
        <v>-153685396882961</v>
      </c>
      <c r="E1116" s="3">
        <f>[1]!nefin_factors__1[[#This Row],[SMB]]/D1115-1</f>
        <v>-1.2560105499219336</v>
      </c>
      <c r="F1116" s="3">
        <v>127021707557708</v>
      </c>
      <c r="G1116" s="3">
        <f>[1]!nefin_factors__1[[#This Row],[HML]]/F1115-1</f>
        <v>-1.7146477151256616</v>
      </c>
      <c r="H1116" s="3">
        <v>249558507716019</v>
      </c>
      <c r="I1116" s="4">
        <f>[1]!nefin_factors__1[[#This Row],[Risk_Free]]/H1115-1</f>
        <v>-1.4912765009303941E-3</v>
      </c>
      <c r="J1116">
        <v>76779</v>
      </c>
      <c r="K1116">
        <v>78169</v>
      </c>
      <c r="L1116">
        <v>75524</v>
      </c>
      <c r="M1116">
        <v>77240</v>
      </c>
      <c r="N1116">
        <v>6044400</v>
      </c>
      <c r="O1116">
        <v>77240</v>
      </c>
      <c r="P1116">
        <v>6.3319175547853499E-3</v>
      </c>
      <c r="Q1116">
        <v>6.3119551872208501E-3</v>
      </c>
      <c r="R1116" s="8">
        <v>42.272682189941399</v>
      </c>
      <c r="S1116" s="8">
        <v>5.6861761905684398E-3</v>
      </c>
      <c r="T1116" s="9">
        <v>5.6700709135201598E-3</v>
      </c>
      <c r="U1116" s="12">
        <v>2.462E-2</v>
      </c>
      <c r="V1116" s="16">
        <v>3.7071999999999998</v>
      </c>
      <c r="W1116" s="17">
        <f t="shared" si="17"/>
        <v>-1.149241394021816E-2</v>
      </c>
    </row>
    <row r="1117" spans="1:23" x14ac:dyDescent="0.2">
      <c r="A1117" s="15">
        <v>43174</v>
      </c>
      <c r="B1117" s="5">
        <v>-133184352823987</v>
      </c>
      <c r="C1117" s="5">
        <f>[1]!nefin_factors__1[[#This Row],[Rm_minus_Rf]]/B1116-1</f>
        <v>-0.52933145578576135</v>
      </c>
      <c r="D1117" s="5">
        <v>-30321054498927</v>
      </c>
      <c r="E1117" s="5">
        <f>[1]!nefin_factors__1[[#This Row],[SMB]]/D1116-1</f>
        <v>-0.80270699029382753</v>
      </c>
      <c r="F1117" s="5">
        <v>-100824510895924</v>
      </c>
      <c r="G1117" s="5">
        <f>[1]!nefin_factors__1[[#This Row],[HML]]/F1116-1</f>
        <v>-1.7937581129596909</v>
      </c>
      <c r="H1117" s="5">
        <v>249558507716019</v>
      </c>
      <c r="I1117" s="6">
        <f>[1]!nefin_factors__1[[#This Row],[Risk_Free]]/H1116-1</f>
        <v>0</v>
      </c>
      <c r="J1117">
        <v>77244</v>
      </c>
      <c r="K1117">
        <v>78637</v>
      </c>
      <c r="L1117">
        <v>77244</v>
      </c>
      <c r="M1117">
        <v>78596</v>
      </c>
      <c r="N1117">
        <v>4023100</v>
      </c>
      <c r="O1117">
        <v>78596</v>
      </c>
      <c r="P1117">
        <v>1.75556706369757E-2</v>
      </c>
      <c r="Q1117">
        <v>1.7403349994635699E-2</v>
      </c>
      <c r="R1117" s="8">
        <v>44.572174072265597</v>
      </c>
      <c r="S1117" s="8">
        <v>5.4396773157441701E-2</v>
      </c>
      <c r="T1117" s="9">
        <v>5.2968824402395601E-2</v>
      </c>
      <c r="U1117" s="12">
        <v>2.462E-2</v>
      </c>
      <c r="V1117" s="16">
        <v>3.6501999999999999</v>
      </c>
      <c r="W1117" s="17">
        <f t="shared" si="17"/>
        <v>-1.5375485541648692E-2</v>
      </c>
    </row>
    <row r="1118" spans="1:23" x14ac:dyDescent="0.2">
      <c r="A1118" s="14">
        <v>43175</v>
      </c>
      <c r="B1118" s="3">
        <v>-106369866961609</v>
      </c>
      <c r="C1118" s="3">
        <f>[1]!nefin_factors__1[[#This Row],[Rm_minus_Rf]]/B1117-1</f>
        <v>-0.20133360484031737</v>
      </c>
      <c r="D1118" s="3">
        <v>-404980838197152</v>
      </c>
      <c r="E1118" s="3">
        <f>[1]!nefin_factors__1[[#This Row],[SMB]]/D1117-1</f>
        <v>12.356423280446378</v>
      </c>
      <c r="F1118" s="3">
        <v>145675784799606</v>
      </c>
      <c r="G1118" s="3">
        <f>[1]!nefin_factors__1[[#This Row],[HML]]/F1117-1</f>
        <v>-2.4448449440035436</v>
      </c>
      <c r="H1118" s="3">
        <v>249185756291626</v>
      </c>
      <c r="I1118" s="4">
        <f>[1]!nefin_factors__1[[#This Row],[Risk_Free]]/H1117-1</f>
        <v>-1.4936434257619702E-3</v>
      </c>
      <c r="J1118">
        <v>78595</v>
      </c>
      <c r="K1118">
        <v>78892</v>
      </c>
      <c r="L1118">
        <v>76412</v>
      </c>
      <c r="M1118">
        <v>76642</v>
      </c>
      <c r="N1118">
        <v>4499800</v>
      </c>
      <c r="O1118">
        <v>76642</v>
      </c>
      <c r="P1118">
        <v>-2.4861316097511299E-2</v>
      </c>
      <c r="Q1118">
        <v>-2.5175578199436902E-2</v>
      </c>
      <c r="R1118" s="8">
        <v>42.206748962402301</v>
      </c>
      <c r="S1118" s="8">
        <v>-5.3069642922767502E-2</v>
      </c>
      <c r="T1118" s="9">
        <v>-5.45297290734435E-2</v>
      </c>
      <c r="U1118" s="12">
        <v>2.462E-2</v>
      </c>
      <c r="V1118" s="16">
        <v>3.6507000000000001</v>
      </c>
      <c r="W1118" s="17">
        <f t="shared" si="17"/>
        <v>1.3697879568241866E-4</v>
      </c>
    </row>
    <row r="1119" spans="1:23" x14ac:dyDescent="0.2">
      <c r="A1119" s="15">
        <v>43178</v>
      </c>
      <c r="B1119" s="5">
        <v>-868281565468564</v>
      </c>
      <c r="C1119" s="5">
        <f>[1]!nefin_factors__1[[#This Row],[Rm_minus_Rf]]/B1118-1</f>
        <v>7.1628527915894082</v>
      </c>
      <c r="D1119" s="5">
        <v>-216075704579689</v>
      </c>
      <c r="E1119" s="5">
        <f>[1]!nefin_factors__1[[#This Row],[SMB]]/D1118-1</f>
        <v>-0.466454498090353</v>
      </c>
      <c r="F1119" s="5">
        <v>-808569306686538</v>
      </c>
      <c r="G1119" s="5">
        <f>[1]!nefin_factors__1[[#This Row],[HML]]/F1118-1</f>
        <v>-6.5504716023930758</v>
      </c>
      <c r="H1119" s="5">
        <v>2480672927756</v>
      </c>
      <c r="I1119" s="6">
        <f>[1]!nefin_factors__1[[#This Row],[Risk_Free]]/H1118-1</f>
        <v>-0.99004488472907404</v>
      </c>
      <c r="J1119">
        <v>76641</v>
      </c>
      <c r="K1119">
        <v>76967</v>
      </c>
      <c r="L1119">
        <v>75518</v>
      </c>
      <c r="M1119">
        <v>76117</v>
      </c>
      <c r="N1119">
        <v>4871700</v>
      </c>
      <c r="O1119">
        <v>76117</v>
      </c>
      <c r="P1119">
        <v>-6.8500300096552297E-3</v>
      </c>
      <c r="Q1119">
        <v>-6.8735991598119304E-3</v>
      </c>
      <c r="R1119" s="8">
        <v>40.055614471435497</v>
      </c>
      <c r="S1119" s="8">
        <v>-5.0966739809778797E-2</v>
      </c>
      <c r="T1119" s="9">
        <v>-5.2311433367583697E-2</v>
      </c>
      <c r="U1119" s="12">
        <v>2.462E-2</v>
      </c>
      <c r="V1119" s="16">
        <v>3.6436000000000002</v>
      </c>
      <c r="W1119" s="17">
        <f t="shared" si="17"/>
        <v>-1.9448324978771359E-3</v>
      </c>
    </row>
    <row r="1120" spans="1:23" x14ac:dyDescent="0.2">
      <c r="A1120" s="14">
        <v>43179</v>
      </c>
      <c r="B1120" s="3">
        <v>148017303636909</v>
      </c>
      <c r="C1120" s="3">
        <f>[1]!nefin_factors__1[[#This Row],[Rm_minus_Rf]]/B1119-1</f>
        <v>-1.1704715492341844</v>
      </c>
      <c r="D1120" s="3">
        <v>-787594824987304</v>
      </c>
      <c r="E1120" s="3">
        <f>[1]!nefin_factors__1[[#This Row],[SMB]]/D1119-1</f>
        <v>2.6449948249357114</v>
      </c>
      <c r="F1120" s="3">
        <v>780416343333585</v>
      </c>
      <c r="G1120" s="3">
        <f>[1]!nefin_factors__1[[#This Row],[HML]]/F1119-1</f>
        <v>-1.9651817560719416</v>
      </c>
      <c r="H1120" s="3">
        <v>247694401834142</v>
      </c>
      <c r="I1120" s="4">
        <f>[1]!nefin_factors__1[[#This Row],[Risk_Free]]/H1119-1</f>
        <v>98.849681537099968</v>
      </c>
      <c r="J1120">
        <v>76117</v>
      </c>
      <c r="K1120">
        <v>76117</v>
      </c>
      <c r="L1120">
        <v>71162</v>
      </c>
      <c r="M1120">
        <v>73851</v>
      </c>
      <c r="N1120">
        <v>7919200</v>
      </c>
      <c r="O1120">
        <v>73851</v>
      </c>
      <c r="P1120">
        <v>-2.9769959404600799E-2</v>
      </c>
      <c r="Q1120">
        <v>-3.0222080348581402E-2</v>
      </c>
      <c r="R1120" s="8">
        <v>38.6050415039062</v>
      </c>
      <c r="S1120" s="8">
        <v>-3.6213892871384303E-2</v>
      </c>
      <c r="T1120" s="9">
        <v>-3.6885889562702702E-2</v>
      </c>
      <c r="U1120" s="12">
        <v>2.462E-2</v>
      </c>
      <c r="V1120" s="16">
        <v>3.6587000000000001</v>
      </c>
      <c r="W1120" s="17">
        <f t="shared" si="17"/>
        <v>4.1442529366559899E-3</v>
      </c>
    </row>
    <row r="1121" spans="1:23" x14ac:dyDescent="0.2">
      <c r="A1121" s="15">
        <v>43180</v>
      </c>
      <c r="B1121" s="5">
        <v>798319824786642</v>
      </c>
      <c r="C1121" s="5">
        <f>[1]!nefin_factors__1[[#This Row],[Rm_minus_Rf]]/B1120-1</f>
        <v>4.3934222903083349</v>
      </c>
      <c r="D1121" s="5">
        <v>598183194062366</v>
      </c>
      <c r="E1121" s="5">
        <f>[1]!nefin_factors__1[[#This Row],[SMB]]/D1120-1</f>
        <v>-1.7595062525607741</v>
      </c>
      <c r="F1121" s="5">
        <v>-265737445302781</v>
      </c>
      <c r="G1121" s="5">
        <f>[1]!nefin_factors__1[[#This Row],[HML]]/F1120-1</f>
        <v>-1.3405072786759835</v>
      </c>
      <c r="H1121" s="5">
        <v>246948515258083</v>
      </c>
      <c r="I1121" s="6">
        <f>[1]!nefin_factors__1[[#This Row],[Risk_Free]]/H1120-1</f>
        <v>-3.0113178599751045E-3</v>
      </c>
      <c r="J1121">
        <v>73848</v>
      </c>
      <c r="K1121">
        <v>74031</v>
      </c>
      <c r="L1121">
        <v>71679</v>
      </c>
      <c r="M1121">
        <v>72942</v>
      </c>
      <c r="N1121">
        <v>5952400</v>
      </c>
      <c r="O1121">
        <v>72942</v>
      </c>
      <c r="P1121">
        <v>-1.23085672502742E-2</v>
      </c>
      <c r="Q1121">
        <v>-1.23849450454072E-2</v>
      </c>
      <c r="R1121" s="8">
        <v>40.385288238525398</v>
      </c>
      <c r="S1121" s="8">
        <v>4.6114438549021503E-2</v>
      </c>
      <c r="T1121" s="9">
        <v>4.5082765536950203E-2</v>
      </c>
      <c r="U1121" s="12">
        <v>2.462E-2</v>
      </c>
      <c r="V1121" s="16">
        <v>3.7092000000000001</v>
      </c>
      <c r="W1121" s="17">
        <f t="shared" si="17"/>
        <v>1.3802716811982307E-2</v>
      </c>
    </row>
    <row r="1122" spans="1:23" x14ac:dyDescent="0.2">
      <c r="A1122" s="14">
        <v>43181</v>
      </c>
      <c r="B1122" s="3">
        <v>-210278833667061</v>
      </c>
      <c r="C1122" s="3">
        <f>[1]!nefin_factors__1[[#This Row],[Rm_minus_Rf]]/B1121-1</f>
        <v>-1.2634017434344185</v>
      </c>
      <c r="D1122" s="3">
        <v>44552962977625</v>
      </c>
      <c r="E1122" s="3">
        <f>[1]!nefin_factors__1[[#This Row],[SMB]]/D1121-1</f>
        <v>-0.92551953411619925</v>
      </c>
      <c r="F1122" s="3">
        <v>-460845811854073</v>
      </c>
      <c r="G1122" s="3">
        <f>[1]!nefin_factors__1[[#This Row],[HML]]/F1121-1</f>
        <v>0.73421480487624047</v>
      </c>
      <c r="H1122" s="3">
        <v>245829423562771</v>
      </c>
      <c r="I1122" s="4">
        <f>[1]!nefin_factors__1[[#This Row],[Risk_Free]]/H1121-1</f>
        <v>-4.5316801931060136E-3</v>
      </c>
      <c r="J1122">
        <v>72943</v>
      </c>
      <c r="K1122">
        <v>73716</v>
      </c>
      <c r="L1122">
        <v>71843</v>
      </c>
      <c r="M1122">
        <v>72308</v>
      </c>
      <c r="N1122">
        <v>3564300</v>
      </c>
      <c r="O1122">
        <v>72308</v>
      </c>
      <c r="P1122">
        <v>-8.6918373502235004E-3</v>
      </c>
      <c r="Q1122">
        <v>-8.729831689104E-3</v>
      </c>
      <c r="R1122" s="8">
        <v>37.9127197265625</v>
      </c>
      <c r="S1122" s="8">
        <v>-6.1224578063127102E-2</v>
      </c>
      <c r="T1122" s="9">
        <v>-6.31789956453018E-2</v>
      </c>
      <c r="U1122" s="12">
        <v>2.462E-2</v>
      </c>
      <c r="V1122" s="16">
        <v>3.7288999999999999</v>
      </c>
      <c r="W1122" s="17">
        <f t="shared" si="17"/>
        <v>5.3111183004421747E-3</v>
      </c>
    </row>
    <row r="1123" spans="1:23" x14ac:dyDescent="0.2">
      <c r="A1123" s="15">
        <v>43182</v>
      </c>
      <c r="B1123" s="5">
        <v>-419388008170315</v>
      </c>
      <c r="C1123" s="5">
        <f>[1]!nefin_factors__1[[#This Row],[Rm_minus_Rf]]/B1122-1</f>
        <v>0.99443758012440298</v>
      </c>
      <c r="D1123" s="5">
        <v>-202125306475109</v>
      </c>
      <c r="E1123" s="5">
        <f>[1]!nefin_factors__1[[#This Row],[SMB]]/D1122-1</f>
        <v>-5.5367421820321718</v>
      </c>
      <c r="F1123" s="5">
        <v>481886299200109</v>
      </c>
      <c r="G1123" s="5">
        <f>[1]!nefin_factors__1[[#This Row],[HML]]/F1122-1</f>
        <v>-2.045656240774731</v>
      </c>
      <c r="H1123" s="5">
        <v>245829423562771</v>
      </c>
      <c r="I1123" s="6">
        <f>[1]!nefin_factors__1[[#This Row],[Risk_Free]]/H1122-1</f>
        <v>0</v>
      </c>
      <c r="J1123">
        <v>72308</v>
      </c>
      <c r="K1123">
        <v>73322</v>
      </c>
      <c r="L1123">
        <v>72124</v>
      </c>
      <c r="M1123">
        <v>72754</v>
      </c>
      <c r="N1123">
        <v>3889600</v>
      </c>
      <c r="O1123">
        <v>72754</v>
      </c>
      <c r="P1123">
        <v>6.16805885932403E-3</v>
      </c>
      <c r="Q1123">
        <v>6.1491142453636797E-3</v>
      </c>
      <c r="R1123" s="8">
        <v>36.181922912597699</v>
      </c>
      <c r="S1123" s="8">
        <v>-4.5652090449910102E-2</v>
      </c>
      <c r="T1123" s="9">
        <v>-4.6726988952298099E-2</v>
      </c>
      <c r="U1123" s="12">
        <v>2.462E-2</v>
      </c>
      <c r="V1123" s="16">
        <v>3.7370000000000001</v>
      </c>
      <c r="W1123" s="17">
        <f t="shared" si="17"/>
        <v>2.1722223712086208E-3</v>
      </c>
    </row>
    <row r="1124" spans="1:23" x14ac:dyDescent="0.2">
      <c r="A1124" s="14">
        <v>43185</v>
      </c>
      <c r="B1124" s="3">
        <v>770679853226218</v>
      </c>
      <c r="C1124" s="3">
        <f>[1]!nefin_factors__1[[#This Row],[Rm_minus_Rf]]/B1123-1</f>
        <v>-2.8376296847124971</v>
      </c>
      <c r="D1124" s="3">
        <v>-207620622844048</v>
      </c>
      <c r="E1124" s="3">
        <f>[1]!nefin_factors__1[[#This Row],[SMB]]/D1123-1</f>
        <v>2.718767117671983E-2</v>
      </c>
      <c r="F1124" s="3">
        <v>311421701728464</v>
      </c>
      <c r="G1124" s="3">
        <f>[1]!nefin_factors__1[[#This Row],[HML]]/F1123-1</f>
        <v>-0.35374443671588507</v>
      </c>
      <c r="H1124" s="3">
        <v>246202489047498</v>
      </c>
      <c r="I1124" s="4">
        <f>[1]!nefin_factors__1[[#This Row],[Risk_Free]]/H1123-1</f>
        <v>1.5175786499443955E-3</v>
      </c>
      <c r="J1124">
        <v>72757</v>
      </c>
      <c r="K1124">
        <v>72977</v>
      </c>
      <c r="L1124">
        <v>71035</v>
      </c>
      <c r="M1124">
        <v>72122</v>
      </c>
      <c r="N1124">
        <v>4360200</v>
      </c>
      <c r="O1124">
        <v>72122</v>
      </c>
      <c r="P1124">
        <v>-8.6868075982076097E-3</v>
      </c>
      <c r="Q1124">
        <v>-8.7247578488539902E-3</v>
      </c>
      <c r="R1124" s="8">
        <v>35.234104156494098</v>
      </c>
      <c r="S1124" s="8">
        <v>-2.6195803612146702E-2</v>
      </c>
      <c r="T1124" s="9">
        <v>-2.6545025951536499E-2</v>
      </c>
      <c r="U1124" s="12">
        <v>2.462E-2</v>
      </c>
      <c r="V1124" s="16">
        <v>3.7412999999999998</v>
      </c>
      <c r="W1124" s="17">
        <f t="shared" si="17"/>
        <v>1.1506556061011697E-3</v>
      </c>
    </row>
    <row r="1125" spans="1:23" x14ac:dyDescent="0.2">
      <c r="A1125" s="15">
        <v>43186</v>
      </c>
      <c r="B1125" s="5">
        <v>-148814718159404</v>
      </c>
      <c r="C1125" s="5">
        <f>[1]!nefin_factors__1[[#This Row],[Rm_minus_Rf]]/B1124-1</f>
        <v>-1.193095378757387</v>
      </c>
      <c r="D1125" s="5">
        <v>-346347502205826</v>
      </c>
      <c r="E1125" s="5">
        <f>[1]!nefin_factors__1[[#This Row],[SMB]]/D1124-1</f>
        <v>0.6681748540268142</v>
      </c>
      <c r="F1125" s="5">
        <v>-248454260781961</v>
      </c>
      <c r="G1125" s="5">
        <f>[1]!nefin_factors__1[[#This Row],[HML]]/F1124-1</f>
        <v>-1.7978065093183333</v>
      </c>
      <c r="H1125" s="5">
        <v>245829423562771</v>
      </c>
      <c r="I1125" s="6">
        <f>[1]!nefin_factors__1[[#This Row],[Risk_Free]]/H1124-1</f>
        <v>-1.5152790947414729E-3</v>
      </c>
      <c r="J1125">
        <v>72151</v>
      </c>
      <c r="K1125">
        <v>72708</v>
      </c>
      <c r="L1125">
        <v>71344</v>
      </c>
      <c r="M1125">
        <v>71421</v>
      </c>
      <c r="N1125">
        <v>4281600</v>
      </c>
      <c r="O1125">
        <v>71421</v>
      </c>
      <c r="P1125">
        <v>-9.7196417181997195E-3</v>
      </c>
      <c r="Q1125">
        <v>-9.7671857606361594E-3</v>
      </c>
      <c r="R1125" s="8">
        <v>35.044540405273402</v>
      </c>
      <c r="S1125" s="8">
        <v>-5.3802288762010396E-3</v>
      </c>
      <c r="T1125" s="9">
        <v>-5.3947544315494098E-3</v>
      </c>
      <c r="U1125" s="12">
        <v>2.462E-2</v>
      </c>
      <c r="V1125" s="16">
        <v>3.7423999999999999</v>
      </c>
      <c r="W1125" s="17">
        <f t="shared" si="17"/>
        <v>2.9401544917551092E-4</v>
      </c>
    </row>
    <row r="1126" spans="1:23" x14ac:dyDescent="0.2">
      <c r="A1126" s="14">
        <v>43187</v>
      </c>
      <c r="B1126" s="3">
        <v>-104145872105342</v>
      </c>
      <c r="C1126" s="3">
        <f>[1]!nefin_factors__1[[#This Row],[Rm_minus_Rf]]/B1125-1</f>
        <v>-0.30016416794348677</v>
      </c>
      <c r="D1126" s="3">
        <v>-848339444228645</v>
      </c>
      <c r="E1126" s="3">
        <f>[1]!nefin_factors__1[[#This Row],[SMB]]/D1125-1</f>
        <v>1.4493880822749436</v>
      </c>
      <c r="F1126" s="3">
        <v>-679805743364305</v>
      </c>
      <c r="G1126" s="3">
        <f>[1]!nefin_factors__1[[#This Row],[HML]]/F1125-1</f>
        <v>1.73614041161842</v>
      </c>
      <c r="H1126" s="3">
        <v>245829423562771</v>
      </c>
      <c r="I1126" s="4">
        <f>[1]!nefin_factors__1[[#This Row],[Risk_Free]]/H1125-1</f>
        <v>0</v>
      </c>
      <c r="J1126">
        <v>71421</v>
      </c>
      <c r="K1126">
        <v>71421</v>
      </c>
      <c r="L1126">
        <v>69583</v>
      </c>
      <c r="M1126">
        <v>70758</v>
      </c>
      <c r="N1126">
        <v>6456800</v>
      </c>
      <c r="O1126">
        <v>70758</v>
      </c>
      <c r="P1126">
        <v>-9.2829839963035603E-3</v>
      </c>
      <c r="Q1126">
        <v>-9.3263394125933895E-3</v>
      </c>
      <c r="R1126" s="8">
        <v>34.739589691162102</v>
      </c>
      <c r="S1126" s="8">
        <v>-8.7018056545786794E-3</v>
      </c>
      <c r="T1126" s="9">
        <v>-8.7398874465871596E-3</v>
      </c>
      <c r="U1126" s="12">
        <v>2.462E-2</v>
      </c>
      <c r="V1126" s="16">
        <v>3.7751999999999999</v>
      </c>
      <c r="W1126" s="17">
        <f t="shared" si="17"/>
        <v>8.7644292432662585E-3</v>
      </c>
    </row>
    <row r="1127" spans="1:23" x14ac:dyDescent="0.2">
      <c r="A1127" s="15">
        <v>43188</v>
      </c>
      <c r="B1127" s="5">
        <v>156720277464791</v>
      </c>
      <c r="C1127" s="5">
        <f>[1]!nefin_factors__1[[#This Row],[Rm_minus_Rf]]/B1126-1</f>
        <v>-2.5048150665661599</v>
      </c>
      <c r="D1127" s="5">
        <v>195268822454203</v>
      </c>
      <c r="E1127" s="5">
        <f>[1]!nefin_factors__1[[#This Row],[SMB]]/D1126-1</f>
        <v>-1.2301777004271583</v>
      </c>
      <c r="F1127" s="5">
        <v>613365341155763</v>
      </c>
      <c r="G1127" s="5">
        <f>[1]!nefin_factors__1[[#This Row],[HML]]/F1126-1</f>
        <v>-1.9022656062307832</v>
      </c>
      <c r="H1127" s="5">
        <v>245829423562771</v>
      </c>
      <c r="I1127" s="6">
        <f>[1]!nefin_factors__1[[#This Row],[Risk_Free]]/H1126-1</f>
        <v>0</v>
      </c>
      <c r="J1127">
        <v>70757</v>
      </c>
      <c r="K1127">
        <v>70757</v>
      </c>
      <c r="L1127">
        <v>69360</v>
      </c>
      <c r="M1127">
        <v>69815</v>
      </c>
      <c r="N1127">
        <v>3475200</v>
      </c>
      <c r="O1127">
        <v>69815</v>
      </c>
      <c r="P1127">
        <v>-1.33271149551994E-2</v>
      </c>
      <c r="Q1127">
        <v>-1.3416717941729999E-2</v>
      </c>
      <c r="R1127" s="8">
        <v>35.423667907714801</v>
      </c>
      <c r="S1127" s="8">
        <v>1.96916012646835E-2</v>
      </c>
      <c r="T1127" s="9">
        <v>1.9500229877397999E-2</v>
      </c>
      <c r="U1127" s="12">
        <v>2.462E-2</v>
      </c>
      <c r="V1127" s="16">
        <v>3.8193000000000001</v>
      </c>
      <c r="W1127" s="17">
        <f t="shared" si="17"/>
        <v>1.168150031786408E-2</v>
      </c>
    </row>
    <row r="1128" spans="1:23" x14ac:dyDescent="0.2">
      <c r="A1128" s="14">
        <v>43192</v>
      </c>
      <c r="B1128" s="3">
        <v>-962984299705652</v>
      </c>
      <c r="C1128" s="3">
        <f>[1]!nefin_factors__1[[#This Row],[Rm_minus_Rf]]/B1127-1</f>
        <v>-7.1446056329373038</v>
      </c>
      <c r="D1128" s="3">
        <v>-426765067997498</v>
      </c>
      <c r="E1128" s="3">
        <f>[1]!nefin_factors__1[[#This Row],[SMB]]/D1127-1</f>
        <v>-3.1855258951929644</v>
      </c>
      <c r="F1128" s="3">
        <v>209504489922737</v>
      </c>
      <c r="G1128" s="3">
        <f>[1]!nefin_factors__1[[#This Row],[HML]]/F1127-1</f>
        <v>-0.65843441768658117</v>
      </c>
      <c r="H1128" s="3">
        <v>245829423562771</v>
      </c>
      <c r="I1128" s="4">
        <f>[1]!nefin_factors__1[[#This Row],[Risk_Free]]/H1127-1</f>
        <v>0</v>
      </c>
      <c r="J1128">
        <v>69811</v>
      </c>
      <c r="K1128">
        <v>72010</v>
      </c>
      <c r="L1128">
        <v>69069</v>
      </c>
      <c r="M1128">
        <v>71394</v>
      </c>
      <c r="N1128">
        <v>5185300</v>
      </c>
      <c r="O1128">
        <v>71394</v>
      </c>
      <c r="P1128">
        <v>2.2616916135501E-2</v>
      </c>
      <c r="Q1128">
        <v>2.2364945806913401E-2</v>
      </c>
      <c r="R1128" s="8">
        <v>36.602260589599602</v>
      </c>
      <c r="S1128" s="8">
        <v>3.3271441556100602E-2</v>
      </c>
      <c r="T1128" s="9">
        <v>3.2729925760907899E-2</v>
      </c>
      <c r="U1128" s="12">
        <v>2.462E-2</v>
      </c>
      <c r="V1128" s="16">
        <v>3.9</v>
      </c>
      <c r="W1128" s="17">
        <f t="shared" si="17"/>
        <v>2.1129526352996475E-2</v>
      </c>
    </row>
    <row r="1129" spans="1:23" x14ac:dyDescent="0.2">
      <c r="A1129" s="15">
        <v>43193</v>
      </c>
      <c r="B1129" s="5">
        <v>-281014256610091</v>
      </c>
      <c r="C1129" s="5">
        <f>[1]!nefin_factors__1[[#This Row],[Rm_minus_Rf]]/B1128-1</f>
        <v>-0.70818396863169375</v>
      </c>
      <c r="D1129" s="5">
        <v>284422846915053</v>
      </c>
      <c r="E1129" s="5">
        <f>[1]!nefin_factors__1[[#This Row],[SMB]]/D1128-1</f>
        <v>-1.6664623425006297</v>
      </c>
      <c r="F1129" s="5">
        <v>-23232105654477</v>
      </c>
      <c r="G1129" s="5">
        <f>[1]!nefin_factors__1[[#This Row],[HML]]/F1128-1</f>
        <v>-1.1108907291821992</v>
      </c>
      <c r="H1129" s="5">
        <v>245829423562771</v>
      </c>
      <c r="I1129" s="6">
        <f>[1]!nefin_factors__1[[#This Row],[Risk_Free]]/H1128-1</f>
        <v>0</v>
      </c>
      <c r="J1129">
        <v>71397</v>
      </c>
      <c r="K1129">
        <v>72617</v>
      </c>
      <c r="L1129">
        <v>71155</v>
      </c>
      <c r="M1129">
        <v>72123</v>
      </c>
      <c r="N1129">
        <v>4414600</v>
      </c>
      <c r="O1129">
        <v>72123</v>
      </c>
      <c r="P1129">
        <v>1.0210942095974399E-2</v>
      </c>
      <c r="Q1129">
        <v>1.01591626066702E-2</v>
      </c>
      <c r="R1129" s="8">
        <v>37.269851684570298</v>
      </c>
      <c r="S1129" s="8">
        <v>1.8238910006962001E-2</v>
      </c>
      <c r="T1129" s="9">
        <v>1.8074576258950301E-2</v>
      </c>
      <c r="U1129" s="12">
        <v>2.462E-2</v>
      </c>
      <c r="V1129" s="16">
        <v>3.7858999999999998</v>
      </c>
      <c r="W1129" s="17">
        <f t="shared" si="17"/>
        <v>-2.9256410256410237E-2</v>
      </c>
    </row>
    <row r="1130" spans="1:23" x14ac:dyDescent="0.2">
      <c r="A1130" s="14">
        <v>43194</v>
      </c>
      <c r="B1130" s="3">
        <v>-360984430018552</v>
      </c>
      <c r="C1130" s="3">
        <f>[1]!nefin_factors__1[[#This Row],[Rm_minus_Rf]]/B1129-1</f>
        <v>0.2845769263565161</v>
      </c>
      <c r="D1130" s="3">
        <v>891966285569173</v>
      </c>
      <c r="E1130" s="3">
        <f>[1]!nefin_factors__1[[#This Row],[SMB]]/D1129-1</f>
        <v>2.1360570898004254</v>
      </c>
      <c r="F1130" s="3">
        <v>-152651620316875</v>
      </c>
      <c r="G1130" s="3">
        <f>[1]!nefin_factors__1[[#This Row],[HML]]/F1129-1</f>
        <v>5.570718237391362</v>
      </c>
      <c r="H1130" s="3">
        <v>245829423562771</v>
      </c>
      <c r="I1130" s="4">
        <f>[1]!nefin_factors__1[[#This Row],[Risk_Free]]/H1129-1</f>
        <v>0</v>
      </c>
      <c r="J1130">
        <v>72117</v>
      </c>
      <c r="K1130">
        <v>72207</v>
      </c>
      <c r="L1130">
        <v>70019</v>
      </c>
      <c r="M1130">
        <v>70075</v>
      </c>
      <c r="N1130">
        <v>3490800</v>
      </c>
      <c r="O1130">
        <v>70075</v>
      </c>
      <c r="P1130">
        <v>-2.8395934722626599E-2</v>
      </c>
      <c r="Q1130">
        <v>-2.8806897756889601E-2</v>
      </c>
      <c r="R1130" s="8">
        <v>35.852245330810497</v>
      </c>
      <c r="S1130" s="8">
        <v>-3.8036200393802198E-2</v>
      </c>
      <c r="T1130" s="9">
        <v>-3.8778459371457498E-2</v>
      </c>
      <c r="U1130" s="12">
        <v>2.462E-2</v>
      </c>
      <c r="V1130" s="16">
        <v>3.6913</v>
      </c>
      <c r="W1130" s="17">
        <f t="shared" si="17"/>
        <v>-2.4987453445679986E-2</v>
      </c>
    </row>
    <row r="1131" spans="1:23" x14ac:dyDescent="0.2">
      <c r="A1131" s="15">
        <v>43195</v>
      </c>
      <c r="B1131" s="5">
        <v>935666735871332</v>
      </c>
      <c r="C1131" s="5">
        <f>[1]!nefin_factors__1[[#This Row],[Rm_minus_Rf]]/B1130-1</f>
        <v>-3.5919864073451739</v>
      </c>
      <c r="D1131" s="5">
        <v>708584880623536</v>
      </c>
      <c r="E1131" s="5">
        <f>[1]!nefin_factors__1[[#This Row],[SMB]]/D1130-1</f>
        <v>-0.20559230535111472</v>
      </c>
      <c r="F1131" s="5">
        <v>980176974393619</v>
      </c>
      <c r="G1131" s="5">
        <f>[1]!nefin_factors__1[[#This Row],[HML]]/F1130-1</f>
        <v>-7.4210060290153663</v>
      </c>
      <c r="H1131" s="5">
        <v>24545632314954</v>
      </c>
      <c r="I1131" s="6">
        <f>[1]!nefin_factors__1[[#This Row],[Risk_Free]]/H1130-1</f>
        <v>-0.90015177207342545</v>
      </c>
      <c r="J1131">
        <v>70077</v>
      </c>
      <c r="K1131">
        <v>71058</v>
      </c>
      <c r="L1131">
        <v>69907</v>
      </c>
      <c r="M1131">
        <v>70641</v>
      </c>
      <c r="N1131">
        <v>3054700</v>
      </c>
      <c r="O1131">
        <v>70641</v>
      </c>
      <c r="P1131">
        <v>8.0770602925437397E-3</v>
      </c>
      <c r="Q1131">
        <v>8.04461543004408E-3</v>
      </c>
      <c r="R1131" s="8">
        <v>35.7286186218262</v>
      </c>
      <c r="S1131" s="8">
        <v>-3.4482538356546098E-3</v>
      </c>
      <c r="T1131" s="9">
        <v>-3.4542127654574799E-3</v>
      </c>
      <c r="U1131" s="12">
        <v>2.462E-2</v>
      </c>
      <c r="V1131" s="16">
        <v>3.7044000000000001</v>
      </c>
      <c r="W1131" s="17">
        <f t="shared" si="17"/>
        <v>3.5488852165903584E-3</v>
      </c>
    </row>
    <row r="1132" spans="1:23" x14ac:dyDescent="0.2">
      <c r="A1132" s="14">
        <v>43196</v>
      </c>
      <c r="B1132" s="3">
        <v>-643438635106911</v>
      </c>
      <c r="C1132" s="3">
        <f>[1]!nefin_factors__1[[#This Row],[Rm_minus_Rf]]/B1131-1</f>
        <v>-1.6876792884035938</v>
      </c>
      <c r="D1132" s="3">
        <v>974079723416968</v>
      </c>
      <c r="E1132" s="3">
        <f>[1]!nefin_factors__1[[#This Row],[SMB]]/D1131-1</f>
        <v>0.37468318906240783</v>
      </c>
      <c r="F1132" s="3">
        <v>605360732604203</v>
      </c>
      <c r="G1132" s="3">
        <f>[1]!nefin_factors__1[[#This Row],[HML]]/F1131-1</f>
        <v>-0.38239649734813852</v>
      </c>
      <c r="H1132" s="3">
        <v>24545632314954</v>
      </c>
      <c r="I1132" s="4">
        <f>[1]!nefin_factors__1[[#This Row],[Risk_Free]]/H1131-1</f>
        <v>0</v>
      </c>
      <c r="J1132">
        <v>70642</v>
      </c>
      <c r="K1132">
        <v>71323</v>
      </c>
      <c r="L1132">
        <v>69779</v>
      </c>
      <c r="M1132">
        <v>70953</v>
      </c>
      <c r="N1132">
        <v>3346300</v>
      </c>
      <c r="O1132">
        <v>70953</v>
      </c>
      <c r="P1132">
        <v>4.4166985178579797E-3</v>
      </c>
      <c r="Q1132">
        <v>4.4069735293395199E-3</v>
      </c>
      <c r="R1132" s="8">
        <v>36.2643432617188</v>
      </c>
      <c r="S1132" s="8">
        <v>1.4994281731231201E-2</v>
      </c>
      <c r="T1132" s="9">
        <v>1.4882978715547101E-2</v>
      </c>
      <c r="U1132" s="12">
        <v>2.462E-2</v>
      </c>
      <c r="V1132" s="16">
        <v>3.7054</v>
      </c>
      <c r="W1132" s="17">
        <f t="shared" si="17"/>
        <v>2.6994924954104604E-4</v>
      </c>
    </row>
    <row r="1133" spans="1:23" x14ac:dyDescent="0.2">
      <c r="A1133" s="15">
        <v>43199</v>
      </c>
      <c r="B1133" s="5">
        <v>-163196623415834</v>
      </c>
      <c r="C1133" s="5">
        <f>[1]!nefin_factors__1[[#This Row],[Rm_minus_Rf]]/B1132-1</f>
        <v>-0.74636800696818906</v>
      </c>
      <c r="D1133" s="5">
        <v>966465844648754</v>
      </c>
      <c r="E1133" s="5">
        <f>[1]!nefin_factors__1[[#This Row],[SMB]]/D1132-1</f>
        <v>-7.8164842006004376E-3</v>
      </c>
      <c r="F1133" s="5">
        <v>-831253694748782</v>
      </c>
      <c r="G1133" s="5">
        <f>[1]!nefin_factors__1[[#This Row],[HML]]/F1132-1</f>
        <v>-2.3731543028448665</v>
      </c>
      <c r="H1133" s="5">
        <v>243963572083006</v>
      </c>
      <c r="I1133" s="6">
        <f>[1]!nefin_factors__1[[#This Row],[Risk_Free]]/H1132-1</f>
        <v>8.9391846562606343</v>
      </c>
      <c r="J1133">
        <v>70968</v>
      </c>
      <c r="K1133">
        <v>71622</v>
      </c>
      <c r="L1133">
        <v>70203</v>
      </c>
      <c r="M1133">
        <v>71405</v>
      </c>
      <c r="N1133">
        <v>3502300</v>
      </c>
      <c r="O1133">
        <v>71405</v>
      </c>
      <c r="P1133">
        <v>6.3704142178624404E-3</v>
      </c>
      <c r="Q1133">
        <v>6.3502088946609204E-3</v>
      </c>
      <c r="R1133" s="8">
        <v>37.253368377685497</v>
      </c>
      <c r="S1133" s="8">
        <v>2.72725511512859E-2</v>
      </c>
      <c r="T1133" s="9">
        <v>2.6907281474258801E-2</v>
      </c>
      <c r="U1133" s="12">
        <v>2.462E-2</v>
      </c>
      <c r="V1133" s="16">
        <v>3.7057000000000002</v>
      </c>
      <c r="W1133" s="17">
        <f t="shared" si="17"/>
        <v>8.0962918983074061E-5</v>
      </c>
    </row>
    <row r="1134" spans="1:23" x14ac:dyDescent="0.2">
      <c r="A1134" s="14">
        <v>43200</v>
      </c>
      <c r="B1134" s="3">
        <v>128096886775194</v>
      </c>
      <c r="C1134" s="3">
        <f>[1]!nefin_factors__1[[#This Row],[Rm_minus_Rf]]/B1133-1</f>
        <v>-1.78492363441121</v>
      </c>
      <c r="D1134" s="3">
        <v>-460932684958635</v>
      </c>
      <c r="E1134" s="3">
        <f>[1]!nefin_factors__1[[#This Row],[SMB]]/D1133-1</f>
        <v>-1.4769259953787124</v>
      </c>
      <c r="F1134" s="3">
        <v>695758015304489</v>
      </c>
      <c r="G1134" s="3">
        <f>[1]!nefin_factors__1[[#This Row],[HML]]/F1133-1</f>
        <v>-1.8369984033752271</v>
      </c>
      <c r="H1134" s="3">
        <v>245083187801587</v>
      </c>
      <c r="I1134" s="4">
        <f>[1]!nefin_factors__1[[#This Row],[Risk_Free]]/H1133-1</f>
        <v>4.5892741650792601E-3</v>
      </c>
      <c r="J1134">
        <v>71405</v>
      </c>
      <c r="K1134">
        <v>72032</v>
      </c>
      <c r="L1134">
        <v>70134</v>
      </c>
      <c r="M1134">
        <v>70609</v>
      </c>
      <c r="N1134">
        <v>3588900</v>
      </c>
      <c r="O1134">
        <v>70609</v>
      </c>
      <c r="P1134">
        <v>-1.11476787339823E-2</v>
      </c>
      <c r="Q1134">
        <v>-1.12102797768849E-2</v>
      </c>
      <c r="R1134" s="8">
        <v>35.926422119140597</v>
      </c>
      <c r="S1134" s="8">
        <v>-3.5619384035074898E-2</v>
      </c>
      <c r="T1134" s="9">
        <v>-3.6269232457247801E-2</v>
      </c>
      <c r="U1134" s="12">
        <v>2.462E-2</v>
      </c>
      <c r="V1134" s="16">
        <v>3.7738</v>
      </c>
      <c r="W1134" s="17">
        <f t="shared" si="17"/>
        <v>1.8377094745931855E-2</v>
      </c>
    </row>
    <row r="1135" spans="1:23" x14ac:dyDescent="0.2">
      <c r="A1135" s="15">
        <v>43201</v>
      </c>
      <c r="B1135" s="5">
        <v>589165360293749</v>
      </c>
      <c r="C1135" s="5">
        <f>[1]!nefin_factors__1[[#This Row],[Rm_minus_Rf]]/B1134-1</f>
        <v>3.5993729834177444</v>
      </c>
      <c r="D1135" s="5">
        <v>-522373726009011</v>
      </c>
      <c r="E1135" s="5">
        <f>[1]!nefin_factors__1[[#This Row],[SMB]]/D1134-1</f>
        <v>0.13329721032017905</v>
      </c>
      <c r="F1135" s="5">
        <v>354233863830863</v>
      </c>
      <c r="G1135" s="5">
        <f>[1]!nefin_factors__1[[#This Row],[HML]]/F1134-1</f>
        <v>-0.49086628391073961</v>
      </c>
      <c r="H1135" s="5">
        <v>244710017512251</v>
      </c>
      <c r="I1135" s="6">
        <f>[1]!nefin_factors__1[[#This Row],[Risk_Free]]/H1134-1</f>
        <v>-1.522627042202962E-3</v>
      </c>
      <c r="J1135">
        <v>70609</v>
      </c>
      <c r="K1135">
        <v>72092</v>
      </c>
      <c r="L1135">
        <v>70439</v>
      </c>
      <c r="M1135">
        <v>71767</v>
      </c>
      <c r="N1135">
        <v>3511400</v>
      </c>
      <c r="O1135">
        <v>71767</v>
      </c>
      <c r="P1135">
        <v>1.64001756150065E-2</v>
      </c>
      <c r="Q1135">
        <v>1.62671452452487E-2</v>
      </c>
      <c r="R1135" s="8">
        <v>35.9676322937012</v>
      </c>
      <c r="S1135" s="8">
        <v>1.14708077827763E-3</v>
      </c>
      <c r="T1135" s="9">
        <v>1.1464233837967101E-3</v>
      </c>
      <c r="U1135" s="12">
        <v>2.462E-2</v>
      </c>
      <c r="V1135" s="16">
        <v>3.7543000000000002</v>
      </c>
      <c r="W1135" s="17">
        <f t="shared" si="17"/>
        <v>-5.1672054692881719E-3</v>
      </c>
    </row>
    <row r="1136" spans="1:23" x14ac:dyDescent="0.2">
      <c r="A1136" s="14">
        <v>43202</v>
      </c>
      <c r="B1136" s="3">
        <v>-949530565</v>
      </c>
      <c r="C1136" s="3">
        <f>[1]!nefin_factors__1[[#This Row],[Rm_minus_Rf]]/B1135-1</f>
        <v>-1.0000016116537547</v>
      </c>
      <c r="D1136" s="3">
        <v>-291686223750197</v>
      </c>
      <c r="E1136" s="3">
        <f>[1]!nefin_factors__1[[#This Row],[SMB]]/D1135-1</f>
        <v>-0.44161390738636541</v>
      </c>
      <c r="F1136" s="3">
        <v>206857335832731</v>
      </c>
      <c r="G1136" s="3">
        <f>[1]!nefin_factors__1[[#This Row],[HML]]/F1135-1</f>
        <v>-0.41604302424485384</v>
      </c>
      <c r="H1136" s="3">
        <v>243963572083006</v>
      </c>
      <c r="I1136" s="4">
        <f>[1]!nefin_factors__1[[#This Row],[Risk_Free]]/H1135-1</f>
        <v>-3.0503264101463534E-3</v>
      </c>
      <c r="J1136">
        <v>71779</v>
      </c>
      <c r="K1136">
        <v>73020</v>
      </c>
      <c r="L1136">
        <v>71779</v>
      </c>
      <c r="M1136">
        <v>72763</v>
      </c>
      <c r="N1136">
        <v>3879400</v>
      </c>
      <c r="O1136">
        <v>72763</v>
      </c>
      <c r="P1136">
        <v>1.38782448757786E-2</v>
      </c>
      <c r="Q1136">
        <v>1.3782823872517801E-2</v>
      </c>
      <c r="R1136" s="8">
        <v>37.253368377685497</v>
      </c>
      <c r="S1136" s="8">
        <v>3.57469001064721E-2</v>
      </c>
      <c r="T1136" s="9">
        <v>3.5122809073451097E-2</v>
      </c>
      <c r="U1136" s="12">
        <v>2.462E-2</v>
      </c>
      <c r="V1136" s="16">
        <v>3.7566000000000002</v>
      </c>
      <c r="W1136" s="17">
        <f t="shared" si="17"/>
        <v>6.1263084995877293E-4</v>
      </c>
    </row>
    <row r="1137" spans="1:23" x14ac:dyDescent="0.2">
      <c r="A1137" s="15">
        <v>43203</v>
      </c>
      <c r="B1137" s="5">
        <v>-117037720029486</v>
      </c>
      <c r="C1137" s="5">
        <f>[1]!nefin_factors__1[[#This Row],[Rm_minus_Rf]]/B1136-1</f>
        <v>123257.50724930166</v>
      </c>
      <c r="D1137" s="5">
        <v>727149906284629</v>
      </c>
      <c r="E1137" s="5">
        <f>[1]!nefin_factors__1[[#This Row],[SMB]]/D1136-1</f>
        <v>-3.4929182356838608</v>
      </c>
      <c r="F1137" s="5">
        <v>672483797128279</v>
      </c>
      <c r="G1137" s="5">
        <f>[1]!nefin_factors__1[[#This Row],[HML]]/F1136-1</f>
        <v>2.2509545500095918</v>
      </c>
      <c r="H1137" s="5">
        <v>244710017512251</v>
      </c>
      <c r="I1137" s="6">
        <f>[1]!nefin_factors__1[[#This Row],[Risk_Free]]/H1136-1</f>
        <v>3.0596593699285801E-3</v>
      </c>
      <c r="J1137">
        <v>72763</v>
      </c>
      <c r="K1137">
        <v>72840</v>
      </c>
      <c r="L1137">
        <v>71935</v>
      </c>
      <c r="M1137">
        <v>72840</v>
      </c>
      <c r="N1137">
        <v>2753900</v>
      </c>
      <c r="O1137">
        <v>72840</v>
      </c>
      <c r="P1137">
        <v>1.05823014444151E-3</v>
      </c>
      <c r="Q1137">
        <v>1.057670613629E-3</v>
      </c>
      <c r="R1137" s="8">
        <v>36.800064086914098</v>
      </c>
      <c r="S1137" s="8">
        <v>-1.21680303686564E-2</v>
      </c>
      <c r="T1137" s="9">
        <v>-1.22426669213561E-2</v>
      </c>
      <c r="U1137" s="12">
        <v>2.462E-2</v>
      </c>
      <c r="V1137" s="16">
        <v>3.7334999999999998</v>
      </c>
      <c r="W1137" s="17">
        <f t="shared" si="17"/>
        <v>-6.1491774476921668E-3</v>
      </c>
    </row>
    <row r="1138" spans="1:23" x14ac:dyDescent="0.2">
      <c r="A1138" s="14">
        <v>43206</v>
      </c>
      <c r="B1138" s="3">
        <v>-156049565195692</v>
      </c>
      <c r="C1138" s="3">
        <f>[1]!nefin_factors__1[[#This Row],[Rm_minus_Rf]]/B1137-1</f>
        <v>0.33332711160451112</v>
      </c>
      <c r="D1138" s="3">
        <v>-505915364475709</v>
      </c>
      <c r="E1138" s="3">
        <f>[1]!nefin_factors__1[[#This Row],[SMB]]/D1137-1</f>
        <v>-1.6957511238097829</v>
      </c>
      <c r="F1138" s="3">
        <v>-621673538895514</v>
      </c>
      <c r="G1138" s="3">
        <f>[1]!nefin_factors__1[[#This Row],[HML]]/F1137-1</f>
        <v>-1.9244438922547413</v>
      </c>
      <c r="H1138" s="3">
        <v>24433681227487</v>
      </c>
      <c r="I1138" s="4">
        <f>[1]!nefin_factors__1[[#This Row],[Risk_Free]]/H1137-1</f>
        <v>-0.9001525091784861</v>
      </c>
      <c r="J1138">
        <v>72848</v>
      </c>
      <c r="K1138">
        <v>74515</v>
      </c>
      <c r="L1138">
        <v>72848</v>
      </c>
      <c r="M1138">
        <v>73668</v>
      </c>
      <c r="N1138">
        <v>3253800</v>
      </c>
      <c r="O1138">
        <v>73668</v>
      </c>
      <c r="P1138">
        <v>1.13673805601318E-2</v>
      </c>
      <c r="Q1138">
        <v>1.1303257373952399E-2</v>
      </c>
      <c r="R1138" s="8">
        <v>36.610500335693402</v>
      </c>
      <c r="S1138" s="8">
        <v>-5.1510725318604199E-3</v>
      </c>
      <c r="T1138" s="9">
        <v>-5.1643850414542104E-3</v>
      </c>
      <c r="U1138" s="12">
        <v>2.462E-2</v>
      </c>
      <c r="V1138" s="16">
        <v>3.7894000000000001</v>
      </c>
      <c r="W1138" s="17">
        <f t="shared" si="17"/>
        <v>1.4972545868488174E-2</v>
      </c>
    </row>
    <row r="1139" spans="1:23" x14ac:dyDescent="0.2">
      <c r="A1139" s="15">
        <v>43207</v>
      </c>
      <c r="B1139" s="5">
        <v>141436626119406</v>
      </c>
      <c r="C1139" s="5">
        <f>[1]!nefin_factors__1[[#This Row],[Rm_minus_Rf]]/B1138-1</f>
        <v>-1.9063570663720797</v>
      </c>
      <c r="D1139" s="5">
        <v>279462809408178</v>
      </c>
      <c r="E1139" s="5">
        <f>[1]!nefin_factors__1[[#This Row],[SMB]]/D1138-1</f>
        <v>-1.5523904372775696</v>
      </c>
      <c r="F1139" s="5">
        <v>839943156501021</v>
      </c>
      <c r="G1139" s="5">
        <f>[1]!nefin_factors__1[[#This Row],[HML]]/F1138-1</f>
        <v>-2.351100061285047</v>
      </c>
      <c r="H1139" s="5">
        <v>243963572083006</v>
      </c>
      <c r="I1139" s="6">
        <f>[1]!nefin_factors__1[[#This Row],[Risk_Free]]/H1138-1</f>
        <v>8.9847243569894779</v>
      </c>
      <c r="J1139">
        <v>73667</v>
      </c>
      <c r="K1139">
        <v>74904</v>
      </c>
      <c r="L1139">
        <v>73450</v>
      </c>
      <c r="M1139">
        <v>74743</v>
      </c>
      <c r="N1139">
        <v>2142100</v>
      </c>
      <c r="O1139">
        <v>74743</v>
      </c>
      <c r="P1139">
        <v>1.4592496063419599E-2</v>
      </c>
      <c r="Q1139">
        <v>1.44870501674741E-2</v>
      </c>
      <c r="R1139" s="8">
        <v>36.305549621582003</v>
      </c>
      <c r="S1139" s="8">
        <v>-8.3295977865772697E-3</v>
      </c>
      <c r="T1139" s="9">
        <v>-8.3644827397062298E-3</v>
      </c>
      <c r="U1139" s="12">
        <v>2.462E-2</v>
      </c>
      <c r="V1139" s="16">
        <v>3.7663000000000002</v>
      </c>
      <c r="W1139" s="17">
        <f t="shared" si="17"/>
        <v>-6.0959518657306422E-3</v>
      </c>
    </row>
    <row r="1140" spans="1:23" x14ac:dyDescent="0.2">
      <c r="A1140" s="14">
        <v>43208</v>
      </c>
      <c r="B1140" s="3">
        <v>181145067409213</v>
      </c>
      <c r="C1140" s="3">
        <f>[1]!nefin_factors__1[[#This Row],[Rm_minus_Rf]]/B1139-1</f>
        <v>0.28075076717599079</v>
      </c>
      <c r="D1140" s="3">
        <v>-21448660751671</v>
      </c>
      <c r="E1140" s="3">
        <f>[1]!nefin_factors__1[[#This Row],[SMB]]/D1139-1</f>
        <v>-1.0767496068514202</v>
      </c>
      <c r="F1140" s="3">
        <v>125881747348465</v>
      </c>
      <c r="G1140" s="3">
        <f>[1]!nefin_factors__1[[#This Row],[HML]]/F1139-1</f>
        <v>-0.85013063518148679</v>
      </c>
      <c r="H1140" s="3">
        <v>243963572083006</v>
      </c>
      <c r="I1140" s="4">
        <f>[1]!nefin_factors__1[[#This Row],[Risk_Free]]/H1139-1</f>
        <v>0</v>
      </c>
      <c r="J1140">
        <v>74751</v>
      </c>
      <c r="K1140">
        <v>75127</v>
      </c>
      <c r="L1140">
        <v>73756</v>
      </c>
      <c r="M1140">
        <v>74553</v>
      </c>
      <c r="N1140">
        <v>3562800</v>
      </c>
      <c r="O1140">
        <v>74553</v>
      </c>
      <c r="P1140">
        <v>-2.5420440710166598E-3</v>
      </c>
      <c r="Q1140">
        <v>-2.54528055105956E-3</v>
      </c>
      <c r="R1140" s="8">
        <v>35.745101928710902</v>
      </c>
      <c r="S1140" s="8">
        <v>-1.54371527445157E-2</v>
      </c>
      <c r="T1140" s="9">
        <v>-1.55575462157164E-2</v>
      </c>
      <c r="U1140" s="12">
        <v>2.462E-2</v>
      </c>
      <c r="V1140" s="16">
        <v>3.7759999999999998</v>
      </c>
      <c r="W1140" s="17">
        <f t="shared" si="17"/>
        <v>2.5754719485966415E-3</v>
      </c>
    </row>
    <row r="1141" spans="1:23" x14ac:dyDescent="0.2">
      <c r="A1141" s="15">
        <v>43209</v>
      </c>
      <c r="B1141" s="5">
        <v>113693459577968</v>
      </c>
      <c r="C1141" s="5">
        <f>[1]!nefin_factors__1[[#This Row],[Rm_minus_Rf]]/B1140-1</f>
        <v>-0.37236237671804484</v>
      </c>
      <c r="D1141" s="5">
        <v>-3822933276846</v>
      </c>
      <c r="E1141" s="5">
        <f>[1]!nefin_factors__1[[#This Row],[SMB]]/D1140-1</f>
        <v>-0.82176354406891505</v>
      </c>
      <c r="F1141" s="5">
        <v>126349271341843</v>
      </c>
      <c r="G1141" s="5">
        <f>[1]!nefin_factors__1[[#This Row],[HML]]/F1140-1</f>
        <v>3.7139935155476866E-3</v>
      </c>
      <c r="H1141" s="5">
        <v>243590296929996</v>
      </c>
      <c r="I1141" s="6">
        <f>[1]!nefin_factors__1[[#This Row],[Risk_Free]]/H1140-1</f>
        <v>-1.5300446284783886E-3</v>
      </c>
      <c r="J1141">
        <v>74558</v>
      </c>
      <c r="K1141">
        <v>75065</v>
      </c>
      <c r="L1141">
        <v>74048</v>
      </c>
      <c r="M1141">
        <v>75010</v>
      </c>
      <c r="N1141">
        <v>0</v>
      </c>
      <c r="O1141">
        <v>75010</v>
      </c>
      <c r="P1141">
        <v>6.1298673426957197E-3</v>
      </c>
      <c r="Q1141">
        <v>6.1111561317706399E-3</v>
      </c>
      <c r="R1141" s="8">
        <v>34.195625305175803</v>
      </c>
      <c r="S1141" s="8">
        <v>-4.3347915154325303E-2</v>
      </c>
      <c r="T1141" s="9">
        <v>-4.4315501334339799E-2</v>
      </c>
      <c r="U1141" s="12">
        <v>2.462E-2</v>
      </c>
      <c r="V1141" s="16">
        <v>3.7721</v>
      </c>
      <c r="W1141" s="17">
        <f t="shared" si="17"/>
        <v>-1.0328389830508433E-3</v>
      </c>
    </row>
    <row r="1142" spans="1:23" x14ac:dyDescent="0.2">
      <c r="A1142" s="14">
        <v>43210</v>
      </c>
      <c r="B1142" s="3">
        <v>-239704327935161</v>
      </c>
      <c r="C1142" s="3">
        <f>[1]!nefin_factors__1[[#This Row],[Rm_minus_Rf]]/B1141-1</f>
        <v>-3.108338763064713</v>
      </c>
      <c r="D1142" s="3">
        <v>188591123543546</v>
      </c>
      <c r="E1142" s="3">
        <f>[1]!nefin_factors__1[[#This Row],[SMB]]/D1141-1</f>
        <v>-50.331523698247132</v>
      </c>
      <c r="F1142" s="3">
        <v>281079650142842</v>
      </c>
      <c r="G1142" s="3">
        <f>[1]!nefin_factors__1[[#This Row],[HML]]/F1141-1</f>
        <v>1.2246242274114092</v>
      </c>
      <c r="H1142" s="3">
        <v>242843641714119</v>
      </c>
      <c r="I1142" s="4">
        <f>[1]!nefin_factors__1[[#This Row],[Risk_Free]]/H1141-1</f>
        <v>-3.0652091864380449E-3</v>
      </c>
      <c r="J1142">
        <v>75015</v>
      </c>
      <c r="K1142">
        <v>75895</v>
      </c>
      <c r="L1142">
        <v>74431</v>
      </c>
      <c r="M1142">
        <v>74862</v>
      </c>
      <c r="N1142">
        <v>3901000</v>
      </c>
      <c r="O1142">
        <v>74862</v>
      </c>
      <c r="P1142">
        <v>-1.9730702572989798E-3</v>
      </c>
      <c r="Q1142">
        <v>-1.97501932460557E-3</v>
      </c>
      <c r="R1142" s="8">
        <v>33.091213226318402</v>
      </c>
      <c r="S1142" s="8">
        <v>-3.22968850705002E-2</v>
      </c>
      <c r="T1142" s="9">
        <v>-3.2829938200452102E-2</v>
      </c>
      <c r="U1142" s="12">
        <v>2.462E-2</v>
      </c>
      <c r="V1142" s="16">
        <v>3.8357999999999999</v>
      </c>
      <c r="W1142" s="17">
        <f t="shared" si="17"/>
        <v>1.6887145091593503E-2</v>
      </c>
    </row>
    <row r="1143" spans="1:23" x14ac:dyDescent="0.2">
      <c r="A1143" s="15">
        <v>43213</v>
      </c>
      <c r="B1143" s="5">
        <v>769600835308595</v>
      </c>
      <c r="C1143" s="5">
        <f>[1]!nefin_factors__1[[#This Row],[Rm_minus_Rf]]/B1142-1</f>
        <v>-4.210625531620642</v>
      </c>
      <c r="D1143" s="5">
        <v>-262558219095904</v>
      </c>
      <c r="E1143" s="5">
        <f>[1]!nefin_factors__1[[#This Row],[SMB]]/D1142-1</f>
        <v>-2.3922087856657734</v>
      </c>
      <c r="F1143" s="5">
        <v>-265368565.46233001</v>
      </c>
      <c r="G1143" s="5">
        <f>[1]!nefin_factors__1[[#This Row],[HML]]/F1142-1</f>
        <v>-1.0000009441045103</v>
      </c>
      <c r="H1143" s="5">
        <v>24321698680918</v>
      </c>
      <c r="I1143" s="6">
        <f>[1]!nefin_factors__1[[#This Row],[Risk_Free]]/H1142-1</f>
        <v>-0.89984626111994293</v>
      </c>
      <c r="J1143">
        <v>74862</v>
      </c>
      <c r="K1143">
        <v>75025</v>
      </c>
      <c r="L1143">
        <v>74196</v>
      </c>
      <c r="M1143">
        <v>74399</v>
      </c>
      <c r="N1143">
        <v>3766800</v>
      </c>
      <c r="O1143">
        <v>74399</v>
      </c>
      <c r="P1143">
        <v>-6.1847132056317396E-3</v>
      </c>
      <c r="Q1143">
        <v>-6.2039177684374003E-3</v>
      </c>
      <c r="R1143" s="8">
        <v>33.132419586181598</v>
      </c>
      <c r="S1143" s="8">
        <v>1.2453611265750299E-3</v>
      </c>
      <c r="T1143" s="9">
        <v>1.2445863076267899E-3</v>
      </c>
      <c r="U1143" s="12">
        <v>2.462E-2</v>
      </c>
      <c r="V1143" s="16">
        <v>3.8521000000000001</v>
      </c>
      <c r="W1143" s="17">
        <f t="shared" si="17"/>
        <v>4.2494394911101185E-3</v>
      </c>
    </row>
    <row r="1144" spans="1:23" x14ac:dyDescent="0.2">
      <c r="A1144" s="14">
        <v>43214</v>
      </c>
      <c r="B1144" s="3">
        <v>-207654359850553</v>
      </c>
      <c r="C1144" s="3">
        <f>[1]!nefin_factors__1[[#This Row],[Rm_minus_Rf]]/B1143-1</f>
        <v>-1.2698208607937485</v>
      </c>
      <c r="D1144" s="3">
        <v>308875515233626</v>
      </c>
      <c r="E1144" s="3">
        <f>[1]!nefin_factors__1[[#This Row],[SMB]]/D1143-1</f>
        <v>-2.1764077174853318</v>
      </c>
      <c r="F1144" s="3">
        <v>-46115148090037</v>
      </c>
      <c r="G1144" s="3">
        <f>[1]!nefin_factors__1[[#This Row],[HML]]/F1143-1</f>
        <v>173776.73441136233</v>
      </c>
      <c r="H1144" s="3">
        <v>24321698680918</v>
      </c>
      <c r="I1144" s="4">
        <f>[1]!nefin_factors__1[[#This Row],[Risk_Free]]/H1143-1</f>
        <v>0</v>
      </c>
      <c r="J1144">
        <v>74403</v>
      </c>
      <c r="K1144">
        <v>75898</v>
      </c>
      <c r="L1144">
        <v>74403</v>
      </c>
      <c r="M1144">
        <v>75856</v>
      </c>
      <c r="N1144">
        <v>3508500</v>
      </c>
      <c r="O1144">
        <v>75856</v>
      </c>
      <c r="P1144">
        <v>1.9583596553717199E-2</v>
      </c>
      <c r="Q1144">
        <v>1.9394305271260699E-2</v>
      </c>
      <c r="R1144" s="8">
        <v>34.154415130615199</v>
      </c>
      <c r="S1144" s="8">
        <v>3.08456504942973E-2</v>
      </c>
      <c r="T1144" s="9">
        <v>3.0379485286446999E-2</v>
      </c>
      <c r="U1144" s="12">
        <v>2.462E-2</v>
      </c>
      <c r="V1144" s="16">
        <v>3.8557999999999999</v>
      </c>
      <c r="W1144" s="17">
        <f t="shared" si="17"/>
        <v>9.6051504374239371E-4</v>
      </c>
    </row>
    <row r="1145" spans="1:23" x14ac:dyDescent="0.2">
      <c r="A1145" s="15">
        <v>43215</v>
      </c>
      <c r="B1145" s="5">
        <v>-458105983188654</v>
      </c>
      <c r="C1145" s="5">
        <f>[1]!nefin_factors__1[[#This Row],[Rm_minus_Rf]]/B1144-1</f>
        <v>1.2060985549176468</v>
      </c>
      <c r="D1145" s="5">
        <v>-180444671205902</v>
      </c>
      <c r="E1145" s="5">
        <f>[1]!nefin_factors__1[[#This Row],[SMB]]/D1144-1</f>
        <v>-1.5841986894604383</v>
      </c>
      <c r="F1145" s="5">
        <v>-205152349451826</v>
      </c>
      <c r="G1145" s="5">
        <f>[1]!nefin_factors__1[[#This Row],[HML]]/F1144-1</f>
        <v>3.448697617782309</v>
      </c>
      <c r="H1145" s="5">
        <v>24321698680918</v>
      </c>
      <c r="I1145" s="6">
        <f>[1]!nefin_factors__1[[#This Row],[Risk_Free]]/H1144-1</f>
        <v>0</v>
      </c>
      <c r="J1145">
        <v>75856</v>
      </c>
      <c r="K1145">
        <v>76682</v>
      </c>
      <c r="L1145">
        <v>75554</v>
      </c>
      <c r="M1145">
        <v>76594</v>
      </c>
      <c r="N1145">
        <v>0</v>
      </c>
      <c r="O1145">
        <v>76594</v>
      </c>
      <c r="P1145">
        <v>9.7289601349925797E-3</v>
      </c>
      <c r="Q1145">
        <v>9.6819385371849295E-3</v>
      </c>
      <c r="R1145" s="8">
        <v>35.646198272705099</v>
      </c>
      <c r="S1145" s="8">
        <v>4.3677632916546902E-2</v>
      </c>
      <c r="T1145" s="9">
        <v>4.2750661046584197E-2</v>
      </c>
      <c r="U1145" s="12">
        <v>2.462E-2</v>
      </c>
      <c r="V1145" s="16">
        <v>3.9055</v>
      </c>
      <c r="W1145" s="17">
        <f t="shared" si="17"/>
        <v>1.2889672700866273E-2</v>
      </c>
    </row>
    <row r="1146" spans="1:23" x14ac:dyDescent="0.2">
      <c r="A1146" s="14">
        <v>43216</v>
      </c>
      <c r="B1146" s="3">
        <v>147359066418522</v>
      </c>
      <c r="C1146" s="3">
        <f>[1]!nefin_factors__1[[#This Row],[Rm_minus_Rf]]/B1145-1</f>
        <v>-1.321670250610627</v>
      </c>
      <c r="D1146" s="3">
        <v>-959874238673789</v>
      </c>
      <c r="E1146" s="3">
        <f>[1]!nefin_factors__1[[#This Row],[SMB]]/D1145-1</f>
        <v>4.3194934062557859</v>
      </c>
      <c r="F1146" s="3">
        <v>428332324079637</v>
      </c>
      <c r="G1146" s="3">
        <f>[1]!nefin_factors__1[[#This Row],[HML]]/F1145-1</f>
        <v>-3.087874329609948</v>
      </c>
      <c r="H1146" s="3">
        <v>24321698680918</v>
      </c>
      <c r="I1146" s="4">
        <f>[1]!nefin_factors__1[[#This Row],[Risk_Free]]/H1145-1</f>
        <v>0</v>
      </c>
      <c r="J1146">
        <v>76587</v>
      </c>
      <c r="K1146">
        <v>76924</v>
      </c>
      <c r="L1146">
        <v>76129</v>
      </c>
      <c r="M1146">
        <v>76653</v>
      </c>
      <c r="N1146">
        <v>3134700</v>
      </c>
      <c r="O1146">
        <v>76653</v>
      </c>
      <c r="P1146">
        <v>7.7029532339345497E-4</v>
      </c>
      <c r="Q1146">
        <v>7.6999879821570201E-4</v>
      </c>
      <c r="R1146" s="8">
        <v>36.997871398925803</v>
      </c>
      <c r="S1146" s="8">
        <v>3.7919306145004897E-2</v>
      </c>
      <c r="T1146" s="9">
        <v>3.7218041977109699E-2</v>
      </c>
      <c r="U1146" s="12">
        <v>2.462E-2</v>
      </c>
      <c r="V1146" s="16">
        <v>3.8919999999999999</v>
      </c>
      <c r="W1146" s="17">
        <f t="shared" si="17"/>
        <v>-3.4566636794264305E-3</v>
      </c>
    </row>
    <row r="1147" spans="1:23" x14ac:dyDescent="0.2">
      <c r="A1147" s="15">
        <v>43217</v>
      </c>
      <c r="B1147" s="5">
        <v>100859281539098</v>
      </c>
      <c r="C1147" s="5">
        <f>[1]!nefin_factors__1[[#This Row],[Rm_minus_Rf]]/B1146-1</f>
        <v>-0.31555428525420748</v>
      </c>
      <c r="D1147" s="5">
        <v>838151685310276</v>
      </c>
      <c r="E1147" s="5">
        <f>[1]!nefin_factors__1[[#This Row],[SMB]]/D1146-1</f>
        <v>-1.8731890611715021</v>
      </c>
      <c r="F1147" s="5">
        <v>338173525797054</v>
      </c>
      <c r="G1147" s="5">
        <f>[1]!nefin_factors__1[[#This Row],[HML]]/F1146-1</f>
        <v>-0.21048796276654658</v>
      </c>
      <c r="H1147" s="5">
        <v>242843641714119</v>
      </c>
      <c r="I1147" s="6">
        <f>[1]!nefin_factors__1[[#This Row],[Risk_Free]]/H1146-1</f>
        <v>8.984649711356143</v>
      </c>
      <c r="J1147">
        <v>76653</v>
      </c>
      <c r="K1147">
        <v>78522</v>
      </c>
      <c r="L1147">
        <v>76482</v>
      </c>
      <c r="M1147">
        <v>78130</v>
      </c>
      <c r="N1147">
        <v>3882900</v>
      </c>
      <c r="O1147">
        <v>78130</v>
      </c>
      <c r="P1147">
        <v>1.9268652238007701E-2</v>
      </c>
      <c r="Q1147">
        <v>1.9085362513489801E-2</v>
      </c>
      <c r="R1147" s="8">
        <v>37.335788726806598</v>
      </c>
      <c r="S1147" s="8">
        <v>9.1333073009176608E-3</v>
      </c>
      <c r="T1147" s="9">
        <v>9.0918508814128805E-3</v>
      </c>
      <c r="U1147" s="12">
        <v>2.462E-2</v>
      </c>
      <c r="V1147" s="16">
        <v>3.9058000000000002</v>
      </c>
      <c r="W1147" s="17">
        <f t="shared" si="17"/>
        <v>3.5457348406988665E-3</v>
      </c>
    </row>
    <row r="1148" spans="1:23" x14ac:dyDescent="0.2">
      <c r="A1148" s="14">
        <v>43220</v>
      </c>
      <c r="B1148" s="3">
        <v>-214940162045551</v>
      </c>
      <c r="C1148" s="3">
        <f>[1]!nefin_factors__1[[#This Row],[Rm_minus_Rf]]/B1147-1</f>
        <v>-3.1310895612738392</v>
      </c>
      <c r="D1148" s="3">
        <v>574186947522684</v>
      </c>
      <c r="E1148" s="3">
        <f>[1]!nefin_factors__1[[#This Row],[SMB]]/D1147-1</f>
        <v>-0.31493671421763558</v>
      </c>
      <c r="F1148" s="3">
        <v>160361503476489</v>
      </c>
      <c r="G1148" s="3">
        <f>[1]!nefin_factors__1[[#This Row],[HML]]/F1147-1</f>
        <v>-0.52580113094741265</v>
      </c>
      <c r="H1148" s="3">
        <v>242470261638372</v>
      </c>
      <c r="I1148" s="4">
        <f>[1]!nefin_factors__1[[#This Row],[Risk_Free]]/H1147-1</f>
        <v>-1.5375328466971094E-3</v>
      </c>
      <c r="J1148">
        <v>78124</v>
      </c>
      <c r="K1148">
        <v>78496</v>
      </c>
      <c r="L1148">
        <v>77164</v>
      </c>
      <c r="M1148">
        <v>77363</v>
      </c>
      <c r="N1148">
        <v>3394300</v>
      </c>
      <c r="O1148">
        <v>77363</v>
      </c>
      <c r="P1148">
        <v>-9.8169717138103501E-3</v>
      </c>
      <c r="Q1148">
        <v>-9.8654758844012296E-3</v>
      </c>
      <c r="R1148" s="8">
        <v>37.088531494140597</v>
      </c>
      <c r="S1148" s="8">
        <v>-6.6225778327814204E-3</v>
      </c>
      <c r="T1148" s="9">
        <v>-6.6446044036704401E-3</v>
      </c>
      <c r="U1148" s="12">
        <v>2.462E-2</v>
      </c>
      <c r="V1148" s="16">
        <v>3.9192</v>
      </c>
      <c r="W1148" s="17">
        <f t="shared" si="17"/>
        <v>3.4307952276102505E-3</v>
      </c>
    </row>
    <row r="1149" spans="1:23" x14ac:dyDescent="0.2">
      <c r="A1149" s="15">
        <v>43222</v>
      </c>
      <c r="B1149" s="5">
        <v>-181260598241523</v>
      </c>
      <c r="C1149" s="5">
        <f>[1]!nefin_factors__1[[#This Row],[Rm_minus_Rf]]/B1148-1</f>
        <v>-0.15669274408051526</v>
      </c>
      <c r="D1149" s="5">
        <v>341778239533684</v>
      </c>
      <c r="E1149" s="5">
        <f>[1]!nefin_factors__1[[#This Row],[SMB]]/D1148-1</f>
        <v>-0.40476139172393566</v>
      </c>
      <c r="F1149" s="5">
        <v>-684336994536759</v>
      </c>
      <c r="G1149" s="5">
        <f>[1]!nefin_factors__1[[#This Row],[HML]]/F1148-1</f>
        <v>-5.2674643209309355</v>
      </c>
      <c r="H1149" s="5">
        <v>242470261638372</v>
      </c>
      <c r="I1149" s="6">
        <f>[1]!nefin_factors__1[[#This Row],[Risk_Free]]/H1148-1</f>
        <v>0</v>
      </c>
      <c r="J1149">
        <v>77360</v>
      </c>
      <c r="K1149">
        <v>77487</v>
      </c>
      <c r="L1149">
        <v>75890</v>
      </c>
      <c r="M1149">
        <v>77487</v>
      </c>
      <c r="N1149">
        <v>3781100</v>
      </c>
      <c r="O1149">
        <v>77487</v>
      </c>
      <c r="P1149">
        <v>1.60283339580936E-3</v>
      </c>
      <c r="Q1149">
        <v>1.60155022931375E-3</v>
      </c>
      <c r="R1149" s="8">
        <v>36.618743896484403</v>
      </c>
      <c r="S1149" s="8">
        <v>-1.26665858020163E-2</v>
      </c>
      <c r="T1149" s="9">
        <v>-1.2747490920429301E-2</v>
      </c>
      <c r="U1149" s="12">
        <v>2.462E-2</v>
      </c>
      <c r="V1149" s="16">
        <v>3.9264000000000001</v>
      </c>
      <c r="W1149" s="17">
        <f t="shared" si="17"/>
        <v>1.837109614206911E-3</v>
      </c>
    </row>
    <row r="1150" spans="1:23" x14ac:dyDescent="0.2">
      <c r="A1150" s="14">
        <v>43223</v>
      </c>
      <c r="B1150" s="3">
        <v>-146967396241025</v>
      </c>
      <c r="C1150" s="3">
        <f>[1]!nefin_factors__1[[#This Row],[Rm_minus_Rf]]/B1149-1</f>
        <v>-0.18919281042426872</v>
      </c>
      <c r="D1150" s="3">
        <v>860991502433769</v>
      </c>
      <c r="E1150" s="3">
        <f>[1]!nefin_factors__1[[#This Row],[SMB]]/D1149-1</f>
        <v>1.5191524879070419</v>
      </c>
      <c r="F1150" s="3">
        <v>591782773230568</v>
      </c>
      <c r="G1150" s="3">
        <f>[1]!nefin_factors__1[[#This Row],[HML]]/F1149-1</f>
        <v>-1.8647534445089546</v>
      </c>
      <c r="H1150" s="3">
        <v>242470261638372</v>
      </c>
      <c r="I1150" s="4">
        <f>[1]!nefin_factors__1[[#This Row],[Risk_Free]]/H1149-1</f>
        <v>0</v>
      </c>
      <c r="J1150">
        <v>77500</v>
      </c>
      <c r="K1150">
        <v>79489</v>
      </c>
      <c r="L1150">
        <v>77500</v>
      </c>
      <c r="M1150">
        <v>78571</v>
      </c>
      <c r="N1150">
        <v>4745200</v>
      </c>
      <c r="O1150">
        <v>78571</v>
      </c>
      <c r="P1150">
        <v>1.39894433905041E-2</v>
      </c>
      <c r="Q1150">
        <v>1.3892494257307099E-2</v>
      </c>
      <c r="R1150" s="8">
        <v>37.088531494140597</v>
      </c>
      <c r="S1150" s="8">
        <v>1.2829086527275499E-2</v>
      </c>
      <c r="T1150" s="9">
        <v>1.27474909204294E-2</v>
      </c>
      <c r="U1150" s="12">
        <v>2.462E-2</v>
      </c>
      <c r="V1150" s="16">
        <v>3.8692000000000002</v>
      </c>
      <c r="W1150" s="17">
        <f t="shared" si="17"/>
        <v>-1.456805215973922E-2</v>
      </c>
    </row>
    <row r="1151" spans="1:23" x14ac:dyDescent="0.2">
      <c r="A1151" s="15">
        <v>43224</v>
      </c>
      <c r="B1151" s="5">
        <v>-339865095915549</v>
      </c>
      <c r="C1151" s="5">
        <f>[1]!nefin_factors__1[[#This Row],[Rm_minus_Rf]]/B1150-1</f>
        <v>1.3125203589929142</v>
      </c>
      <c r="D1151" s="5">
        <v>-103458797832656</v>
      </c>
      <c r="E1151" s="5">
        <f>[1]!nefin_factors__1[[#This Row],[SMB]]/D1150-1</f>
        <v>-1.1201623913130483</v>
      </c>
      <c r="F1151" s="5">
        <v>292573322075511</v>
      </c>
      <c r="G1151" s="5">
        <f>[1]!nefin_factors__1[[#This Row],[HML]]/F1150-1</f>
        <v>-0.50560689612788079</v>
      </c>
      <c r="H1151" s="5">
        <v>242470261638372</v>
      </c>
      <c r="I1151" s="6">
        <f>[1]!nefin_factors__1[[#This Row],[Risk_Free]]/H1150-1</f>
        <v>0</v>
      </c>
      <c r="J1151">
        <v>78571</v>
      </c>
      <c r="K1151">
        <v>78639</v>
      </c>
      <c r="L1151">
        <v>77871</v>
      </c>
      <c r="M1151">
        <v>77996</v>
      </c>
      <c r="N1151">
        <v>2446800</v>
      </c>
      <c r="O1151">
        <v>77996</v>
      </c>
      <c r="P1151">
        <v>-7.3182217357549203E-3</v>
      </c>
      <c r="Q1151">
        <v>-7.3451312875323204E-3</v>
      </c>
      <c r="R1151" s="8">
        <v>36.478630065917997</v>
      </c>
      <c r="S1151" s="8">
        <v>-1.6444374347793299E-2</v>
      </c>
      <c r="T1151" s="9">
        <v>-1.65810838787947E-2</v>
      </c>
      <c r="U1151" s="12">
        <v>2.462E-2</v>
      </c>
      <c r="V1151" s="16">
        <v>3.8452000000000002</v>
      </c>
      <c r="W1151" s="17">
        <f t="shared" si="17"/>
        <v>-6.2028326268995793E-3</v>
      </c>
    </row>
    <row r="1152" spans="1:23" x14ac:dyDescent="0.2">
      <c r="A1152" s="14">
        <v>43227</v>
      </c>
      <c r="B1152" s="3">
        <v>-532883098765243</v>
      </c>
      <c r="C1152" s="3">
        <f>[1]!nefin_factors__1[[#This Row],[Rm_minus_Rf]]/B1151-1</f>
        <v>0.56792534793762961</v>
      </c>
      <c r="D1152" s="3">
        <v>1674595014279</v>
      </c>
      <c r="E1152" s="3">
        <f>[1]!nefin_factors__1[[#This Row],[SMB]]/D1151-1</f>
        <v>-1.016186105477348</v>
      </c>
      <c r="F1152" s="3">
        <v>129372869354435</v>
      </c>
      <c r="G1152" s="3">
        <f>[1]!nefin_factors__1[[#This Row],[HML]]/F1151-1</f>
        <v>-0.55781043727204627</v>
      </c>
      <c r="H1152" s="3">
        <v>241349911460631</v>
      </c>
      <c r="I1152" s="4">
        <f>[1]!nefin_factors__1[[#This Row],[Risk_Free]]/H1151-1</f>
        <v>-4.6205673643060496E-3</v>
      </c>
      <c r="J1152">
        <v>78005</v>
      </c>
      <c r="K1152">
        <v>79497</v>
      </c>
      <c r="L1152">
        <v>78005</v>
      </c>
      <c r="M1152">
        <v>79155</v>
      </c>
      <c r="N1152">
        <v>3283200</v>
      </c>
      <c r="O1152">
        <v>79155</v>
      </c>
      <c r="P1152">
        <v>1.48597363967382E-2</v>
      </c>
      <c r="Q1152">
        <v>1.47504122024005E-2</v>
      </c>
      <c r="R1152" s="8">
        <v>37.789093017578097</v>
      </c>
      <c r="S1152" s="8">
        <v>3.5924065863837798E-2</v>
      </c>
      <c r="T1152" s="9">
        <v>3.5293845652818998E-2</v>
      </c>
      <c r="U1152" s="12">
        <v>2.462E-2</v>
      </c>
      <c r="V1152" s="16">
        <v>3.8416999999999999</v>
      </c>
      <c r="W1152" s="17">
        <f t="shared" si="17"/>
        <v>-9.1022573598265044E-4</v>
      </c>
    </row>
    <row r="1153" spans="1:23" x14ac:dyDescent="0.2">
      <c r="A1153" s="15">
        <v>43228</v>
      </c>
      <c r="B1153" s="5">
        <v>462344223005672</v>
      </c>
      <c r="C1153" s="5">
        <f>[1]!nefin_factors__1[[#This Row],[Rm_minus_Rf]]/B1152-1</f>
        <v>-1.8676278607390282</v>
      </c>
      <c r="D1153" s="5">
        <v>773546432444846</v>
      </c>
      <c r="E1153" s="5">
        <f>[1]!nefin_factors__1[[#This Row],[SMB]]/D1152-1</f>
        <v>460.93045234754737</v>
      </c>
      <c r="F1153" s="5">
        <v>138903087821319</v>
      </c>
      <c r="G1153" s="5">
        <f>[1]!nefin_factors__1[[#This Row],[HML]]/F1152-1</f>
        <v>7.3664737548447157E-2</v>
      </c>
      <c r="H1153" s="5">
        <v>242096846575279</v>
      </c>
      <c r="I1153" s="6">
        <f>[1]!nefin_factors__1[[#This Row],[Risk_Free]]/H1152-1</f>
        <v>3.0948224100335597E-3</v>
      </c>
      <c r="J1153">
        <v>79154</v>
      </c>
      <c r="K1153">
        <v>80437</v>
      </c>
      <c r="L1153">
        <v>79154</v>
      </c>
      <c r="M1153">
        <v>80218</v>
      </c>
      <c r="N1153">
        <v>3472700</v>
      </c>
      <c r="O1153">
        <v>80218</v>
      </c>
      <c r="P1153">
        <v>1.34293474827869E-2</v>
      </c>
      <c r="Q1153">
        <v>1.33399730668284E-2</v>
      </c>
      <c r="R1153" s="8">
        <v>39.0088920593262</v>
      </c>
      <c r="S1153" s="8">
        <v>3.2279134626861203E-2</v>
      </c>
      <c r="T1153" s="9">
        <v>3.1769109776036801E-2</v>
      </c>
      <c r="U1153" s="12">
        <v>2.462E-2</v>
      </c>
      <c r="V1153" s="16">
        <v>3.8563999999999998</v>
      </c>
      <c r="W1153" s="17">
        <f t="shared" si="17"/>
        <v>3.8264310071061125E-3</v>
      </c>
    </row>
    <row r="1154" spans="1:23" x14ac:dyDescent="0.2">
      <c r="A1154" s="14">
        <v>43229</v>
      </c>
      <c r="B1154" s="3">
        <v>126151701133283</v>
      </c>
      <c r="C1154" s="3">
        <f>[1]!nefin_factors__1[[#This Row],[Rm_minus_Rf]]/B1153-1</f>
        <v>-0.72714766432425959</v>
      </c>
      <c r="D1154" s="3">
        <v>990849612350343</v>
      </c>
      <c r="E1154" s="3">
        <f>[1]!nefin_factors__1[[#This Row],[SMB]]/D1153-1</f>
        <v>0.28091808169639609</v>
      </c>
      <c r="F1154" s="3">
        <v>103731935000385</v>
      </c>
      <c r="G1154" s="3">
        <f>[1]!nefin_factors__1[[#This Row],[HML]]/F1153-1</f>
        <v>-0.25320641443318503</v>
      </c>
      <c r="H1154" s="3">
        <v>240976391395753</v>
      </c>
      <c r="I1154" s="4">
        <f>[1]!nefin_factors__1[[#This Row],[Risk_Free]]/H1153-1</f>
        <v>-4.6281279387817564E-3</v>
      </c>
      <c r="J1154">
        <v>80242</v>
      </c>
      <c r="K1154">
        <v>80589</v>
      </c>
      <c r="L1154">
        <v>79081</v>
      </c>
      <c r="M1154">
        <v>79405</v>
      </c>
      <c r="N1154">
        <v>3596500</v>
      </c>
      <c r="O1154">
        <v>79405</v>
      </c>
      <c r="P1154">
        <v>-1.0134882445336399E-2</v>
      </c>
      <c r="Q1154">
        <v>-1.01865900299594E-2</v>
      </c>
      <c r="R1154" s="8">
        <v>37.401721954345703</v>
      </c>
      <c r="S1154" s="8">
        <v>-4.12000197814862E-2</v>
      </c>
      <c r="T1154" s="9">
        <v>-4.20727970534122E-2</v>
      </c>
      <c r="U1154" s="12">
        <v>2.462E-2</v>
      </c>
      <c r="V1154" s="16">
        <v>3.8744999999999998</v>
      </c>
      <c r="W1154" s="17">
        <f t="shared" si="17"/>
        <v>4.6934965252567462E-3</v>
      </c>
    </row>
    <row r="1155" spans="1:23" x14ac:dyDescent="0.2">
      <c r="A1155" s="15">
        <v>43230</v>
      </c>
      <c r="B1155" s="5">
        <v>152576560572161</v>
      </c>
      <c r="C1155" s="5">
        <f>[1]!nefin_factors__1[[#This Row],[Rm_minus_Rf]]/B1154-1</f>
        <v>0.20946891085487107</v>
      </c>
      <c r="D1155" s="5">
        <v>-149250294468475</v>
      </c>
      <c r="E1155" s="5">
        <f>[1]!nefin_factors__1[[#This Row],[SMB]]/D1154-1</f>
        <v>-1.1506286045916152</v>
      </c>
      <c r="F1155" s="5">
        <v>550082502682685</v>
      </c>
      <c r="G1155" s="5">
        <f>[1]!nefin_factors__1[[#This Row],[HML]]/F1154-1</f>
        <v>4.3029233734109305</v>
      </c>
      <c r="H1155" s="5">
        <v>240229246218693</v>
      </c>
      <c r="I1155" s="6">
        <f>[1]!nefin_factors__1[[#This Row],[Risk_Free]]/H1154-1</f>
        <v>-3.1004911839391802E-3</v>
      </c>
      <c r="J1155">
        <v>79405</v>
      </c>
      <c r="K1155">
        <v>80251</v>
      </c>
      <c r="L1155">
        <v>79405</v>
      </c>
      <c r="M1155">
        <v>79866</v>
      </c>
      <c r="N1155">
        <v>3015600</v>
      </c>
      <c r="O1155">
        <v>79866</v>
      </c>
      <c r="P1155">
        <v>5.8056797430892102E-3</v>
      </c>
      <c r="Q1155">
        <v>5.7888917303271998E-3</v>
      </c>
      <c r="R1155" s="8">
        <v>37.4429321289062</v>
      </c>
      <c r="S1155" s="8">
        <v>1.10173064906527E-3</v>
      </c>
      <c r="T1155" s="9">
        <v>1.1011241892497599E-3</v>
      </c>
      <c r="U1155" s="12">
        <v>2.462E-2</v>
      </c>
      <c r="V1155" s="16">
        <v>3.8578999999999999</v>
      </c>
      <c r="W1155" s="17">
        <f t="shared" si="17"/>
        <v>-4.2844237966188636E-3</v>
      </c>
    </row>
    <row r="1156" spans="1:23" x14ac:dyDescent="0.2">
      <c r="A1156" s="14">
        <v>43231</v>
      </c>
      <c r="B1156" s="3">
        <v>-544701324635889</v>
      </c>
      <c r="C1156" s="3">
        <f>[1]!nefin_factors__1[[#This Row],[Rm_minus_Rf]]/B1155-1</f>
        <v>-4.5700196844997878</v>
      </c>
      <c r="D1156" s="3">
        <v>557070733600998</v>
      </c>
      <c r="E1156" s="3">
        <f>[1]!nefin_factors__1[[#This Row],[SMB]]/D1155-1</f>
        <v>-4.7324598627084367</v>
      </c>
      <c r="F1156" s="3">
        <v>104318518192032</v>
      </c>
      <c r="G1156" s="3">
        <f>[1]!nefin_factors__1[[#This Row],[HML]]/F1155-1</f>
        <v>-0.8103584140864627</v>
      </c>
      <c r="H1156" s="3">
        <v>239855621093188</v>
      </c>
      <c r="I1156" s="4">
        <f>[1]!nefin_factors__1[[#This Row],[Risk_Free]]/H1155-1</f>
        <v>-1.5552857588574387E-3</v>
      </c>
      <c r="J1156">
        <v>79866</v>
      </c>
      <c r="K1156">
        <v>80492</v>
      </c>
      <c r="L1156">
        <v>79699</v>
      </c>
      <c r="M1156">
        <v>80276</v>
      </c>
      <c r="N1156">
        <v>2631400</v>
      </c>
      <c r="O1156">
        <v>80276</v>
      </c>
      <c r="P1156">
        <v>5.1335987779530497E-3</v>
      </c>
      <c r="Q1156">
        <v>5.1204667834995601E-3</v>
      </c>
      <c r="R1156" s="8">
        <v>37.484142303466797</v>
      </c>
      <c r="S1156" s="8">
        <v>1.10062184045501E-3</v>
      </c>
      <c r="T1156" s="9">
        <v>1.1000166002901499E-3</v>
      </c>
      <c r="U1156" s="12">
        <v>2.462E-2</v>
      </c>
      <c r="V1156" s="16">
        <v>3.8671000000000002</v>
      </c>
      <c r="W1156" s="17">
        <f t="shared" ref="W1156:W1219" si="18">V1156/V1155-1</f>
        <v>2.3847170740558532E-3</v>
      </c>
    </row>
    <row r="1157" spans="1:23" x14ac:dyDescent="0.2">
      <c r="A1157" s="15">
        <v>43234</v>
      </c>
      <c r="B1157" s="5">
        <v>-224802448999505</v>
      </c>
      <c r="C1157" s="5">
        <f>[1]!nefin_factors__1[[#This Row],[Rm_minus_Rf]]/B1156-1</f>
        <v>-0.58729226673025547</v>
      </c>
      <c r="D1157" s="5">
        <v>-120198380380674</v>
      </c>
      <c r="E1157" s="5">
        <f>[1]!nefin_factors__1[[#This Row],[SMB]]/D1156-1</f>
        <v>-1.2157686145234945</v>
      </c>
      <c r="F1157" s="5">
        <v>-379469775445445</v>
      </c>
      <c r="G1157" s="5">
        <f>[1]!nefin_factors__1[[#This Row],[HML]]/F1156-1</f>
        <v>-4.637607032980549</v>
      </c>
      <c r="H1157" s="5">
        <v>240602836317327</v>
      </c>
      <c r="I1157" s="6">
        <f>[1]!nefin_factors__1[[#This Row],[Risk_Free]]/H1156-1</f>
        <v>3.1152708480770563E-3</v>
      </c>
      <c r="J1157">
        <v>80279</v>
      </c>
      <c r="K1157">
        <v>80279</v>
      </c>
      <c r="L1157">
        <v>79016</v>
      </c>
      <c r="M1157">
        <v>79220</v>
      </c>
      <c r="N1157">
        <v>3354500</v>
      </c>
      <c r="O1157">
        <v>79220</v>
      </c>
      <c r="P1157">
        <v>-1.31546165728238E-2</v>
      </c>
      <c r="Q1157">
        <v>-1.3241904882666199E-2</v>
      </c>
      <c r="R1157" s="8">
        <v>36.346759796142599</v>
      </c>
      <c r="S1157" s="8">
        <v>-3.0343020210662E-2</v>
      </c>
      <c r="T1157" s="9">
        <v>-3.0812899109374299E-2</v>
      </c>
      <c r="U1157" s="12">
        <v>2.462E-2</v>
      </c>
      <c r="V1157" s="16">
        <v>3.8473999999999999</v>
      </c>
      <c r="W1157" s="17">
        <f t="shared" si="18"/>
        <v>-5.094256678131015E-3</v>
      </c>
    </row>
    <row r="1158" spans="1:23" x14ac:dyDescent="0.2">
      <c r="A1158" s="14">
        <v>43235</v>
      </c>
      <c r="B1158" s="3">
        <v>-259215052881203</v>
      </c>
      <c r="C1158" s="3">
        <f>[1]!nefin_factors__1[[#This Row],[Rm_minus_Rf]]/B1157-1</f>
        <v>0.15307931045614986</v>
      </c>
      <c r="D1158" s="3">
        <v>-945823885174387</v>
      </c>
      <c r="E1158" s="3">
        <f>[1]!nefin_factors__1[[#This Row],[SMB]]/D1157-1</f>
        <v>6.8688571524750808</v>
      </c>
      <c r="F1158" s="3">
        <v>238945300456787</v>
      </c>
      <c r="G1158" s="3">
        <f>[1]!nefin_factors__1[[#This Row],[HML]]/F1157-1</f>
        <v>-1.6296820350877703</v>
      </c>
      <c r="H1158" s="3">
        <v>240229246218693</v>
      </c>
      <c r="I1158" s="4">
        <f>[1]!nefin_factors__1[[#This Row],[Risk_Free]]/H1157-1</f>
        <v>-1.5527252477659514E-3</v>
      </c>
      <c r="J1158">
        <v>79213</v>
      </c>
      <c r="K1158">
        <v>79731</v>
      </c>
      <c r="L1158">
        <v>78769</v>
      </c>
      <c r="M1158">
        <v>79302</v>
      </c>
      <c r="N1158">
        <v>3227100</v>
      </c>
      <c r="O1158">
        <v>79302</v>
      </c>
      <c r="P1158">
        <v>1.0350921484474399E-3</v>
      </c>
      <c r="Q1158">
        <v>1.03455680995415E-3</v>
      </c>
      <c r="R1158" s="8">
        <v>36.4291801452637</v>
      </c>
      <c r="S1158" s="8">
        <v>2.2675235690883299E-3</v>
      </c>
      <c r="T1158" s="9">
        <v>2.2649566172037098E-3</v>
      </c>
      <c r="U1158" s="12">
        <v>2.462E-2</v>
      </c>
      <c r="V1158" s="16">
        <v>3.8847</v>
      </c>
      <c r="W1158" s="17">
        <f t="shared" si="18"/>
        <v>9.6948588657275181E-3</v>
      </c>
    </row>
    <row r="1159" spans="1:23" x14ac:dyDescent="0.2">
      <c r="A1159" s="15">
        <v>43236</v>
      </c>
      <c r="B1159" s="5">
        <v>149084157955301</v>
      </c>
      <c r="C1159" s="5">
        <f>[1]!nefin_factors__1[[#This Row],[Rm_minus_Rf]]/B1158-1</f>
        <v>-1.5751369617551707</v>
      </c>
      <c r="D1159" s="5">
        <v>-261636205410994</v>
      </c>
      <c r="E1159" s="5">
        <f>[1]!nefin_factors__1[[#This Row],[SMB]]/D1158-1</f>
        <v>-0.72337746010426174</v>
      </c>
      <c r="F1159" s="5">
        <v>322232924891716</v>
      </c>
      <c r="G1159" s="5">
        <f>[1]!nefin_factors__1[[#This Row],[HML]]/F1158-1</f>
        <v>0.34856355942431039</v>
      </c>
      <c r="H1159" s="5">
        <v>239855621093188</v>
      </c>
      <c r="I1159" s="6">
        <f>[1]!nefin_factors__1[[#This Row],[Risk_Free]]/H1158-1</f>
        <v>-1.5552857588574387E-3</v>
      </c>
      <c r="J1159">
        <v>79237</v>
      </c>
      <c r="K1159">
        <v>79896</v>
      </c>
      <c r="L1159">
        <v>78573</v>
      </c>
      <c r="M1159">
        <v>79637</v>
      </c>
      <c r="N1159">
        <v>3005500</v>
      </c>
      <c r="O1159">
        <v>79637</v>
      </c>
      <c r="P1159">
        <v>4.2243575193563502E-3</v>
      </c>
      <c r="Q1159">
        <v>4.2154599699493001E-3</v>
      </c>
      <c r="R1159" s="8">
        <v>36.124229431152301</v>
      </c>
      <c r="S1159" s="8">
        <v>-8.3709519878812904E-3</v>
      </c>
      <c r="T1159" s="9">
        <v>-8.4061851677539098E-3</v>
      </c>
      <c r="U1159" s="12">
        <v>2.462E-2</v>
      </c>
      <c r="V1159" s="16">
        <v>3.7793000000000001</v>
      </c>
      <c r="W1159" s="17">
        <f t="shared" si="18"/>
        <v>-2.7132082271475233E-2</v>
      </c>
    </row>
    <row r="1160" spans="1:23" x14ac:dyDescent="0.2">
      <c r="A1160" s="14">
        <v>43237</v>
      </c>
      <c r="B1160" s="3">
        <v>-328220893271101</v>
      </c>
      <c r="C1160" s="3">
        <f>[1]!nefin_factors__1[[#This Row],[Rm_minus_Rf]]/B1159-1</f>
        <v>-3.2015812932284158</v>
      </c>
      <c r="D1160" s="3">
        <v>825569529017917</v>
      </c>
      <c r="E1160" s="3">
        <f>[1]!nefin_factors__1[[#This Row],[SMB]]/D1159-1</f>
        <v>-4.1554101150529315</v>
      </c>
      <c r="F1160" s="3">
        <v>450434795100037</v>
      </c>
      <c r="G1160" s="3">
        <f>[1]!nefin_factors__1[[#This Row],[HML]]/F1159-1</f>
        <v>0.39785465824574651</v>
      </c>
      <c r="H1160" s="3">
        <v>246202489047498</v>
      </c>
      <c r="I1160" s="4">
        <f>[1]!nefin_factors__1[[#This Row],[Risk_Free]]/H1159-1</f>
        <v>2.6461201640315624E-2</v>
      </c>
      <c r="J1160">
        <v>79656</v>
      </c>
      <c r="K1160">
        <v>81792</v>
      </c>
      <c r="L1160">
        <v>79656</v>
      </c>
      <c r="M1160">
        <v>81435</v>
      </c>
      <c r="N1160">
        <v>3802600</v>
      </c>
      <c r="O1160">
        <v>81435</v>
      </c>
      <c r="P1160">
        <v>2.2577445157401701E-2</v>
      </c>
      <c r="Q1160">
        <v>2.23263470518501E-2</v>
      </c>
      <c r="R1160" s="8">
        <v>37.426448822021499</v>
      </c>
      <c r="S1160" s="8">
        <v>3.6048387010120697E-2</v>
      </c>
      <c r="T1160" s="9">
        <v>3.5413848354843E-2</v>
      </c>
      <c r="U1160" s="12">
        <v>2.462E-2</v>
      </c>
      <c r="V1160" s="16">
        <v>3.7915000000000001</v>
      </c>
      <c r="W1160" s="17">
        <f t="shared" si="18"/>
        <v>3.2281110258514101E-3</v>
      </c>
    </row>
    <row r="1161" spans="1:23" x14ac:dyDescent="0.2">
      <c r="A1161" s="15">
        <v>43238</v>
      </c>
      <c r="B1161" s="5">
        <v>-863188741722183</v>
      </c>
      <c r="C1161" s="5">
        <f>[1]!nefin_factors__1[[#This Row],[Rm_minus_Rf]]/B1160-1</f>
        <v>1.6299018722406986</v>
      </c>
      <c r="D1161" s="5">
        <v>-221373246975191</v>
      </c>
      <c r="E1161" s="5">
        <f>[1]!nefin_factors__1[[#This Row],[SMB]]/D1160-1</f>
        <v>-1.2681460969599165</v>
      </c>
      <c r="F1161" s="5">
        <v>226881289543765</v>
      </c>
      <c r="G1161" s="5">
        <f>[1]!nefin_factors__1[[#This Row],[HML]]/F1160-1</f>
        <v>-0.4963060313904547</v>
      </c>
      <c r="H1161" s="5">
        <v>246948515258083</v>
      </c>
      <c r="I1161" s="6">
        <f>[1]!nefin_factors__1[[#This Row],[Risk_Free]]/H1160-1</f>
        <v>3.0301326906612136E-3</v>
      </c>
      <c r="J1161">
        <v>81445</v>
      </c>
      <c r="K1161">
        <v>81765</v>
      </c>
      <c r="L1161">
        <v>80965</v>
      </c>
      <c r="M1161">
        <v>81051</v>
      </c>
      <c r="N1161">
        <v>2516600</v>
      </c>
      <c r="O1161">
        <v>81051</v>
      </c>
      <c r="P1161">
        <v>-4.715417203905E-3</v>
      </c>
      <c r="Q1161">
        <v>-4.7265698570281896E-3</v>
      </c>
      <c r="R1161" s="8">
        <v>36.857757568359403</v>
      </c>
      <c r="S1161" s="8">
        <v>-1.51950001861624E-2</v>
      </c>
      <c r="T1161" s="9">
        <v>-1.53116271407868E-2</v>
      </c>
      <c r="U1161" s="12">
        <v>2.462E-2</v>
      </c>
      <c r="V1161" s="16">
        <v>3.7458999999999998</v>
      </c>
      <c r="W1161" s="17">
        <f t="shared" si="18"/>
        <v>-1.2026902281419005E-2</v>
      </c>
    </row>
    <row r="1162" spans="1:23" x14ac:dyDescent="0.2">
      <c r="A1162" s="14">
        <v>43241</v>
      </c>
      <c r="B1162" s="3">
        <v>-134199476103748</v>
      </c>
      <c r="C1162" s="3">
        <f>[1]!nefin_factors__1[[#This Row],[Rm_minus_Rf]]/B1161-1</f>
        <v>-0.84453055326463</v>
      </c>
      <c r="D1162" s="3">
        <v>145846001732151</v>
      </c>
      <c r="E1162" s="3">
        <f>[1]!nefin_factors__1[[#This Row],[SMB]]/D1161-1</f>
        <v>-1.6588239713920614</v>
      </c>
      <c r="F1162" s="3">
        <v>-357184458444163</v>
      </c>
      <c r="G1162" s="3">
        <f>[1]!nefin_factors__1[[#This Row],[HML]]/F1161-1</f>
        <v>-2.5743231147990402</v>
      </c>
      <c r="H1162" s="3">
        <v>246575519610381</v>
      </c>
      <c r="I1162" s="4">
        <f>[1]!nefin_factors__1[[#This Row],[Risk_Free]]/H1161-1</f>
        <v>-1.5104186688961185E-3</v>
      </c>
      <c r="J1162">
        <v>81093</v>
      </c>
      <c r="K1162">
        <v>81742</v>
      </c>
      <c r="L1162">
        <v>79923</v>
      </c>
      <c r="M1162">
        <v>80347</v>
      </c>
      <c r="N1162">
        <v>3861200</v>
      </c>
      <c r="O1162">
        <v>80347</v>
      </c>
      <c r="P1162">
        <v>-8.6858891315344505E-3</v>
      </c>
      <c r="Q1162">
        <v>-8.7238313341513607E-3</v>
      </c>
      <c r="R1162" s="8">
        <v>37.253368377685497</v>
      </c>
      <c r="S1162" s="8">
        <v>1.07333843955422E-2</v>
      </c>
      <c r="T1162" s="9">
        <v>1.0676190517194499E-2</v>
      </c>
      <c r="U1162" s="12">
        <v>2.462E-2</v>
      </c>
      <c r="V1162" s="16">
        <v>3.7120000000000002</v>
      </c>
      <c r="W1162" s="17">
        <f t="shared" si="18"/>
        <v>-9.0498945513760587E-3</v>
      </c>
    </row>
    <row r="1163" spans="1:23" x14ac:dyDescent="0.2">
      <c r="A1163" s="15">
        <v>43242</v>
      </c>
      <c r="B1163" s="5">
        <v>100796978477868</v>
      </c>
      <c r="C1163" s="5">
        <f>[1]!nefin_factors__1[[#This Row],[Rm_minus_Rf]]/B1162-1</f>
        <v>-1.751098151828425</v>
      </c>
      <c r="D1163" s="5">
        <v>-287822383955817</v>
      </c>
      <c r="E1163" s="5">
        <f>[1]!nefin_factors__1[[#This Row],[SMB]]/D1162-1</f>
        <v>-2.9734677710562707</v>
      </c>
      <c r="F1163" s="5">
        <v>-124220493322488</v>
      </c>
      <c r="G1163" s="5">
        <f>[1]!nefin_factors__1[[#This Row],[HML]]/F1162-1</f>
        <v>-0.65222312901414548</v>
      </c>
      <c r="H1163" s="5">
        <v>246575519610381</v>
      </c>
      <c r="I1163" s="6">
        <f>[1]!nefin_factors__1[[#This Row],[Risk_Free]]/H1162-1</f>
        <v>0</v>
      </c>
      <c r="J1163">
        <v>80347</v>
      </c>
      <c r="K1163">
        <v>80912</v>
      </c>
      <c r="L1163">
        <v>78966</v>
      </c>
      <c r="M1163">
        <v>79152</v>
      </c>
      <c r="N1163">
        <v>3833800</v>
      </c>
      <c r="O1163">
        <v>79152</v>
      </c>
      <c r="P1163">
        <v>-1.4872988412759599E-2</v>
      </c>
      <c r="Q1163">
        <v>-1.4984700348991801E-2</v>
      </c>
      <c r="R1163" s="8">
        <v>36.2643432617188</v>
      </c>
      <c r="S1163" s="8">
        <v>-2.6548505672346699E-2</v>
      </c>
      <c r="T1163" s="9">
        <v>-2.6907281474258801E-2</v>
      </c>
      <c r="U1163" s="12">
        <v>2.462E-2</v>
      </c>
      <c r="V1163" s="16">
        <v>3.7242999999999999</v>
      </c>
      <c r="W1163" s="17">
        <f t="shared" si="18"/>
        <v>3.3135775862067618E-3</v>
      </c>
    </row>
    <row r="1164" spans="1:23" x14ac:dyDescent="0.2">
      <c r="A1164" s="14">
        <v>43243</v>
      </c>
      <c r="B1164" s="3">
        <v>-215688373187927</v>
      </c>
      <c r="C1164" s="3">
        <f>[1]!nefin_factors__1[[#This Row],[Rm_minus_Rf]]/B1163-1</f>
        <v>-3.1398297493142189</v>
      </c>
      <c r="D1164" s="3">
        <v>752016763539371</v>
      </c>
      <c r="E1164" s="3">
        <f>[1]!nefin_factors__1[[#This Row],[SMB]]/D1163-1</f>
        <v>-3.6127806781518825</v>
      </c>
      <c r="F1164" s="3">
        <v>624565897435117</v>
      </c>
      <c r="G1164" s="3">
        <f>[1]!nefin_factors__1[[#This Row],[HML]]/F1163-1</f>
        <v>-6.0278813159571474</v>
      </c>
      <c r="H1164" s="3">
        <v>246575519610381</v>
      </c>
      <c r="I1164" s="4">
        <f>[1]!nefin_factors__1[[#This Row],[Risk_Free]]/H1163-1</f>
        <v>0</v>
      </c>
      <c r="J1164">
        <v>79171</v>
      </c>
      <c r="K1164">
        <v>79461</v>
      </c>
      <c r="L1164">
        <v>78156</v>
      </c>
      <c r="M1164">
        <v>78768</v>
      </c>
      <c r="N1164">
        <v>3717400</v>
      </c>
      <c r="O1164">
        <v>78768</v>
      </c>
      <c r="P1164">
        <v>-4.8514251061249104E-3</v>
      </c>
      <c r="Q1164">
        <v>-4.8632314695079898E-3</v>
      </c>
      <c r="R1164" s="8">
        <v>35.275314331054702</v>
      </c>
      <c r="S1164" s="8">
        <v>-2.7272765221546098E-2</v>
      </c>
      <c r="T1164" s="9">
        <v>-2.76515703433152E-2</v>
      </c>
      <c r="U1164" s="12">
        <v>2.462E-2</v>
      </c>
      <c r="V1164" s="16">
        <v>3.7164000000000001</v>
      </c>
      <c r="W1164" s="17">
        <f t="shared" si="18"/>
        <v>-2.1212039846413289E-3</v>
      </c>
    </row>
    <row r="1165" spans="1:23" x14ac:dyDescent="0.2">
      <c r="A1165" s="15">
        <v>43244</v>
      </c>
      <c r="B1165" s="5">
        <v>-800507036165789</v>
      </c>
      <c r="C1165" s="5">
        <f>[1]!nefin_factors__1[[#This Row],[Rm_minus_Rf]]/B1164-1</f>
        <v>2.7114056002838671</v>
      </c>
      <c r="D1165" s="5">
        <v>-105534848231883</v>
      </c>
      <c r="E1165" s="5">
        <f>[1]!nefin_factors__1[[#This Row],[SMB]]/D1164-1</f>
        <v>-1.1403357655688189</v>
      </c>
      <c r="F1165" s="5">
        <v>-212256370301149</v>
      </c>
      <c r="G1165" s="5">
        <f>[1]!nefin_factors__1[[#This Row],[HML]]/F1164-1</f>
        <v>-1.3398462374792073</v>
      </c>
      <c r="H1165" s="5">
        <v>246575519610381</v>
      </c>
      <c r="I1165" s="6">
        <f>[1]!nefin_factors__1[[#This Row],[Risk_Free]]/H1164-1</f>
        <v>0</v>
      </c>
      <c r="J1165">
        <v>78766</v>
      </c>
      <c r="K1165">
        <v>78766</v>
      </c>
      <c r="L1165">
        <v>76043</v>
      </c>
      <c r="M1165">
        <v>76514</v>
      </c>
      <c r="N1165">
        <v>0</v>
      </c>
      <c r="O1165">
        <v>76514</v>
      </c>
      <c r="P1165">
        <v>-2.8615681495023401E-2</v>
      </c>
      <c r="Q1165">
        <v>-2.9033092391060202E-2</v>
      </c>
      <c r="R1165" s="8">
        <v>36.091262817382798</v>
      </c>
      <c r="S1165" s="8">
        <v>2.3130912722101101E-2</v>
      </c>
      <c r="T1165" s="9">
        <v>2.2867448207419799E-2</v>
      </c>
      <c r="U1165" s="12">
        <v>2.462E-2</v>
      </c>
      <c r="V1165" s="16">
        <v>3.7155</v>
      </c>
      <c r="W1165" s="17">
        <f t="shared" si="18"/>
        <v>-2.4216984178238032E-4</v>
      </c>
    </row>
    <row r="1166" spans="1:23" x14ac:dyDescent="0.2">
      <c r="A1166" s="14">
        <v>43245</v>
      </c>
      <c r="B1166" s="3">
        <v>-140260265004037</v>
      </c>
      <c r="C1166" s="3">
        <f>[1]!nefin_factors__1[[#This Row],[Rm_minus_Rf]]/B1165-1</f>
        <v>-0.8247857187166705</v>
      </c>
      <c r="D1166" s="3">
        <v>-56965244822174</v>
      </c>
      <c r="E1166" s="3">
        <f>[1]!nefin_factors__1[[#This Row],[SMB]]/D1165-1</f>
        <v>-0.46022336909028405</v>
      </c>
      <c r="F1166" s="3">
        <v>-401998485076696</v>
      </c>
      <c r="G1166" s="3">
        <f>[1]!nefin_factors__1[[#This Row],[HML]]/F1165-1</f>
        <v>0.89392895255082894</v>
      </c>
      <c r="H1166" s="3">
        <v>246575519610381</v>
      </c>
      <c r="I1166" s="4">
        <f>[1]!nefin_factors__1[[#This Row],[Risk_Free]]/H1165-1</f>
        <v>0</v>
      </c>
      <c r="J1166">
        <v>76513</v>
      </c>
      <c r="K1166">
        <v>77689</v>
      </c>
      <c r="L1166">
        <v>75931</v>
      </c>
      <c r="M1166">
        <v>77496</v>
      </c>
      <c r="N1166">
        <v>3958200</v>
      </c>
      <c r="O1166">
        <v>77496</v>
      </c>
      <c r="P1166">
        <v>1.2834252555088001E-2</v>
      </c>
      <c r="Q1166">
        <v>1.27525914992993E-2</v>
      </c>
      <c r="R1166" s="8">
        <v>36.2643432617188</v>
      </c>
      <c r="S1166" s="8">
        <v>4.7955843197407004E-3</v>
      </c>
      <c r="T1166" s="9">
        <v>4.7841221358956298E-3</v>
      </c>
      <c r="U1166" s="12">
        <v>2.462E-2</v>
      </c>
      <c r="V1166" s="16">
        <v>3.7549000000000001</v>
      </c>
      <c r="W1166" s="17">
        <f t="shared" si="18"/>
        <v>1.0604225541649859E-2</v>
      </c>
    </row>
    <row r="1167" spans="1:23" x14ac:dyDescent="0.2">
      <c r="A1167" s="15">
        <v>43248</v>
      </c>
      <c r="B1167" s="5">
        <v>-446299288950996</v>
      </c>
      <c r="C1167" s="5">
        <f>[1]!nefin_factors__1[[#This Row],[Rm_minus_Rf]]/B1166-1</f>
        <v>2.1819367298225947</v>
      </c>
      <c r="D1167" s="5">
        <v>-170003177970752</v>
      </c>
      <c r="E1167" s="5">
        <f>[1]!nefin_factors__1[[#This Row],[SMB]]/D1166-1</f>
        <v>1.9843315604355558</v>
      </c>
      <c r="F1167" s="5">
        <v>-216524576918697</v>
      </c>
      <c r="G1167" s="5">
        <f>[1]!nefin_factors__1[[#This Row],[HML]]/F1166-1</f>
        <v>-0.461379619683425</v>
      </c>
      <c r="H1167" s="5">
        <v>246948515258083</v>
      </c>
      <c r="I1167" s="6">
        <f>[1]!nefin_factors__1[[#This Row],[Risk_Free]]/H1166-1</f>
        <v>1.5127034844797382E-3</v>
      </c>
      <c r="J1167">
        <v>77499</v>
      </c>
      <c r="K1167">
        <v>78742</v>
      </c>
      <c r="L1167">
        <v>77499</v>
      </c>
      <c r="M1167">
        <v>78602</v>
      </c>
      <c r="N1167">
        <v>3713000</v>
      </c>
      <c r="O1167">
        <v>78602</v>
      </c>
      <c r="P1167">
        <v>1.4271704346030799E-2</v>
      </c>
      <c r="Q1167">
        <v>1.4170822279972E-2</v>
      </c>
      <c r="R1167" s="8">
        <v>37.418205261230497</v>
      </c>
      <c r="S1167" s="8">
        <v>3.1818119056673803E-2</v>
      </c>
      <c r="T1167" s="9">
        <v>3.1322410302908103E-2</v>
      </c>
      <c r="U1167" s="12">
        <v>2.462E-2</v>
      </c>
      <c r="V1167" s="16">
        <v>3.7490999999999999</v>
      </c>
      <c r="W1167" s="17">
        <f t="shared" si="18"/>
        <v>-1.5446483261871702E-3</v>
      </c>
    </row>
    <row r="1168" spans="1:23" x14ac:dyDescent="0.2">
      <c r="A1168" s="14">
        <v>43249</v>
      </c>
      <c r="B1168" s="3">
        <v>947679575669139</v>
      </c>
      <c r="C1168" s="3">
        <f>[1]!nefin_factors__1[[#This Row],[Rm_minus_Rf]]/B1167-1</f>
        <v>-3.1234171757176941</v>
      </c>
      <c r="D1168" s="3">
        <v>-542237308481021</v>
      </c>
      <c r="E1168" s="3">
        <f>[1]!nefin_factors__1[[#This Row],[SMB]]/D1167-1</f>
        <v>2.1895716006809565</v>
      </c>
      <c r="F1168" s="3">
        <v>100093509033726</v>
      </c>
      <c r="G1168" s="3">
        <f>[1]!nefin_factors__1[[#This Row],[HML]]/F1167-1</f>
        <v>-1.462273199920904</v>
      </c>
      <c r="H1168" s="3">
        <v>247321475997264</v>
      </c>
      <c r="I1168" s="4">
        <f>[1]!nefin_factors__1[[#This Row],[Risk_Free]]/H1167-1</f>
        <v>1.5102773093866873E-3</v>
      </c>
      <c r="J1168">
        <v>78614</v>
      </c>
      <c r="K1168">
        <v>78618</v>
      </c>
      <c r="L1168">
        <v>76829</v>
      </c>
      <c r="M1168">
        <v>77078</v>
      </c>
      <c r="N1168">
        <v>4386400</v>
      </c>
      <c r="O1168">
        <v>77078</v>
      </c>
      <c r="P1168">
        <v>-1.9388819622910398E-2</v>
      </c>
      <c r="Q1168">
        <v>-1.9579248262502499E-2</v>
      </c>
      <c r="R1168" s="8">
        <v>37.616012573242202</v>
      </c>
      <c r="S1168" s="8">
        <v>5.2863097958037999E-3</v>
      </c>
      <c r="T1168" s="9">
        <v>5.2723863078667802E-3</v>
      </c>
      <c r="U1168" s="12">
        <v>2.462E-2</v>
      </c>
      <c r="V1168" s="16">
        <v>3.7645</v>
      </c>
      <c r="W1168" s="17">
        <f t="shared" si="18"/>
        <v>4.1076525032675004E-3</v>
      </c>
    </row>
    <row r="1169" spans="1:23" x14ac:dyDescent="0.2">
      <c r="A1169" s="15">
        <v>43250</v>
      </c>
      <c r="B1169" s="5">
        <v>831885268664241</v>
      </c>
      <c r="C1169" s="5">
        <f>[1]!nefin_factors__1[[#This Row],[Rm_minus_Rf]]/B1168-1</f>
        <v>-0.12218719277888601</v>
      </c>
      <c r="D1169" s="5">
        <v>811353509525923</v>
      </c>
      <c r="E1169" s="5">
        <f>[1]!nefin_factors__1[[#This Row],[SMB]]/D1168-1</f>
        <v>-2.4963070538225818</v>
      </c>
      <c r="F1169" s="5">
        <v>433965557358954</v>
      </c>
      <c r="G1169" s="5">
        <f>[1]!nefin_factors__1[[#This Row],[HML]]/F1168-1</f>
        <v>3.3356013946192205</v>
      </c>
      <c r="H1169" s="5">
        <v>247321475997264</v>
      </c>
      <c r="I1169" s="6">
        <f>[1]!nefin_factors__1[[#This Row],[Risk_Free]]/H1168-1</f>
        <v>0</v>
      </c>
      <c r="J1169">
        <v>77085</v>
      </c>
      <c r="K1169">
        <v>77704</v>
      </c>
      <c r="L1169">
        <v>76381</v>
      </c>
      <c r="M1169">
        <v>76819</v>
      </c>
      <c r="N1169">
        <v>3285400</v>
      </c>
      <c r="O1169">
        <v>76819</v>
      </c>
      <c r="P1169">
        <v>-3.3602324917615398E-3</v>
      </c>
      <c r="Q1169">
        <v>-3.3658907518963098E-3</v>
      </c>
      <c r="R1169" s="8">
        <v>36.684677124023402</v>
      </c>
      <c r="S1169" s="8">
        <v>-2.47589633838977E-2</v>
      </c>
      <c r="T1169" s="9">
        <v>-2.5070621495231302E-2</v>
      </c>
      <c r="U1169" s="12">
        <v>2.462E-2</v>
      </c>
      <c r="V1169" s="16">
        <v>3.7201</v>
      </c>
      <c r="W1169" s="17">
        <f t="shared" si="18"/>
        <v>-1.1794395005976899E-2</v>
      </c>
    </row>
    <row r="1170" spans="1:23" x14ac:dyDescent="0.2">
      <c r="A1170" s="14">
        <v>43252</v>
      </c>
      <c r="B1170" s="3">
        <v>34568901542845</v>
      </c>
      <c r="C1170" s="3">
        <f>[1]!nefin_factors__1[[#This Row],[Rm_minus_Rf]]/B1169-1</f>
        <v>-0.95844510914545666</v>
      </c>
      <c r="D1170" s="3">
        <v>-614488198151668</v>
      </c>
      <c r="E1170" s="3">
        <f>[1]!nefin_factors__1[[#This Row],[SMB]]/D1169-1</f>
        <v>-1.7573618539108997</v>
      </c>
      <c r="F1170" s="3">
        <v>-884063225506134</v>
      </c>
      <c r="G1170" s="3">
        <f>[1]!nefin_factors__1[[#This Row],[HML]]/F1169-1</f>
        <v>-3.0371737123250138</v>
      </c>
      <c r="H1170" s="3">
        <v>247321475997264</v>
      </c>
      <c r="I1170" s="4">
        <f>[1]!nefin_factors__1[[#This Row],[Risk_Free]]/H1169-1</f>
        <v>0</v>
      </c>
      <c r="J1170">
        <v>76817</v>
      </c>
      <c r="K1170">
        <v>76817</v>
      </c>
      <c r="L1170">
        <v>75633</v>
      </c>
      <c r="M1170">
        <v>76029</v>
      </c>
      <c r="N1170">
        <v>3742300</v>
      </c>
      <c r="O1170">
        <v>76029</v>
      </c>
      <c r="P1170">
        <v>-1.02839141358257E-2</v>
      </c>
      <c r="Q1170">
        <v>-1.03371589386897E-2</v>
      </c>
      <c r="R1170" s="8">
        <v>36.437423706054702</v>
      </c>
      <c r="S1170" s="8">
        <v>-6.73990957798509E-3</v>
      </c>
      <c r="T1170" s="9">
        <v>-6.7627253437982397E-3</v>
      </c>
      <c r="U1170" s="12">
        <v>2.462E-2</v>
      </c>
      <c r="V1170" s="16">
        <v>3.7214</v>
      </c>
      <c r="W1170" s="17">
        <f t="shared" si="18"/>
        <v>3.4945297169430845E-4</v>
      </c>
    </row>
    <row r="1171" spans="1:23" x14ac:dyDescent="0.2">
      <c r="A1171" s="15">
        <v>43255</v>
      </c>
      <c r="B1171" s="5">
        <v>181232679451096</v>
      </c>
      <c r="C1171" s="5">
        <f>[1]!nefin_factors__1[[#This Row],[Rm_minus_Rf]]/B1170-1</f>
        <v>4.2426508035401307</v>
      </c>
      <c r="D1171" s="5">
        <v>601769563065636</v>
      </c>
      <c r="E1171" s="5">
        <f>[1]!nefin_factors__1[[#This Row],[SMB]]/D1170-1</f>
        <v>-1.979302067762589</v>
      </c>
      <c r="F1171" s="5">
        <v>302733393776941</v>
      </c>
      <c r="G1171" s="5">
        <f>[1]!nefin_factors__1[[#This Row],[HML]]/F1170-1</f>
        <v>-1.3424340986512853</v>
      </c>
      <c r="H1171" s="5">
        <v>247321475997264</v>
      </c>
      <c r="I1171" s="6">
        <f>[1]!nefin_factors__1[[#This Row],[Risk_Free]]/H1170-1</f>
        <v>0</v>
      </c>
      <c r="J1171">
        <v>76029</v>
      </c>
      <c r="K1171">
        <v>76497</v>
      </c>
      <c r="L1171">
        <v>75608</v>
      </c>
      <c r="M1171">
        <v>76328</v>
      </c>
      <c r="N1171">
        <v>3578100</v>
      </c>
      <c r="O1171">
        <v>76328</v>
      </c>
      <c r="P1171">
        <v>3.9327098870167703E-3</v>
      </c>
      <c r="Q1171">
        <v>3.9249969985774898E-3</v>
      </c>
      <c r="R1171" s="8">
        <v>36.404453277587898</v>
      </c>
      <c r="S1171" s="8">
        <v>-9.0483778220784605E-4</v>
      </c>
      <c r="T1171" s="9">
        <v>-9.0524739502130796E-4</v>
      </c>
      <c r="U1171" s="12">
        <v>2.462E-2</v>
      </c>
      <c r="V1171" s="16">
        <v>3.7118000000000002</v>
      </c>
      <c r="W1171" s="17">
        <f t="shared" si="18"/>
        <v>-2.5796743161174973E-3</v>
      </c>
    </row>
    <row r="1172" spans="1:23" x14ac:dyDescent="0.2">
      <c r="A1172" s="14">
        <v>43256</v>
      </c>
      <c r="B1172" s="3">
        <v>-255499681250216</v>
      </c>
      <c r="C1172" s="3">
        <f>[1]!nefin_factors__1[[#This Row],[Rm_minus_Rf]]/B1171-1</f>
        <v>-2.4097881354734385</v>
      </c>
      <c r="D1172" s="3">
        <v>21566455773294</v>
      </c>
      <c r="E1172" s="3">
        <f>[1]!nefin_factors__1[[#This Row],[SMB]]/D1171-1</f>
        <v>-0.96416160421370178</v>
      </c>
      <c r="F1172" s="3">
        <v>397078718082142</v>
      </c>
      <c r="G1172" s="3">
        <f>[1]!nefin_factors__1[[#This Row],[HML]]/F1171-1</f>
        <v>0.31164492006691602</v>
      </c>
      <c r="H1172" s="3">
        <v>2480672927756</v>
      </c>
      <c r="I1172" s="4">
        <f>[1]!nefin_factors__1[[#This Row],[Risk_Free]]/H1171-1</f>
        <v>-0.98996984423712786</v>
      </c>
      <c r="J1172">
        <v>76327</v>
      </c>
      <c r="K1172">
        <v>76340</v>
      </c>
      <c r="L1172">
        <v>74915</v>
      </c>
      <c r="M1172">
        <v>75180</v>
      </c>
      <c r="N1172">
        <v>4077000</v>
      </c>
      <c r="O1172">
        <v>75180</v>
      </c>
      <c r="P1172">
        <v>-1.50403521643434E-2</v>
      </c>
      <c r="Q1172">
        <v>-1.5154605313512899E-2</v>
      </c>
      <c r="R1172" s="8">
        <v>34.442882537841797</v>
      </c>
      <c r="S1172" s="8">
        <v>-5.3882768244718E-2</v>
      </c>
      <c r="T1172" s="9">
        <v>-5.5388793976781397E-2</v>
      </c>
      <c r="U1172" s="12">
        <v>2.462E-2</v>
      </c>
      <c r="V1172" s="16">
        <v>3.7519</v>
      </c>
      <c r="W1172" s="17">
        <f t="shared" si="18"/>
        <v>1.0803383803006605E-2</v>
      </c>
    </row>
    <row r="1173" spans="1:23" x14ac:dyDescent="0.2">
      <c r="A1173" s="15">
        <v>43257</v>
      </c>
      <c r="B1173" s="5">
        <v>-815958210437702</v>
      </c>
      <c r="C1173" s="5">
        <f>[1]!nefin_factors__1[[#This Row],[Rm_minus_Rf]]/B1172-1</f>
        <v>2.1935781933074807</v>
      </c>
      <c r="D1173" s="5">
        <v>-533604733284096</v>
      </c>
      <c r="E1173" s="5">
        <f>[1]!nefin_factors__1[[#This Row],[SMB]]/D1172-1</f>
        <v>-25.74234704549206</v>
      </c>
      <c r="F1173" s="5">
        <v>490403066600869</v>
      </c>
      <c r="G1173" s="5">
        <f>[1]!nefin_factors__1[[#This Row],[HML]]/F1172-1</f>
        <v>0.23502732397615267</v>
      </c>
      <c r="H1173" s="5">
        <v>248812969997791</v>
      </c>
      <c r="I1173" s="6">
        <f>[1]!nefin_factors__1[[#This Row],[Risk_Free]]/H1172-1</f>
        <v>99.300594735342855</v>
      </c>
      <c r="J1173">
        <v>75171</v>
      </c>
      <c r="K1173">
        <v>76904</v>
      </c>
      <c r="L1173">
        <v>74876</v>
      </c>
      <c r="M1173">
        <v>76902</v>
      </c>
      <c r="N1173">
        <v>3610400</v>
      </c>
      <c r="O1173">
        <v>76902</v>
      </c>
      <c r="P1173">
        <v>2.29050279329608E-2</v>
      </c>
      <c r="Q1173">
        <v>2.2646645839709899E-2</v>
      </c>
      <c r="R1173" s="8">
        <v>34.854976654052699</v>
      </c>
      <c r="S1173" s="8">
        <v>1.1964432842315201E-2</v>
      </c>
      <c r="T1173" s="9">
        <v>1.1893424834927301E-2</v>
      </c>
      <c r="U1173" s="12">
        <v>2.462E-2</v>
      </c>
      <c r="V1173" s="16">
        <v>3.8029999999999999</v>
      </c>
      <c r="W1173" s="17">
        <f t="shared" si="18"/>
        <v>1.3619765985234178E-2</v>
      </c>
    </row>
    <row r="1174" spans="1:23" x14ac:dyDescent="0.2">
      <c r="A1174" s="14">
        <v>43258</v>
      </c>
      <c r="B1174" s="3">
        <v>-290673369717602</v>
      </c>
      <c r="C1174" s="3">
        <f>[1]!nefin_factors__1[[#This Row],[Rm_minus_Rf]]/B1173-1</f>
        <v>-0.64376439136303687</v>
      </c>
      <c r="D1174" s="3">
        <v>-175078603115899</v>
      </c>
      <c r="E1174" s="3">
        <f>[1]!nefin_factors__1[[#This Row],[SMB]]/D1173-1</f>
        <v>-0.67189458377108213</v>
      </c>
      <c r="F1174" s="3">
        <v>-987469668119318</v>
      </c>
      <c r="G1174" s="3">
        <f>[1]!nefin_factors__1[[#This Row],[HML]]/F1173-1</f>
        <v>-3.0135878736725017</v>
      </c>
      <c r="H1174" s="3">
        <v>256262078126124</v>
      </c>
      <c r="I1174" s="4">
        <f>[1]!nefin_factors__1[[#This Row],[Risk_Free]]/H1173-1</f>
        <v>2.9938584505458499E-2</v>
      </c>
      <c r="J1174">
        <v>76898</v>
      </c>
      <c r="K1174">
        <v>77232</v>
      </c>
      <c r="L1174">
        <v>75466</v>
      </c>
      <c r="M1174">
        <v>75634</v>
      </c>
      <c r="N1174">
        <v>3866700</v>
      </c>
      <c r="O1174">
        <v>75634</v>
      </c>
      <c r="P1174">
        <v>-1.6488517853891899E-2</v>
      </c>
      <c r="Q1174">
        <v>-1.6625966441195301E-2</v>
      </c>
      <c r="R1174" s="8">
        <v>33.313743591308601</v>
      </c>
      <c r="S1174" s="8">
        <v>-4.42182882084379E-2</v>
      </c>
      <c r="T1174" s="9">
        <v>-4.5225726949193197E-2</v>
      </c>
      <c r="U1174" s="12">
        <v>2.462E-2</v>
      </c>
      <c r="V1174" s="16">
        <v>3.8472</v>
      </c>
      <c r="W1174" s="17">
        <f t="shared" si="18"/>
        <v>1.1622403365763923E-2</v>
      </c>
    </row>
    <row r="1175" spans="1:23" x14ac:dyDescent="0.2">
      <c r="A1175" s="15">
        <v>43259</v>
      </c>
      <c r="B1175" s="5">
        <v>-107516204683283</v>
      </c>
      <c r="C1175" s="5">
        <f>[1]!nefin_factors__1[[#This Row],[Rm_minus_Rf]]/B1174-1</f>
        <v>-0.63011333034141292</v>
      </c>
      <c r="D1175" s="5">
        <v>736021098539648</v>
      </c>
      <c r="E1175" s="5">
        <f>[1]!nefin_factors__1[[#This Row],[SMB]]/D1174-1</f>
        <v>-5.2039466013583331</v>
      </c>
      <c r="F1175" s="5">
        <v>-149591135501695</v>
      </c>
      <c r="G1175" s="5">
        <f>[1]!nefin_factors__1[[#This Row],[HML]]/F1174-1</f>
        <v>-0.84851065270025128</v>
      </c>
      <c r="H1175" s="5">
        <v>251794284370499</v>
      </c>
      <c r="I1175" s="6">
        <f>[1]!nefin_factors__1[[#This Row],[Risk_Free]]/H1174-1</f>
        <v>-1.7434470945896674E-2</v>
      </c>
      <c r="J1175">
        <v>75647</v>
      </c>
      <c r="K1175">
        <v>76629</v>
      </c>
      <c r="L1175">
        <v>75647</v>
      </c>
      <c r="M1175">
        <v>76262</v>
      </c>
      <c r="N1175">
        <v>3159900</v>
      </c>
      <c r="O1175">
        <v>76262</v>
      </c>
      <c r="P1175">
        <v>8.3031440886374205E-3</v>
      </c>
      <c r="Q1175">
        <v>8.2688626196860595E-3</v>
      </c>
      <c r="R1175" s="8">
        <v>34.764316558837898</v>
      </c>
      <c r="S1175" s="8">
        <v>4.3542790043400698E-2</v>
      </c>
      <c r="T1175" s="9">
        <v>4.2621452965012602E-2</v>
      </c>
      <c r="U1175" s="12">
        <v>2.462E-2</v>
      </c>
      <c r="V1175" s="16">
        <v>3.8988</v>
      </c>
      <c r="W1175" s="17">
        <f t="shared" si="18"/>
        <v>1.3412351840299541E-2</v>
      </c>
    </row>
    <row r="1176" spans="1:23" x14ac:dyDescent="0.2">
      <c r="A1176" s="14">
        <v>43262</v>
      </c>
      <c r="B1176" s="3">
        <v>-830450502841655</v>
      </c>
      <c r="C1176" s="3">
        <f>[1]!nefin_factors__1[[#This Row],[Rm_minus_Rf]]/B1175-1</f>
        <v>6.7239566378664817</v>
      </c>
      <c r="D1176" s="3">
        <v>373290063943282</v>
      </c>
      <c r="E1176" s="3">
        <f>[1]!nefin_factors__1[[#This Row],[SMB]]/D1175-1</f>
        <v>-0.49282695199372251</v>
      </c>
      <c r="F1176" s="3">
        <v>411522541122082</v>
      </c>
      <c r="G1176" s="3">
        <f>[1]!nefin_factors__1[[#This Row],[HML]]/F1175-1</f>
        <v>-3.7509821336801008</v>
      </c>
      <c r="H1176" s="3">
        <v>251421742025526</v>
      </c>
      <c r="I1176" s="4">
        <f>[1]!nefin_factors__1[[#This Row],[Risk_Free]]/H1175-1</f>
        <v>-1.4795504429513384E-3</v>
      </c>
      <c r="J1176">
        <v>76264</v>
      </c>
      <c r="K1176">
        <v>78008</v>
      </c>
      <c r="L1176">
        <v>76264</v>
      </c>
      <c r="M1176">
        <v>77930</v>
      </c>
      <c r="N1176">
        <v>2750600</v>
      </c>
      <c r="O1176">
        <v>77930</v>
      </c>
      <c r="P1176">
        <v>2.1871967690330701E-2</v>
      </c>
      <c r="Q1176">
        <v>2.1636207701236899E-2</v>
      </c>
      <c r="R1176" s="8">
        <v>35.893455505371101</v>
      </c>
      <c r="S1176" s="8">
        <v>3.2479675150771402E-2</v>
      </c>
      <c r="T1176" s="9">
        <v>3.1963360575298402E-2</v>
      </c>
      <c r="U1176" s="12">
        <v>2.462E-2</v>
      </c>
      <c r="V1176" s="16">
        <v>3.8812000000000002</v>
      </c>
      <c r="W1176" s="17">
        <f t="shared" si="18"/>
        <v>-4.5142095003590788E-3</v>
      </c>
    </row>
    <row r="1177" spans="1:23" x14ac:dyDescent="0.2">
      <c r="A1177" s="15">
        <v>43263</v>
      </c>
      <c r="B1177" s="5">
        <v>415690028852173</v>
      </c>
      <c r="C1177" s="5">
        <f>[1]!nefin_factors__1[[#This Row],[Rm_minus_Rf]]/B1176-1</f>
        <v>-1.5005596690347649</v>
      </c>
      <c r="D1177" s="5">
        <v>116083700622906</v>
      </c>
      <c r="E1177" s="5">
        <f>[1]!nefin_factors__1[[#This Row],[SMB]]/D1176-1</f>
        <v>-0.68902547419385951</v>
      </c>
      <c r="F1177" s="5">
        <v>800233381421924</v>
      </c>
      <c r="G1177" s="5">
        <f>[1]!nefin_factors__1[[#This Row],[HML]]/F1176-1</f>
        <v>0.94456755452559116</v>
      </c>
      <c r="H1177" s="5">
        <v>251421742025526</v>
      </c>
      <c r="I1177" s="6">
        <f>[1]!nefin_factors__1[[#This Row],[Risk_Free]]/H1176-1</f>
        <v>0</v>
      </c>
      <c r="J1177">
        <v>77928</v>
      </c>
      <c r="K1177">
        <v>78038</v>
      </c>
      <c r="L1177">
        <v>77149</v>
      </c>
      <c r="M1177">
        <v>77473</v>
      </c>
      <c r="N1177">
        <v>2964800</v>
      </c>
      <c r="O1177">
        <v>77473</v>
      </c>
      <c r="P1177">
        <v>-5.8642371358912397E-3</v>
      </c>
      <c r="Q1177">
        <v>-5.8814992938257798E-3</v>
      </c>
      <c r="R1177" s="8">
        <v>34.797283172607401</v>
      </c>
      <c r="S1177" s="8">
        <v>-3.0539489087207699E-2</v>
      </c>
      <c r="T1177" s="9">
        <v>-3.1015536523723901E-2</v>
      </c>
      <c r="U1177" s="12">
        <v>2.462E-2</v>
      </c>
      <c r="V1177" s="16">
        <v>3.9134000000000002</v>
      </c>
      <c r="W1177" s="17">
        <f t="shared" si="18"/>
        <v>8.2964031742760458E-3</v>
      </c>
    </row>
    <row r="1178" spans="1:23" x14ac:dyDescent="0.2">
      <c r="A1178" s="14">
        <v>43264</v>
      </c>
      <c r="B1178" s="3">
        <v>-763641369816573</v>
      </c>
      <c r="C1178" s="3">
        <f>[1]!nefin_factors__1[[#This Row],[Rm_minus_Rf]]/B1177-1</f>
        <v>-2.8370451942885979</v>
      </c>
      <c r="D1178" s="3">
        <v>904053800600991</v>
      </c>
      <c r="E1178" s="3">
        <f>[1]!nefin_factors__1[[#This Row],[SMB]]/D1177-1</f>
        <v>6.7879477975790881</v>
      </c>
      <c r="F1178" s="3">
        <v>133832400491689</v>
      </c>
      <c r="G1178" s="3">
        <f>[1]!nefin_factors__1[[#This Row],[HML]]/F1177-1</f>
        <v>-0.83275828827099918</v>
      </c>
      <c r="H1178" s="3">
        <v>252166791891995</v>
      </c>
      <c r="I1178" s="4">
        <f>[1]!nefin_factors__1[[#This Row],[Risk_Free]]/H1177-1</f>
        <v>2.9633470059775568E-3</v>
      </c>
      <c r="J1178">
        <v>77472</v>
      </c>
      <c r="K1178">
        <v>78783</v>
      </c>
      <c r="L1178">
        <v>77399</v>
      </c>
      <c r="M1178">
        <v>78389</v>
      </c>
      <c r="N1178">
        <v>3127600</v>
      </c>
      <c r="O1178">
        <v>78389</v>
      </c>
      <c r="P1178">
        <v>1.1823473984484901E-2</v>
      </c>
      <c r="Q1178">
        <v>1.17541228284446E-2</v>
      </c>
      <c r="R1178" s="8">
        <v>35.811038970947301</v>
      </c>
      <c r="S1178" s="8">
        <v>2.9133036415542699E-2</v>
      </c>
      <c r="T1178" s="9">
        <v>2.87167355849916E-2</v>
      </c>
      <c r="U1178" s="12">
        <v>2.462E-2</v>
      </c>
      <c r="V1178" s="16">
        <v>3.8809999999999998</v>
      </c>
      <c r="W1178" s="17">
        <f t="shared" si="18"/>
        <v>-8.2792456687280636E-3</v>
      </c>
    </row>
    <row r="1179" spans="1:23" x14ac:dyDescent="0.2">
      <c r="A1179" s="15">
        <v>43265</v>
      </c>
      <c r="B1179" s="5">
        <v>-711648208933066</v>
      </c>
      <c r="C1179" s="5">
        <f>[1]!nefin_factors__1[[#This Row],[Rm_minus_Rf]]/B1178-1</f>
        <v>-6.8085835758211699E-2</v>
      </c>
      <c r="D1179" s="5">
        <v>520214661025147</v>
      </c>
      <c r="E1179" s="5">
        <f>[1]!nefin_factors__1[[#This Row],[SMB]]/D1178-1</f>
        <v>-0.42457554995142754</v>
      </c>
      <c r="F1179" s="5">
        <v>-953626248049455</v>
      </c>
      <c r="G1179" s="5">
        <f>[1]!nefin_factors__1[[#This Row],[HML]]/F1178-1</f>
        <v>-8.1255259903126031</v>
      </c>
      <c r="H1179" s="5">
        <v>258122181525877</v>
      </c>
      <c r="I1179" s="6">
        <f>[1]!nefin_factors__1[[#This Row],[Risk_Free]]/H1178-1</f>
        <v>2.3616867190160207E-2</v>
      </c>
      <c r="J1179">
        <v>78389</v>
      </c>
      <c r="K1179">
        <v>78389</v>
      </c>
      <c r="L1179">
        <v>76372</v>
      </c>
      <c r="M1179">
        <v>76404</v>
      </c>
      <c r="N1179">
        <v>3546800</v>
      </c>
      <c r="O1179">
        <v>76404</v>
      </c>
      <c r="P1179">
        <v>-2.5322430443046801E-2</v>
      </c>
      <c r="Q1179">
        <v>-2.5648560567199798E-2</v>
      </c>
      <c r="R1179" s="8">
        <v>34.269802093505902</v>
      </c>
      <c r="S1179" s="8">
        <v>-4.3037881660214203E-2</v>
      </c>
      <c r="T1179" s="9">
        <v>-4.39914720746198E-2</v>
      </c>
      <c r="U1179" s="12">
        <v>2.462E-2</v>
      </c>
      <c r="V1179" s="16">
        <v>3.9388999999999998</v>
      </c>
      <c r="W1179" s="17">
        <f t="shared" si="18"/>
        <v>1.4918835351713566E-2</v>
      </c>
    </row>
    <row r="1180" spans="1:23" x14ac:dyDescent="0.2">
      <c r="A1180" s="14">
        <v>43266</v>
      </c>
      <c r="B1180" s="3">
        <v>-867458461116356</v>
      </c>
      <c r="C1180" s="3">
        <f>[1]!nefin_factors__1[[#This Row],[Rm_minus_Rf]]/B1179-1</f>
        <v>0.21894280098995478</v>
      </c>
      <c r="D1180" s="3">
        <v>-609025348220216</v>
      </c>
      <c r="E1180" s="3">
        <f>[1]!nefin_factors__1[[#This Row],[SMB]]/D1179-1</f>
        <v>-2.1707193084871093</v>
      </c>
      <c r="F1180" s="3">
        <v>-634431512674746</v>
      </c>
      <c r="G1180" s="3">
        <f>[1]!nefin_factors__1[[#This Row],[HML]]/F1179-1</f>
        <v>-0.33471680968051076</v>
      </c>
      <c r="H1180" s="3">
        <v>251421742025526</v>
      </c>
      <c r="I1180" s="4">
        <f>[1]!nefin_factors__1[[#This Row],[Risk_Free]]/H1179-1</f>
        <v>-2.5958402570215644E-2</v>
      </c>
      <c r="J1180">
        <v>76386</v>
      </c>
      <c r="K1180">
        <v>77202</v>
      </c>
      <c r="L1180">
        <v>76026</v>
      </c>
      <c r="M1180">
        <v>76678</v>
      </c>
      <c r="N1180">
        <v>4145600</v>
      </c>
      <c r="O1180">
        <v>76678</v>
      </c>
      <c r="P1180">
        <v>3.5861996754096301E-3</v>
      </c>
      <c r="Q1180">
        <v>3.5797845939542598E-3</v>
      </c>
      <c r="R1180" s="8">
        <v>35.069267272949197</v>
      </c>
      <c r="S1180" s="8">
        <v>2.33284482273339E-2</v>
      </c>
      <c r="T1180" s="9">
        <v>2.30604992003842E-2</v>
      </c>
      <c r="U1180" s="12">
        <v>2.462E-2</v>
      </c>
      <c r="V1180" s="16">
        <v>3.9430000000000001</v>
      </c>
      <c r="W1180" s="17">
        <f t="shared" si="18"/>
        <v>1.0408997435833456E-3</v>
      </c>
    </row>
    <row r="1181" spans="1:23" x14ac:dyDescent="0.2">
      <c r="A1181" s="15">
        <v>43269</v>
      </c>
      <c r="B1181" s="5">
        <v>-131441817594268</v>
      </c>
      <c r="C1181" s="5">
        <f>[1]!nefin_factors__1[[#This Row],[Rm_minus_Rf]]/B1180-1</f>
        <v>-0.84847479909860823</v>
      </c>
      <c r="D1181" s="5">
        <v>-411394942539151</v>
      </c>
      <c r="E1181" s="5">
        <f>[1]!nefin_factors__1[[#This Row],[SMB]]/D1180-1</f>
        <v>-0.32450275880734658</v>
      </c>
      <c r="F1181" s="5">
        <v>162961858756064</v>
      </c>
      <c r="G1181" s="5">
        <f>[1]!nefin_factors__1[[#This Row],[HML]]/F1180-1</f>
        <v>-1.256862806308314</v>
      </c>
      <c r="H1181" s="5">
        <v>249185756291626</v>
      </c>
      <c r="I1181" s="6">
        <f>[1]!nefin_factors__1[[#This Row],[Risk_Free]]/H1180-1</f>
        <v>-8.8933666431799674E-3</v>
      </c>
      <c r="J1181">
        <v>76675</v>
      </c>
      <c r="K1181">
        <v>76675</v>
      </c>
      <c r="L1181">
        <v>75729</v>
      </c>
      <c r="M1181">
        <v>76193</v>
      </c>
      <c r="N1181">
        <v>1673300</v>
      </c>
      <c r="O1181">
        <v>76193</v>
      </c>
      <c r="P1181">
        <v>-6.3251519340619096E-3</v>
      </c>
      <c r="Q1181">
        <v>-6.3452404610139599E-3</v>
      </c>
      <c r="R1181" s="8">
        <v>34.039028167724602</v>
      </c>
      <c r="S1181" s="8">
        <v>-2.9377163361259E-2</v>
      </c>
      <c r="T1181" s="9">
        <v>-2.9817313914904602E-2</v>
      </c>
      <c r="U1181" s="12">
        <v>2.462E-2</v>
      </c>
      <c r="V1181" s="16">
        <v>3.9872999999999998</v>
      </c>
      <c r="W1181" s="17">
        <f t="shared" si="18"/>
        <v>1.1235100177529711E-2</v>
      </c>
    </row>
    <row r="1182" spans="1:23" x14ac:dyDescent="0.2">
      <c r="A1182" s="14">
        <v>43270</v>
      </c>
      <c r="B1182" s="3">
        <v>218774791176403</v>
      </c>
      <c r="C1182" s="3">
        <f>[1]!nefin_factors__1[[#This Row],[Rm_minus_Rf]]/B1181-1</f>
        <v>-2.6644230518153114</v>
      </c>
      <c r="D1182" s="3">
        <v>-965622926708614</v>
      </c>
      <c r="E1182" s="3">
        <f>[1]!nefin_factors__1[[#This Row],[SMB]]/D1181-1</f>
        <v>1.347192021245422</v>
      </c>
      <c r="F1182" s="3">
        <v>974656018524801</v>
      </c>
      <c r="G1182" s="3">
        <f>[1]!nefin_factors__1[[#This Row],[HML]]/F1181-1</f>
        <v>4.9808842754043079</v>
      </c>
      <c r="H1182" s="3">
        <v>2480672927756</v>
      </c>
      <c r="I1182" s="4">
        <f>[1]!nefin_factors__1[[#This Row],[Risk_Free]]/H1181-1</f>
        <v>-0.99004488472907404</v>
      </c>
      <c r="J1182">
        <v>76192</v>
      </c>
      <c r="K1182">
        <v>76192</v>
      </c>
      <c r="L1182">
        <v>74605</v>
      </c>
      <c r="M1182">
        <v>74712</v>
      </c>
      <c r="N1182">
        <v>3162300</v>
      </c>
      <c r="O1182">
        <v>74712</v>
      </c>
      <c r="P1182">
        <v>-1.94374811334375E-2</v>
      </c>
      <c r="Q1182">
        <v>-1.9628873148412201E-2</v>
      </c>
      <c r="R1182" s="8">
        <v>32.398891448974602</v>
      </c>
      <c r="S1182" s="8">
        <v>-4.81840139311333E-2</v>
      </c>
      <c r="T1182" s="9">
        <v>-4.9383554818534903E-2</v>
      </c>
      <c r="U1182" s="12">
        <v>2.462E-2</v>
      </c>
      <c r="V1182" s="16">
        <v>4.0739999999999998</v>
      </c>
      <c r="W1182" s="17">
        <f t="shared" si="18"/>
        <v>2.1744037318486287E-2</v>
      </c>
    </row>
    <row r="1183" spans="1:23" x14ac:dyDescent="0.2">
      <c r="A1183" s="15">
        <v>43271</v>
      </c>
      <c r="B1183" s="5">
        <v>102621891292514</v>
      </c>
      <c r="C1183" s="5">
        <f>[1]!nefin_factors__1[[#This Row],[Rm_minus_Rf]]/B1182-1</f>
        <v>-0.53092451492837822</v>
      </c>
      <c r="D1183" s="5">
        <v>-240410173480815</v>
      </c>
      <c r="E1183" s="5">
        <f>[1]!nefin_factors__1[[#This Row],[SMB]]/D1182-1</f>
        <v>-0.75103100099303965</v>
      </c>
      <c r="F1183" s="5">
        <v>144833859463754</v>
      </c>
      <c r="G1183" s="5">
        <f>[1]!nefin_factors__1[[#This Row],[HML]]/F1182-1</f>
        <v>-0.85140002553622096</v>
      </c>
      <c r="H1183" s="5">
        <v>2480672927756</v>
      </c>
      <c r="I1183" s="6">
        <f>[1]!nefin_factors__1[[#This Row],[Risk_Free]]/H1182-1</f>
        <v>0</v>
      </c>
      <c r="J1183">
        <v>74712</v>
      </c>
      <c r="K1183">
        <v>75370</v>
      </c>
      <c r="L1183">
        <v>74276</v>
      </c>
      <c r="M1183">
        <v>75092</v>
      </c>
      <c r="N1183">
        <v>2830400</v>
      </c>
      <c r="O1183">
        <v>75092</v>
      </c>
      <c r="P1183">
        <v>5.0861976657030602E-3</v>
      </c>
      <c r="Q1183">
        <v>5.0733066546990802E-3</v>
      </c>
      <c r="R1183" s="8">
        <v>32.967582702636697</v>
      </c>
      <c r="S1183" s="8">
        <v>1.7552792499518001E-2</v>
      </c>
      <c r="T1183" s="9">
        <v>1.7400521509068699E-2</v>
      </c>
      <c r="U1183" s="12">
        <v>2.462E-2</v>
      </c>
      <c r="V1183" s="16">
        <v>4.0727000000000002</v>
      </c>
      <c r="W1183" s="17">
        <f t="shared" si="18"/>
        <v>-3.1909671084917601E-4</v>
      </c>
    </row>
    <row r="1184" spans="1:23" x14ac:dyDescent="0.2">
      <c r="A1184" s="14">
        <v>43272</v>
      </c>
      <c r="B1184" s="3">
        <v>-279017044445091</v>
      </c>
      <c r="C1184" s="3">
        <f>[1]!nefin_factors__1[[#This Row],[Rm_minus_Rf]]/B1183-1</f>
        <v>-3.7188842549176888</v>
      </c>
      <c r="D1184" s="3">
        <v>45733881465748</v>
      </c>
      <c r="E1184" s="3">
        <f>[1]!nefin_factors__1[[#This Row],[SMB]]/D1183-1</f>
        <v>-1.1902327210349841</v>
      </c>
      <c r="F1184" s="3">
        <v>-752924832010934</v>
      </c>
      <c r="G1184" s="3">
        <f>[1]!nefin_factors__1[[#This Row],[HML]]/F1183-1</f>
        <v>-6.1985415205990577</v>
      </c>
      <c r="H1184" s="3">
        <v>246575519610381</v>
      </c>
      <c r="I1184" s="4">
        <f>[1]!nefin_factors__1[[#This Row],[Risk_Free]]/H1183-1</f>
        <v>98.398641736067788</v>
      </c>
      <c r="J1184">
        <v>75098</v>
      </c>
      <c r="K1184">
        <v>76533</v>
      </c>
      <c r="L1184">
        <v>74986</v>
      </c>
      <c r="M1184">
        <v>76416</v>
      </c>
      <c r="N1184">
        <v>3298500</v>
      </c>
      <c r="O1184">
        <v>76416</v>
      </c>
      <c r="P1184">
        <v>1.76317051084003E-2</v>
      </c>
      <c r="Q1184">
        <v>1.7478069867966399E-2</v>
      </c>
      <c r="R1184" s="8">
        <v>33.841224670410199</v>
      </c>
      <c r="S1184" s="8">
        <v>2.65001434056704E-2</v>
      </c>
      <c r="T1184" s="9">
        <v>2.6155097180368399E-2</v>
      </c>
      <c r="U1184" s="12">
        <v>2.462E-2</v>
      </c>
      <c r="V1184" s="16">
        <v>4.0853999999999999</v>
      </c>
      <c r="W1184" s="17">
        <f t="shared" si="18"/>
        <v>3.1183244530654797E-3</v>
      </c>
    </row>
    <row r="1185" spans="1:23" x14ac:dyDescent="0.2">
      <c r="A1185" s="15">
        <v>43273</v>
      </c>
      <c r="B1185" s="5">
        <v>699730664107829</v>
      </c>
      <c r="C1185" s="5">
        <f>[1]!nefin_factors__1[[#This Row],[Rm_minus_Rf]]/B1184-1</f>
        <v>-3.5078420047759202</v>
      </c>
      <c r="D1185" s="5">
        <v>436005215624024</v>
      </c>
      <c r="E1185" s="5">
        <f>[1]!nefin_factors__1[[#This Row],[SMB]]/D1184-1</f>
        <v>8.5335274778845616</v>
      </c>
      <c r="F1185" s="5">
        <v>195441959002713</v>
      </c>
      <c r="G1185" s="5">
        <f>[1]!nefin_factors__1[[#This Row],[HML]]/F1184-1</f>
        <v>-1.2595769865641446</v>
      </c>
      <c r="H1185" s="5">
        <v>246575519610381</v>
      </c>
      <c r="I1185" s="6">
        <f>[1]!nefin_factors__1[[#This Row],[Risk_Free]]/H1184-1</f>
        <v>0</v>
      </c>
      <c r="J1185">
        <v>76416</v>
      </c>
      <c r="K1185">
        <v>77293</v>
      </c>
      <c r="L1185">
        <v>76115</v>
      </c>
      <c r="M1185">
        <v>76436</v>
      </c>
      <c r="N1185">
        <v>3105200</v>
      </c>
      <c r="O1185">
        <v>76436</v>
      </c>
      <c r="P1185">
        <v>2.6172529313228698E-4</v>
      </c>
      <c r="Q1185">
        <v>2.6169104904265301E-4</v>
      </c>
      <c r="R1185" s="8">
        <v>33.082969665527301</v>
      </c>
      <c r="S1185" s="8">
        <v>-2.2406355064378301E-2</v>
      </c>
      <c r="T1185" s="9">
        <v>-2.2661191265536999E-2</v>
      </c>
      <c r="U1185" s="12">
        <v>2.462E-2</v>
      </c>
      <c r="V1185" s="16">
        <v>4.0686999999999998</v>
      </c>
      <c r="W1185" s="17">
        <f t="shared" si="18"/>
        <v>-4.0877270279532363E-3</v>
      </c>
    </row>
    <row r="1186" spans="1:23" x14ac:dyDescent="0.2">
      <c r="A1186" s="14">
        <v>43276</v>
      </c>
      <c r="B1186" s="3">
        <v>527668453575057</v>
      </c>
      <c r="C1186" s="3">
        <f>[1]!nefin_factors__1[[#This Row],[Rm_minus_Rf]]/B1185-1</f>
        <v>-0.24589777089754217</v>
      </c>
      <c r="D1186" s="3">
        <v>-114897584265139</v>
      </c>
      <c r="E1186" s="3">
        <f>[1]!nefin_factors__1[[#This Row],[SMB]]/D1185-1</f>
        <v>-1.2635234170322804</v>
      </c>
      <c r="F1186" s="3">
        <v>-7815133226.0495396</v>
      </c>
      <c r="G1186" s="3">
        <f>[1]!nefin_factors__1[[#This Row],[HML]]/F1185-1</f>
        <v>-1.0000399869775454</v>
      </c>
      <c r="H1186" s="3">
        <v>246575519610381</v>
      </c>
      <c r="I1186" s="4">
        <f>[1]!nefin_factors__1[[#This Row],[Risk_Free]]/H1185-1</f>
        <v>0</v>
      </c>
      <c r="J1186">
        <v>76437</v>
      </c>
      <c r="K1186">
        <v>76437</v>
      </c>
      <c r="L1186">
        <v>74275</v>
      </c>
      <c r="M1186">
        <v>74657</v>
      </c>
      <c r="N1186">
        <v>0</v>
      </c>
      <c r="O1186">
        <v>74657</v>
      </c>
      <c r="P1186">
        <v>-2.3274373331937801E-2</v>
      </c>
      <c r="Q1186">
        <v>-2.3549498859132999E-2</v>
      </c>
      <c r="R1186" s="8">
        <v>31.8631687164307</v>
      </c>
      <c r="S1186" s="8">
        <v>-3.6870967950097998E-2</v>
      </c>
      <c r="T1186" s="9">
        <v>-3.7567886492222001E-2</v>
      </c>
      <c r="U1186" s="12">
        <v>2.462E-2</v>
      </c>
      <c r="V1186" s="16">
        <v>4.1192000000000002</v>
      </c>
      <c r="W1186" s="17">
        <f t="shared" si="18"/>
        <v>1.241182687344855E-2</v>
      </c>
    </row>
    <row r="1187" spans="1:23" x14ac:dyDescent="0.2">
      <c r="A1187" s="15">
        <v>43277</v>
      </c>
      <c r="B1187" s="5">
        <v>46654120306889</v>
      </c>
      <c r="C1187" s="5">
        <f>[1]!nefin_factors__1[[#This Row],[Rm_minus_Rf]]/B1186-1</f>
        <v>-0.91158440495959492</v>
      </c>
      <c r="D1187" s="5">
        <v>-290524715863727</v>
      </c>
      <c r="E1187" s="5">
        <f>[1]!nefin_factors__1[[#This Row],[SMB]]/D1186-1</f>
        <v>1.5285537352404974</v>
      </c>
      <c r="F1187" s="5">
        <v>-204885263458774</v>
      </c>
      <c r="G1187" s="5">
        <f>[1]!nefin_factors__1[[#This Row],[HML]]/F1186-1</f>
        <v>26215.477382093351</v>
      </c>
      <c r="H1187" s="5">
        <v>246575519610381</v>
      </c>
      <c r="I1187" s="6">
        <f>[1]!nefin_factors__1[[#This Row],[Risk_Free]]/H1186-1</f>
        <v>0</v>
      </c>
      <c r="J1187">
        <v>74680</v>
      </c>
      <c r="K1187">
        <v>75680</v>
      </c>
      <c r="L1187">
        <v>74499</v>
      </c>
      <c r="M1187">
        <v>75125</v>
      </c>
      <c r="N1187">
        <v>3709100</v>
      </c>
      <c r="O1187">
        <v>75125</v>
      </c>
      <c r="P1187">
        <v>6.2686687115742802E-3</v>
      </c>
      <c r="Q1187">
        <v>6.2491023353798102E-3</v>
      </c>
      <c r="R1187" s="8">
        <v>32.810985565185497</v>
      </c>
      <c r="S1187" s="8">
        <v>2.9746458688932401E-2</v>
      </c>
      <c r="T1187" s="9">
        <v>2.93126153273458E-2</v>
      </c>
      <c r="U1187" s="12">
        <v>2.462E-2</v>
      </c>
      <c r="V1187" s="16">
        <v>4.1353</v>
      </c>
      <c r="W1187" s="17">
        <f t="shared" si="18"/>
        <v>3.9085259273645701E-3</v>
      </c>
    </row>
    <row r="1188" spans="1:23" x14ac:dyDescent="0.2">
      <c r="A1188" s="14">
        <v>43278</v>
      </c>
      <c r="B1188" s="3">
        <v>-933839408406632</v>
      </c>
      <c r="C1188" s="3">
        <f>[1]!nefin_factors__1[[#This Row],[Rm_minus_Rf]]/B1187-1</f>
        <v>-21.016225839515833</v>
      </c>
      <c r="D1188" s="3">
        <v>135084769833401</v>
      </c>
      <c r="E1188" s="3">
        <f>[1]!nefin_factors__1[[#This Row],[SMB]]/D1187-1</f>
        <v>-1.4649682538430349</v>
      </c>
      <c r="F1188" s="3">
        <v>997844687874521</v>
      </c>
      <c r="G1188" s="3">
        <f>[1]!nefin_factors__1[[#This Row],[HML]]/F1187-1</f>
        <v>-5.8702609012936762</v>
      </c>
      <c r="H1188" s="3">
        <v>246948515258083</v>
      </c>
      <c r="I1188" s="4">
        <f>[1]!nefin_factors__1[[#This Row],[Risk_Free]]/H1187-1</f>
        <v>1.5127034844797382E-3</v>
      </c>
      <c r="J1188">
        <v>75126</v>
      </c>
      <c r="K1188">
        <v>75407</v>
      </c>
      <c r="L1188">
        <v>74501</v>
      </c>
      <c r="M1188">
        <v>74687</v>
      </c>
      <c r="N1188">
        <v>3062100</v>
      </c>
      <c r="O1188">
        <v>74687</v>
      </c>
      <c r="P1188">
        <v>-5.8302828618967996E-3</v>
      </c>
      <c r="Q1188">
        <v>-5.8473453126199303E-3</v>
      </c>
      <c r="R1188" s="8">
        <v>32.802745819091797</v>
      </c>
      <c r="S1188" s="8">
        <v>-2.5115212933946002E-4</v>
      </c>
      <c r="T1188" s="9">
        <v>-2.5118367331716497E-4</v>
      </c>
      <c r="U1188" s="12">
        <v>2.462E-2</v>
      </c>
      <c r="V1188" s="16">
        <v>4.1811999999999996</v>
      </c>
      <c r="W1188" s="17">
        <f t="shared" si="18"/>
        <v>1.1099557468623678E-2</v>
      </c>
    </row>
    <row r="1189" spans="1:23" x14ac:dyDescent="0.2">
      <c r="A1189" s="15">
        <v>43279</v>
      </c>
      <c r="B1189" s="5">
        <v>137154477793821</v>
      </c>
      <c r="C1189" s="5">
        <f>[1]!nefin_factors__1[[#This Row],[Rm_minus_Rf]]/B1188-1</f>
        <v>-1.1468715890110501</v>
      </c>
      <c r="D1189" s="5">
        <v>-178021450290413</v>
      </c>
      <c r="E1189" s="5">
        <f>[1]!nefin_factors__1[[#This Row],[SMB]]/D1188-1</f>
        <v>-2.3178498990668266</v>
      </c>
      <c r="F1189" s="5">
        <v>-451535772292195</v>
      </c>
      <c r="G1189" s="5">
        <f>[1]!nefin_factors__1[[#This Row],[HML]]/F1188-1</f>
        <v>-1.4525110748988381</v>
      </c>
      <c r="H1189" s="5">
        <v>246948515258083</v>
      </c>
      <c r="I1189" s="6">
        <f>[1]!nefin_factors__1[[#This Row],[Risk_Free]]/H1188-1</f>
        <v>0</v>
      </c>
      <c r="J1189">
        <v>74687</v>
      </c>
      <c r="K1189">
        <v>75705</v>
      </c>
      <c r="L1189">
        <v>74445</v>
      </c>
      <c r="M1189">
        <v>75429</v>
      </c>
      <c r="N1189">
        <v>3231700</v>
      </c>
      <c r="O1189">
        <v>75429</v>
      </c>
      <c r="P1189">
        <v>9.9347945425576293E-3</v>
      </c>
      <c r="Q1189">
        <v>9.8857689102368699E-3</v>
      </c>
      <c r="R1189" s="8">
        <v>32.794502258300803</v>
      </c>
      <c r="S1189" s="8">
        <v>-2.5121522257753897E-4</v>
      </c>
      <c r="T1189" s="9">
        <v>-2.5124678240721698E-4</v>
      </c>
      <c r="U1189" s="12">
        <v>2.462E-2</v>
      </c>
      <c r="V1189" s="16">
        <v>4.1353</v>
      </c>
      <c r="W1189" s="17">
        <f t="shared" si="18"/>
        <v>-1.0977709748397513E-2</v>
      </c>
    </row>
    <row r="1190" spans="1:23" x14ac:dyDescent="0.2">
      <c r="A1190" s="14">
        <v>43280</v>
      </c>
      <c r="B1190" s="3">
        <v>134876060726002</v>
      </c>
      <c r="C1190" s="3">
        <f>[1]!nefin_factors__1[[#This Row],[Rm_minus_Rf]]/B1189-1</f>
        <v>-1.661205018216072E-2</v>
      </c>
      <c r="D1190" s="3">
        <v>-651281782807758</v>
      </c>
      <c r="E1190" s="3">
        <f>[1]!nefin_factors__1[[#This Row],[SMB]]/D1189-1</f>
        <v>2.6584455510574587</v>
      </c>
      <c r="F1190" s="3">
        <v>338548785243001</v>
      </c>
      <c r="G1190" s="3">
        <f>[1]!nefin_factors__1[[#This Row],[HML]]/F1189-1</f>
        <v>-1.7497717922200891</v>
      </c>
      <c r="H1190" s="3">
        <v>246202489047498</v>
      </c>
      <c r="I1190" s="4">
        <f>[1]!nefin_factors__1[[#This Row],[Risk_Free]]/H1189-1</f>
        <v>-3.020978724271095E-3</v>
      </c>
      <c r="J1190">
        <v>75428</v>
      </c>
      <c r="K1190">
        <v>76893</v>
      </c>
      <c r="L1190">
        <v>75227</v>
      </c>
      <c r="M1190">
        <v>76789</v>
      </c>
      <c r="N1190">
        <v>3397600</v>
      </c>
      <c r="O1190">
        <v>76789</v>
      </c>
      <c r="P1190">
        <v>1.80302005859816E-2</v>
      </c>
      <c r="Q1190">
        <v>1.7869584275694701E-2</v>
      </c>
      <c r="R1190" s="8">
        <v>34.525302886962898</v>
      </c>
      <c r="S1190" s="8">
        <v>5.2777093262260398E-2</v>
      </c>
      <c r="T1190" s="9">
        <v>5.1431523432623298E-2</v>
      </c>
      <c r="U1190" s="12">
        <v>2.462E-2</v>
      </c>
      <c r="V1190" s="16">
        <v>4.1279000000000003</v>
      </c>
      <c r="W1190" s="17">
        <f t="shared" si="18"/>
        <v>-1.7894711387322904E-3</v>
      </c>
    </row>
    <row r="1191" spans="1:23" x14ac:dyDescent="0.2">
      <c r="A1191" s="15">
        <v>43283</v>
      </c>
      <c r="B1191" s="5">
        <v>8949442151</v>
      </c>
      <c r="C1191" s="5">
        <f>[1]!nefin_factors__1[[#This Row],[Rm_minus_Rf]]/B1190-1</f>
        <v>-0.99993364691923214</v>
      </c>
      <c r="D1191" s="5">
        <v>543873979721007</v>
      </c>
      <c r="E1191" s="5">
        <f>[1]!nefin_factors__1[[#This Row],[SMB]]/D1190-1</f>
        <v>-1.8350824390884966</v>
      </c>
      <c r="F1191" s="5">
        <v>93896631948148</v>
      </c>
      <c r="G1191" s="5">
        <f>[1]!nefin_factors__1[[#This Row],[HML]]/F1190-1</f>
        <v>-0.72264962675688948</v>
      </c>
      <c r="H1191" s="5">
        <v>246948515258083</v>
      </c>
      <c r="I1191" s="6">
        <f>[1]!nefin_factors__1[[#This Row],[Risk_Free]]/H1190-1</f>
        <v>3.0301326906612136E-3</v>
      </c>
      <c r="J1191">
        <v>76781</v>
      </c>
      <c r="K1191">
        <v>78454</v>
      </c>
      <c r="L1191">
        <v>76677</v>
      </c>
      <c r="M1191">
        <v>78314</v>
      </c>
      <c r="N1191">
        <v>4167000</v>
      </c>
      <c r="O1191">
        <v>78314</v>
      </c>
      <c r="P1191">
        <v>1.98596153094843E-2</v>
      </c>
      <c r="Q1191">
        <v>1.9664985774494902E-2</v>
      </c>
      <c r="R1191" s="8">
        <v>34.945636749267599</v>
      </c>
      <c r="S1191" s="8">
        <v>1.2174664443470399E-2</v>
      </c>
      <c r="T1191" s="9">
        <v>1.2101149296346999E-2</v>
      </c>
      <c r="U1191" s="12">
        <v>2.462E-2</v>
      </c>
      <c r="V1191" s="16">
        <v>4.1651999999999996</v>
      </c>
      <c r="W1191" s="17">
        <f t="shared" si="18"/>
        <v>9.0360716102617644E-3</v>
      </c>
    </row>
    <row r="1192" spans="1:23" x14ac:dyDescent="0.2">
      <c r="A1192" s="14">
        <v>43284</v>
      </c>
      <c r="B1192" s="3">
        <v>909153499008168</v>
      </c>
      <c r="C1192" s="3">
        <f>[1]!nefin_factors__1[[#This Row],[Rm_minus_Rf]]/B1191-1</f>
        <v>101586.72844926208</v>
      </c>
      <c r="D1192" s="3">
        <v>-323552996028213</v>
      </c>
      <c r="E1192" s="3">
        <f>[1]!nefin_factors__1[[#This Row],[SMB]]/D1191-1</f>
        <v>-1.59490434933877</v>
      </c>
      <c r="F1192" s="3">
        <v>55539174952779</v>
      </c>
      <c r="G1192" s="3">
        <f>[1]!nefin_factors__1[[#This Row],[HML]]/F1191-1</f>
        <v>-0.40850727230078843</v>
      </c>
      <c r="H1192" s="3">
        <v>246575519610381</v>
      </c>
      <c r="I1192" s="4">
        <f>[1]!nefin_factors__1[[#This Row],[Risk_Free]]/H1191-1</f>
        <v>-1.5104186688961185E-3</v>
      </c>
      <c r="J1192">
        <v>78268</v>
      </c>
      <c r="K1192">
        <v>79021</v>
      </c>
      <c r="L1192">
        <v>77624</v>
      </c>
      <c r="M1192">
        <v>78169</v>
      </c>
      <c r="N1192">
        <v>3780800</v>
      </c>
      <c r="O1192">
        <v>78169</v>
      </c>
      <c r="P1192">
        <v>-1.85152080087847E-3</v>
      </c>
      <c r="Q1192">
        <v>-1.8532369842097799E-3</v>
      </c>
      <c r="R1192" s="8">
        <v>34.129692077636697</v>
      </c>
      <c r="S1192" s="8">
        <v>-2.3349129194953099E-2</v>
      </c>
      <c r="T1192" s="9">
        <v>-2.36260390070753E-2</v>
      </c>
      <c r="U1192" s="12">
        <v>2.462E-2</v>
      </c>
      <c r="V1192" s="16">
        <v>4.1608999999999998</v>
      </c>
      <c r="W1192" s="17">
        <f t="shared" si="18"/>
        <v>-1.0323633919139263E-3</v>
      </c>
    </row>
    <row r="1193" spans="1:23" x14ac:dyDescent="0.2">
      <c r="A1193" s="15">
        <v>43285</v>
      </c>
      <c r="B1193" s="5">
        <v>138596562763517</v>
      </c>
      <c r="C1193" s="5">
        <f>[1]!nefin_factors__1[[#This Row],[Rm_minus_Rf]]/B1192-1</f>
        <v>-0.84755427668186112</v>
      </c>
      <c r="D1193" s="5">
        <v>-400628112138491</v>
      </c>
      <c r="E1193" s="5">
        <f>[1]!nefin_factors__1[[#This Row],[SMB]]/D1192-1</f>
        <v>0.23821481196717853</v>
      </c>
      <c r="F1193" s="5">
        <v>171895751131351</v>
      </c>
      <c r="G1193" s="5">
        <f>[1]!nefin_factors__1[[#This Row],[HML]]/F1192-1</f>
        <v>2.0950360943874609</v>
      </c>
      <c r="H1193" s="5">
        <v>246948515258083</v>
      </c>
      <c r="I1193" s="6">
        <f>[1]!nefin_factors__1[[#This Row],[Risk_Free]]/H1192-1</f>
        <v>1.5127034844797382E-3</v>
      </c>
      <c r="J1193">
        <v>78169</v>
      </c>
      <c r="K1193">
        <v>78944</v>
      </c>
      <c r="L1193">
        <v>77820</v>
      </c>
      <c r="M1193">
        <v>78116</v>
      </c>
      <c r="N1193">
        <v>3137600</v>
      </c>
      <c r="O1193">
        <v>78116</v>
      </c>
      <c r="P1193">
        <v>-6.7801814018342299E-4</v>
      </c>
      <c r="Q1193">
        <v>-6.7824809843241597E-4</v>
      </c>
      <c r="R1193" s="8">
        <v>33.956611633300803</v>
      </c>
      <c r="S1193" s="8">
        <v>-5.0710929957411598E-3</v>
      </c>
      <c r="T1193" s="9">
        <v>-5.0839946232108099E-3</v>
      </c>
      <c r="U1193" s="12">
        <v>2.462E-2</v>
      </c>
      <c r="V1193" s="16">
        <v>4.1459999999999999</v>
      </c>
      <c r="W1193" s="17">
        <f t="shared" si="18"/>
        <v>-3.5809560431636633E-3</v>
      </c>
    </row>
    <row r="1194" spans="1:23" x14ac:dyDescent="0.2">
      <c r="A1194" s="14">
        <v>43286</v>
      </c>
      <c r="B1194" s="3">
        <v>-167174329601017</v>
      </c>
      <c r="C1194" s="3">
        <f>[1]!nefin_factors__1[[#This Row],[Rm_minus_Rf]]/B1193-1</f>
        <v>-2.2061939074655217</v>
      </c>
      <c r="D1194" s="3">
        <v>187858670778837</v>
      </c>
      <c r="E1194" s="3">
        <f>[1]!nefin_factors__1[[#This Row],[SMB]]/D1193-1</f>
        <v>-1.4689103562305612</v>
      </c>
      <c r="F1194" s="3">
        <v>-782281253997945</v>
      </c>
      <c r="G1194" s="3">
        <f>[1]!nefin_factors__1[[#This Row],[HML]]/F1193-1</f>
        <v>-5.550905120395786</v>
      </c>
      <c r="H1194" s="3">
        <v>247321475997264</v>
      </c>
      <c r="I1194" s="4">
        <f>[1]!nefin_factors__1[[#This Row],[Risk_Free]]/H1193-1</f>
        <v>1.5102773093866873E-3</v>
      </c>
      <c r="J1194">
        <v>78116</v>
      </c>
      <c r="K1194">
        <v>80002</v>
      </c>
      <c r="L1194">
        <v>78116</v>
      </c>
      <c r="M1194">
        <v>79444</v>
      </c>
      <c r="N1194">
        <v>4666800</v>
      </c>
      <c r="O1194">
        <v>79444</v>
      </c>
      <c r="P1194">
        <v>1.7000358441292301E-2</v>
      </c>
      <c r="Q1194">
        <v>1.68574695160091E-2</v>
      </c>
      <c r="R1194" s="8">
        <v>35.547298431396499</v>
      </c>
      <c r="S1194" s="8">
        <v>4.6844547272064198E-2</v>
      </c>
      <c r="T1194" s="9">
        <v>4.57804464352424E-2</v>
      </c>
      <c r="U1194" s="12">
        <v>2.462E-2</v>
      </c>
      <c r="V1194" s="16">
        <v>4.1006999999999998</v>
      </c>
      <c r="W1194" s="17">
        <f t="shared" si="18"/>
        <v>-1.0926193921852456E-2</v>
      </c>
    </row>
    <row r="1195" spans="1:23" x14ac:dyDescent="0.2">
      <c r="A1195" s="15">
        <v>43287</v>
      </c>
      <c r="B1195" s="5">
        <v>311038150096419</v>
      </c>
      <c r="C1195" s="5">
        <f>[1]!nefin_factors__1[[#This Row],[Rm_minus_Rf]]/B1194-1</f>
        <v>-2.8605616713926802</v>
      </c>
      <c r="D1195" s="5">
        <v>612329835385855</v>
      </c>
      <c r="E1195" s="5">
        <f>[1]!nefin_factors__1[[#This Row],[SMB]]/D1194-1</f>
        <v>2.2595239434369314</v>
      </c>
      <c r="F1195" s="5">
        <v>584922932617027</v>
      </c>
      <c r="G1195" s="5">
        <f>[1]!nefin_factors__1[[#This Row],[HML]]/F1194-1</f>
        <v>-1.7477143669590778</v>
      </c>
      <c r="H1195" s="5">
        <v>246948515258083</v>
      </c>
      <c r="I1195" s="6">
        <f>[1]!nefin_factors__1[[#This Row],[Risk_Free]]/H1194-1</f>
        <v>-1.5079998114887472E-3</v>
      </c>
      <c r="J1195">
        <v>79447</v>
      </c>
      <c r="K1195">
        <v>79447</v>
      </c>
      <c r="L1195">
        <v>77857</v>
      </c>
      <c r="M1195">
        <v>77984</v>
      </c>
      <c r="N1195">
        <v>0</v>
      </c>
      <c r="O1195">
        <v>77984</v>
      </c>
      <c r="P1195">
        <v>-1.8377725190071002E-2</v>
      </c>
      <c r="Q1195">
        <v>-1.8548693493749401E-2</v>
      </c>
      <c r="R1195" s="8">
        <v>34.846736907958999</v>
      </c>
      <c r="S1195" s="8">
        <v>-1.97078072219956E-2</v>
      </c>
      <c r="T1195" s="9">
        <v>-1.99045958612327E-2</v>
      </c>
      <c r="U1195" s="12">
        <v>2.462E-2</v>
      </c>
      <c r="V1195" s="16">
        <v>4.1641000000000004</v>
      </c>
      <c r="W1195" s="17">
        <f t="shared" si="18"/>
        <v>1.546077498963605E-2</v>
      </c>
    </row>
    <row r="1196" spans="1:23" x14ac:dyDescent="0.2">
      <c r="A1196" s="14">
        <v>43291</v>
      </c>
      <c r="B1196" s="3">
        <v>-116500176934012</v>
      </c>
      <c r="C1196" s="3">
        <f>[1]!nefin_factors__1[[#This Row],[Rm_minus_Rf]]/B1195-1</f>
        <v>-1.3745526936097647</v>
      </c>
      <c r="D1196" s="3">
        <v>555174312086264</v>
      </c>
      <c r="E1196" s="3">
        <f>[1]!nefin_factors__1[[#This Row],[SMB]]/D1195-1</f>
        <v>-9.3341072076905895E-2</v>
      </c>
      <c r="F1196" s="3">
        <v>-61350842874493</v>
      </c>
      <c r="G1196" s="3">
        <f>[1]!nefin_factors__1[[#This Row],[HML]]/F1195-1</f>
        <v>-1.1048870534106103</v>
      </c>
      <c r="H1196" s="3">
        <v>247321475997264</v>
      </c>
      <c r="I1196" s="4">
        <f>[1]!nefin_factors__1[[#This Row],[Risk_Free]]/H1195-1</f>
        <v>1.5102773093866873E-3</v>
      </c>
      <c r="J1196">
        <v>77980</v>
      </c>
      <c r="K1196">
        <v>78688</v>
      </c>
      <c r="L1196">
        <v>77005</v>
      </c>
      <c r="M1196">
        <v>78630</v>
      </c>
      <c r="N1196">
        <v>3700400</v>
      </c>
      <c r="O1196">
        <v>78630</v>
      </c>
      <c r="P1196">
        <v>8.2837505129256302E-3</v>
      </c>
      <c r="Q1196">
        <v>8.2496285606288404E-3</v>
      </c>
      <c r="R1196" s="8">
        <v>33.940128326416001</v>
      </c>
      <c r="S1196" s="8">
        <v>-2.6016899338803402E-2</v>
      </c>
      <c r="T1196" s="9">
        <v>-2.6361325940639599E-2</v>
      </c>
      <c r="U1196" s="12">
        <v>2.462E-2</v>
      </c>
      <c r="V1196" s="16">
        <v>4.1258999999999997</v>
      </c>
      <c r="W1196" s="17">
        <f t="shared" si="18"/>
        <v>-9.1736509689970269E-3</v>
      </c>
    </row>
    <row r="1197" spans="1:23" x14ac:dyDescent="0.2">
      <c r="A1197" s="15">
        <v>43292</v>
      </c>
      <c r="B1197" s="5">
        <v>-665440316160957</v>
      </c>
      <c r="C1197" s="5">
        <f>[1]!nefin_factors__1[[#This Row],[Rm_minus_Rf]]/B1196-1</f>
        <v>4.7119253693312029</v>
      </c>
      <c r="D1197" s="5">
        <v>307321914383747</v>
      </c>
      <c r="E1197" s="5">
        <f>[1]!nefin_factors__1[[#This Row],[SMB]]/D1196-1</f>
        <v>-0.44644068053351371</v>
      </c>
      <c r="F1197" s="5">
        <v>-581751221078997</v>
      </c>
      <c r="G1197" s="5">
        <f>[1]!nefin_factors__1[[#This Row],[HML]]/F1196-1</f>
        <v>8.4823672148905995</v>
      </c>
      <c r="H1197" s="5">
        <v>247694401834142</v>
      </c>
      <c r="I1197" s="6">
        <f>[1]!nefin_factors__1[[#This Row],[Risk_Free]]/H1196-1</f>
        <v>1.5078586902907976E-3</v>
      </c>
      <c r="J1197">
        <v>78634</v>
      </c>
      <c r="K1197">
        <v>79461</v>
      </c>
      <c r="L1197">
        <v>78530</v>
      </c>
      <c r="M1197">
        <v>78656</v>
      </c>
      <c r="N1197">
        <v>3735300</v>
      </c>
      <c r="O1197">
        <v>78656</v>
      </c>
      <c r="P1197">
        <v>3.3066259697322998E-4</v>
      </c>
      <c r="Q1197">
        <v>3.3060794014502603E-4</v>
      </c>
      <c r="R1197" s="8">
        <v>33.758804321289098</v>
      </c>
      <c r="S1197" s="8">
        <v>-5.3425548013573696E-3</v>
      </c>
      <c r="T1197" s="9">
        <v>-5.3568772824632502E-3</v>
      </c>
      <c r="U1197" s="12">
        <v>2.462E-2</v>
      </c>
      <c r="V1197" s="16">
        <v>4.1637000000000004</v>
      </c>
      <c r="W1197" s="17">
        <f t="shared" si="18"/>
        <v>9.1616374609178042E-3</v>
      </c>
    </row>
    <row r="1198" spans="1:23" x14ac:dyDescent="0.2">
      <c r="A1198" s="14">
        <v>43293</v>
      </c>
      <c r="B1198" s="3">
        <v>180825796929612</v>
      </c>
      <c r="C1198" s="3">
        <f>[1]!nefin_factors__1[[#This Row],[Rm_minus_Rf]]/B1197-1</f>
        <v>-1.2717385654852236</v>
      </c>
      <c r="D1198" s="3">
        <v>-502662599532622</v>
      </c>
      <c r="E1198" s="3">
        <f>[1]!nefin_factors__1[[#This Row],[SMB]]/D1197-1</f>
        <v>-2.6356223751260277</v>
      </c>
      <c r="F1198" s="3">
        <v>142497588659746</v>
      </c>
      <c r="G1198" s="3">
        <f>[1]!nefin_factors__1[[#This Row],[HML]]/F1197-1</f>
        <v>-1.2449459210338227</v>
      </c>
      <c r="H1198" s="3">
        <v>247694401834142</v>
      </c>
      <c r="I1198" s="4">
        <f>[1]!nefin_factors__1[[#This Row],[Risk_Free]]/H1197-1</f>
        <v>0</v>
      </c>
      <c r="J1198">
        <v>78676</v>
      </c>
      <c r="K1198">
        <v>80107</v>
      </c>
      <c r="L1198">
        <v>78676</v>
      </c>
      <c r="M1198">
        <v>80000</v>
      </c>
      <c r="N1198">
        <v>4475000</v>
      </c>
      <c r="O1198">
        <v>80000</v>
      </c>
      <c r="P1198">
        <v>1.7087062652563E-2</v>
      </c>
      <c r="Q1198">
        <v>1.6942720730311899E-2</v>
      </c>
      <c r="R1198" s="8">
        <v>35.547298431396499</v>
      </c>
      <c r="S1198" s="8">
        <v>5.2978483146758598E-2</v>
      </c>
      <c r="T1198" s="9">
        <v>5.1622799084335501E-2</v>
      </c>
      <c r="U1198" s="12">
        <v>2.462E-2</v>
      </c>
      <c r="V1198" s="16">
        <v>4.1879</v>
      </c>
      <c r="W1198" s="17">
        <f t="shared" si="18"/>
        <v>5.8121382424285439E-3</v>
      </c>
    </row>
    <row r="1199" spans="1:23" x14ac:dyDescent="0.2">
      <c r="A1199" s="15">
        <v>43294</v>
      </c>
      <c r="B1199" s="5">
        <v>109162447075652</v>
      </c>
      <c r="C1199" s="5">
        <f>[1]!nefin_factors__1[[#This Row],[Rm_minus_Rf]]/B1198-1</f>
        <v>-0.39631153889981519</v>
      </c>
      <c r="D1199" s="5">
        <v>32676944793469</v>
      </c>
      <c r="E1199" s="5">
        <f>[1]!nefin_factors__1[[#This Row],[SMB]]/D1198-1</f>
        <v>-1.0650077105872851</v>
      </c>
      <c r="F1199" s="5">
        <v>-131524613052914</v>
      </c>
      <c r="G1199" s="5">
        <f>[1]!nefin_factors__1[[#This Row],[HML]]/F1198-1</f>
        <v>-1.9229953593598474</v>
      </c>
      <c r="H1199" s="5">
        <v>247321475997264</v>
      </c>
      <c r="I1199" s="6">
        <f>[1]!nefin_factors__1[[#This Row],[Risk_Free]]/H1198-1</f>
        <v>-1.5055884756237647E-3</v>
      </c>
      <c r="J1199">
        <v>80000</v>
      </c>
      <c r="K1199">
        <v>80000</v>
      </c>
      <c r="L1199">
        <v>78967</v>
      </c>
      <c r="M1199">
        <v>79342</v>
      </c>
      <c r="N1199">
        <v>4061400</v>
      </c>
      <c r="O1199">
        <v>79342</v>
      </c>
      <c r="P1199">
        <v>-8.2250000000000396E-3</v>
      </c>
      <c r="Q1199">
        <v>-8.25901193969583E-3</v>
      </c>
      <c r="R1199" s="8">
        <v>35.695652008056598</v>
      </c>
      <c r="S1199" s="8">
        <v>4.1735117785059997E-3</v>
      </c>
      <c r="T1199" s="9">
        <v>4.1648268343156799E-3</v>
      </c>
      <c r="U1199" s="12">
        <v>2.462E-2</v>
      </c>
      <c r="V1199" s="16">
        <v>4.1695000000000002</v>
      </c>
      <c r="W1199" s="17">
        <f t="shared" si="18"/>
        <v>-4.3936101626113055E-3</v>
      </c>
    </row>
    <row r="1200" spans="1:23" x14ac:dyDescent="0.2">
      <c r="A1200" s="14">
        <v>43297</v>
      </c>
      <c r="B1200" s="3">
        <v>273337256207043</v>
      </c>
      <c r="C1200" s="3">
        <f>[1]!nefin_factors__1[[#This Row],[Rm_minus_Rf]]/B1199-1</f>
        <v>1.5039495131289446</v>
      </c>
      <c r="D1200" s="3">
        <v>-672333750900814</v>
      </c>
      <c r="E1200" s="3">
        <f>[1]!nefin_factors__1[[#This Row],[SMB]]/D1199-1</f>
        <v>-21.575171735002304</v>
      </c>
      <c r="F1200" s="3">
        <v>-637819473500542</v>
      </c>
      <c r="G1200" s="3">
        <f>[1]!nefin_factors__1[[#This Row],[HML]]/F1199-1</f>
        <v>3.8494305263147917</v>
      </c>
      <c r="H1200" s="3">
        <v>246948515258083</v>
      </c>
      <c r="I1200" s="4">
        <f>[1]!nefin_factors__1[[#This Row],[Risk_Free]]/H1199-1</f>
        <v>-1.5079998114887472E-3</v>
      </c>
      <c r="J1200">
        <v>79350</v>
      </c>
      <c r="K1200">
        <v>79557</v>
      </c>
      <c r="L1200">
        <v>78091</v>
      </c>
      <c r="M1200">
        <v>78624</v>
      </c>
      <c r="N1200">
        <v>3134400</v>
      </c>
      <c r="O1200">
        <v>78624</v>
      </c>
      <c r="P1200">
        <v>-9.0494315747019494E-3</v>
      </c>
      <c r="Q1200">
        <v>-9.0906263954172294E-3</v>
      </c>
      <c r="R1200" s="8">
        <v>35.308280944824197</v>
      </c>
      <c r="S1200" s="8">
        <v>-1.0852072200130999E-2</v>
      </c>
      <c r="T1200" s="9">
        <v>-1.0911385440353199E-2</v>
      </c>
      <c r="U1200" s="12">
        <v>2.462E-2</v>
      </c>
      <c r="V1200" s="16">
        <v>4.1368999999999998</v>
      </c>
      <c r="W1200" s="17">
        <f t="shared" si="18"/>
        <v>-7.8186832953592855E-3</v>
      </c>
    </row>
    <row r="1201" spans="1:23" x14ac:dyDescent="0.2">
      <c r="A1201" s="15">
        <v>43298</v>
      </c>
      <c r="B1201" s="5">
        <v>170280501320437</v>
      </c>
      <c r="C1201" s="5">
        <f>[1]!nefin_factors__1[[#This Row],[Rm_minus_Rf]]/B1200-1</f>
        <v>-0.37703149697436145</v>
      </c>
      <c r="D1201" s="5">
        <v>-16515741945485</v>
      </c>
      <c r="E1201" s="5">
        <f>[1]!nefin_factors__1[[#This Row],[SMB]]/D1200-1</f>
        <v>-0.97543520324041944</v>
      </c>
      <c r="F1201" s="5">
        <v>-258106148805596</v>
      </c>
      <c r="G1201" s="5">
        <f>[1]!nefin_factors__1[[#This Row],[HML]]/F1200-1</f>
        <v>-0.59533040377548674</v>
      </c>
      <c r="H1201" s="5">
        <v>246575519610381</v>
      </c>
      <c r="I1201" s="6">
        <f>[1]!nefin_factors__1[[#This Row],[Risk_Free]]/H1200-1</f>
        <v>-1.5104186688961185E-3</v>
      </c>
      <c r="J1201">
        <v>78625</v>
      </c>
      <c r="K1201">
        <v>81778</v>
      </c>
      <c r="L1201">
        <v>78625</v>
      </c>
      <c r="M1201">
        <v>81612</v>
      </c>
      <c r="N1201">
        <v>5929900</v>
      </c>
      <c r="O1201">
        <v>81612</v>
      </c>
      <c r="P1201">
        <v>3.8003663003663098E-2</v>
      </c>
      <c r="Q1201">
        <v>3.7299313642733402E-2</v>
      </c>
      <c r="R1201" s="8">
        <v>37.8303031921387</v>
      </c>
      <c r="S1201" s="8">
        <v>7.1428665657185003E-2</v>
      </c>
      <c r="T1201" s="9">
        <v>6.8992959433653606E-2</v>
      </c>
      <c r="U1201" s="12">
        <v>2.462E-2</v>
      </c>
      <c r="V1201" s="16">
        <v>4.1351000000000004</v>
      </c>
      <c r="W1201" s="17">
        <f t="shared" si="18"/>
        <v>-4.3510841451310789E-4</v>
      </c>
    </row>
    <row r="1202" spans="1:23" x14ac:dyDescent="0.2">
      <c r="A1202" s="14">
        <v>43299</v>
      </c>
      <c r="B1202" s="3">
        <v>-976454965731576</v>
      </c>
      <c r="C1202" s="3">
        <f>[1]!nefin_factors__1[[#This Row],[Rm_minus_Rf]]/B1201-1</f>
        <v>-6.7343909499894234</v>
      </c>
      <c r="D1202" s="3">
        <v>861238414147215</v>
      </c>
      <c r="E1202" s="3">
        <f>[1]!nefin_factors__1[[#This Row],[SMB]]/D1201-1</f>
        <v>-53.146516758979544</v>
      </c>
      <c r="F1202" s="3">
        <v>346198637552051</v>
      </c>
      <c r="G1202" s="3">
        <f>[1]!nefin_factors__1[[#This Row],[HML]]/F1201-1</f>
        <v>-2.3413033325788986</v>
      </c>
      <c r="H1202" s="3">
        <v>246575519610381</v>
      </c>
      <c r="I1202" s="4">
        <f>[1]!nefin_factors__1[[#This Row],[Risk_Free]]/H1201-1</f>
        <v>0</v>
      </c>
      <c r="J1202">
        <v>81624</v>
      </c>
      <c r="K1202">
        <v>85442</v>
      </c>
      <c r="L1202">
        <v>81623</v>
      </c>
      <c r="M1202">
        <v>83273</v>
      </c>
      <c r="N1202">
        <v>7618600</v>
      </c>
      <c r="O1202">
        <v>83273</v>
      </c>
      <c r="P1202">
        <v>2.0352399156986702E-2</v>
      </c>
      <c r="Q1202">
        <v>2.0148056998064899E-2</v>
      </c>
      <c r="R1202" s="8">
        <v>38.736911773681598</v>
      </c>
      <c r="S1202" s="8">
        <v>2.3965123505527201E-2</v>
      </c>
      <c r="T1202" s="9">
        <v>2.3682466960658899E-2</v>
      </c>
      <c r="U1202" s="12">
        <v>2.462E-2</v>
      </c>
      <c r="V1202" s="16">
        <v>4.0997000000000003</v>
      </c>
      <c r="W1202" s="17">
        <f t="shared" si="18"/>
        <v>-8.5608570530337769E-3</v>
      </c>
    </row>
    <row r="1203" spans="1:23" x14ac:dyDescent="0.2">
      <c r="A1203" s="15">
        <v>43300</v>
      </c>
      <c r="B1203" s="5">
        <v>205703190767994</v>
      </c>
      <c r="C1203" s="5">
        <f>[1]!nefin_factors__1[[#This Row],[Rm_minus_Rf]]/B1202-1</f>
        <v>-1.2106632645509441</v>
      </c>
      <c r="D1203" s="5">
        <v>-554537586267875</v>
      </c>
      <c r="E1203" s="5">
        <f>[1]!nefin_factors__1[[#This Row],[SMB]]/D1202-1</f>
        <v>-1.6438839433526309</v>
      </c>
      <c r="F1203" s="5">
        <v>-53424352772877</v>
      </c>
      <c r="G1203" s="5">
        <f>[1]!nefin_factors__1[[#This Row],[HML]]/F1202-1</f>
        <v>-1.1543170509007119</v>
      </c>
      <c r="H1203" s="5">
        <v>246575519610381</v>
      </c>
      <c r="I1203" s="6">
        <f>[1]!nefin_factors__1[[#This Row],[Risk_Free]]/H1202-1</f>
        <v>0</v>
      </c>
      <c r="J1203">
        <v>83275</v>
      </c>
      <c r="K1203">
        <v>83430</v>
      </c>
      <c r="L1203">
        <v>81892</v>
      </c>
      <c r="M1203">
        <v>82953</v>
      </c>
      <c r="N1203">
        <v>4935600</v>
      </c>
      <c r="O1203">
        <v>82953</v>
      </c>
      <c r="P1203">
        <v>-3.84278217429423E-3</v>
      </c>
      <c r="Q1203">
        <v>-3.8501846318203499E-3</v>
      </c>
      <c r="R1203" s="8">
        <v>37.747882843017599</v>
      </c>
      <c r="S1203" s="8">
        <v>-2.5531950710895899E-2</v>
      </c>
      <c r="T1203" s="9">
        <v>-2.58635473456428E-2</v>
      </c>
      <c r="U1203" s="12">
        <v>2.462E-2</v>
      </c>
      <c r="V1203" s="16">
        <v>4.0728</v>
      </c>
      <c r="W1203" s="17">
        <f t="shared" si="18"/>
        <v>-6.56145571627198E-3</v>
      </c>
    </row>
    <row r="1204" spans="1:23" x14ac:dyDescent="0.2">
      <c r="A1204" s="14">
        <v>43301</v>
      </c>
      <c r="B1204" s="3">
        <v>137798961106022</v>
      </c>
      <c r="C1204" s="3">
        <f>[1]!nefin_factors__1[[#This Row],[Rm_minus_Rf]]/B1203-1</f>
        <v>-0.33010780925882177</v>
      </c>
      <c r="D1204" s="3">
        <v>431555664265221</v>
      </c>
      <c r="E1204" s="3">
        <f>[1]!nefin_factors__1[[#This Row],[SMB]]/D1203-1</f>
        <v>-1.7782261742971444</v>
      </c>
      <c r="F1204" s="3">
        <v>453369438599238</v>
      </c>
      <c r="G1204" s="3">
        <f>[1]!nefin_factors__1[[#This Row],[HML]]/F1203-1</f>
        <v>-9.48619431154642</v>
      </c>
      <c r="H1204" s="3">
        <v>246202489047498</v>
      </c>
      <c r="I1204" s="4">
        <f>[1]!nefin_factors__1[[#This Row],[Risk_Free]]/H1203-1</f>
        <v>-1.5128450848341801E-3</v>
      </c>
      <c r="J1204">
        <v>82972</v>
      </c>
      <c r="K1204">
        <v>83805</v>
      </c>
      <c r="L1204">
        <v>82030</v>
      </c>
      <c r="M1204">
        <v>82322</v>
      </c>
      <c r="N1204">
        <v>5394800</v>
      </c>
      <c r="O1204">
        <v>82322</v>
      </c>
      <c r="P1204">
        <v>-7.6067170566465102E-3</v>
      </c>
      <c r="Q1204">
        <v>-7.6357956846229104E-3</v>
      </c>
      <c r="R1204" s="8">
        <v>39.561100006103501</v>
      </c>
      <c r="S1204" s="8">
        <v>4.8034900820355601E-2</v>
      </c>
      <c r="T1204" s="9">
        <v>4.6916887653840403E-2</v>
      </c>
      <c r="U1204" s="12">
        <v>2.462E-2</v>
      </c>
      <c r="V1204" s="16">
        <v>4.0594000000000001</v>
      </c>
      <c r="W1204" s="17">
        <f t="shared" si="18"/>
        <v>-3.2901198192889503E-3</v>
      </c>
    </row>
    <row r="1205" spans="1:23" x14ac:dyDescent="0.2">
      <c r="A1205" s="15">
        <v>43304</v>
      </c>
      <c r="B1205" s="5">
        <v>-665230786187575</v>
      </c>
      <c r="C1205" s="5">
        <f>[1]!nefin_factors__1[[#This Row],[Rm_minus_Rf]]/B1204-1</f>
        <v>-5.8275457292870945</v>
      </c>
      <c r="D1205" s="5">
        <v>868104634105406</v>
      </c>
      <c r="E1205" s="5">
        <f>[1]!nefin_factors__1[[#This Row],[SMB]]/D1204-1</f>
        <v>1.0115704785927577</v>
      </c>
      <c r="F1205" s="5">
        <v>50782952822543</v>
      </c>
      <c r="G1205" s="5">
        <f>[1]!nefin_factors__1[[#This Row],[HML]]/F1204-1</f>
        <v>-0.88798770164251573</v>
      </c>
      <c r="H1205" s="5">
        <v>246948515258083</v>
      </c>
      <c r="I1205" s="6">
        <f>[1]!nefin_factors__1[[#This Row],[Risk_Free]]/H1204-1</f>
        <v>3.0301326906612136E-3</v>
      </c>
      <c r="J1205">
        <v>82324</v>
      </c>
      <c r="K1205">
        <v>87333</v>
      </c>
      <c r="L1205">
        <v>82324</v>
      </c>
      <c r="M1205">
        <v>86084</v>
      </c>
      <c r="N1205">
        <v>9999000</v>
      </c>
      <c r="O1205">
        <v>86084</v>
      </c>
      <c r="P1205">
        <v>4.56985981876048E-2</v>
      </c>
      <c r="Q1205">
        <v>4.4685177072214997E-2</v>
      </c>
      <c r="R1205" s="8">
        <v>42.0501518249512</v>
      </c>
      <c r="S1205" s="8">
        <v>6.2916690582330403E-2</v>
      </c>
      <c r="T1205" s="9">
        <v>6.10167243058106E-2</v>
      </c>
      <c r="U1205" s="12">
        <v>2.462E-2</v>
      </c>
      <c r="V1205" s="16">
        <v>4.1285999999999996</v>
      </c>
      <c r="W1205" s="17">
        <f t="shared" si="18"/>
        <v>1.704685421490848E-2</v>
      </c>
    </row>
    <row r="1206" spans="1:23" x14ac:dyDescent="0.2">
      <c r="A1206" s="14">
        <v>43305</v>
      </c>
      <c r="B1206" s="3">
        <v>126028438890465</v>
      </c>
      <c r="C1206" s="3">
        <f>[1]!nefin_factors__1[[#This Row],[Rm_minus_Rf]]/B1205-1</f>
        <v>-1.1894507011810616</v>
      </c>
      <c r="D1206" s="3">
        <v>-103866646449261</v>
      </c>
      <c r="E1206" s="3">
        <f>[1]!nefin_factors__1[[#This Row],[SMB]]/D1205-1</f>
        <v>-1.1196476120143017</v>
      </c>
      <c r="F1206" s="3">
        <v>-174538174555305</v>
      </c>
      <c r="G1206" s="3">
        <f>[1]!nefin_factors__1[[#This Row],[HML]]/F1205-1</f>
        <v>-4.4369441880470166</v>
      </c>
      <c r="H1206" s="3">
        <v>246575519610381</v>
      </c>
      <c r="I1206" s="4">
        <f>[1]!nefin_factors__1[[#This Row],[Risk_Free]]/H1205-1</f>
        <v>-1.5104186688961185E-3</v>
      </c>
      <c r="J1206">
        <v>86053</v>
      </c>
      <c r="K1206">
        <v>86573</v>
      </c>
      <c r="L1206">
        <v>85433</v>
      </c>
      <c r="M1206">
        <v>86088</v>
      </c>
      <c r="N1206">
        <v>6461000</v>
      </c>
      <c r="O1206">
        <v>86088</v>
      </c>
      <c r="P1206">
        <v>4.6466242275000597E-5</v>
      </c>
      <c r="Q1206">
        <v>4.6465162752605802E-5</v>
      </c>
      <c r="R1206" s="8">
        <v>43.146324157714801</v>
      </c>
      <c r="S1206" s="8">
        <v>2.60681032474268E-2</v>
      </c>
      <c r="T1206" s="9">
        <v>2.5734121979832599E-2</v>
      </c>
      <c r="U1206" s="12">
        <v>2.462E-2</v>
      </c>
      <c r="V1206" s="16">
        <v>4.0570000000000004</v>
      </c>
      <c r="W1206" s="17">
        <f t="shared" si="18"/>
        <v>-1.7342440536743498E-2</v>
      </c>
    </row>
    <row r="1207" spans="1:23" x14ac:dyDescent="0.2">
      <c r="A1207" s="15">
        <v>43306</v>
      </c>
      <c r="B1207" s="5">
        <v>109975328982915</v>
      </c>
      <c r="C1207" s="5">
        <f>[1]!nefin_factors__1[[#This Row],[Rm_minus_Rf]]/B1206-1</f>
        <v>-0.12737688452605711</v>
      </c>
      <c r="D1207" s="5">
        <v>-171046203788597</v>
      </c>
      <c r="E1207" s="5">
        <f>[1]!nefin_factors__1[[#This Row],[SMB]]/D1206-1</f>
        <v>0.64678662146036747</v>
      </c>
      <c r="F1207" s="5">
        <v>142888940237758</v>
      </c>
      <c r="G1207" s="5">
        <f>[1]!nefin_factors__1[[#This Row],[HML]]/F1206-1</f>
        <v>-1.8186686987062624</v>
      </c>
      <c r="H1207" s="5">
        <v>246575519610381</v>
      </c>
      <c r="I1207" s="6">
        <f>[1]!nefin_factors__1[[#This Row],[Risk_Free]]/H1206-1</f>
        <v>0</v>
      </c>
      <c r="J1207">
        <v>86084</v>
      </c>
      <c r="K1207">
        <v>86085</v>
      </c>
      <c r="L1207">
        <v>83679</v>
      </c>
      <c r="M1207">
        <v>83679</v>
      </c>
      <c r="N1207">
        <v>0</v>
      </c>
      <c r="O1207">
        <v>83679</v>
      </c>
      <c r="P1207">
        <v>-2.7982994145525499E-2</v>
      </c>
      <c r="Q1207">
        <v>-2.8381978939690501E-2</v>
      </c>
      <c r="R1207" s="8">
        <v>41.901798248291001</v>
      </c>
      <c r="S1207" s="8">
        <v>-2.8844105465053099E-2</v>
      </c>
      <c r="T1207" s="9">
        <v>-2.9268273078233899E-2</v>
      </c>
      <c r="U1207" s="12">
        <v>2.462E-2</v>
      </c>
      <c r="V1207" s="16">
        <v>4.0091999999999999</v>
      </c>
      <c r="W1207" s="17">
        <f t="shared" si="18"/>
        <v>-1.1782105003697474E-2</v>
      </c>
    </row>
    <row r="1208" spans="1:23" x14ac:dyDescent="0.2">
      <c r="A1208" s="14">
        <v>43307</v>
      </c>
      <c r="B1208" s="3">
        <v>-751460951428781</v>
      </c>
      <c r="C1208" s="3">
        <f>[1]!nefin_factors__1[[#This Row],[Rm_minus_Rf]]/B1207-1</f>
        <v>-7.8329957125704324</v>
      </c>
      <c r="D1208" s="3">
        <v>982786008224032</v>
      </c>
      <c r="E1208" s="3">
        <f>[1]!nefin_factors__1[[#This Row],[SMB]]/D1207-1</f>
        <v>-6.7457341142671456</v>
      </c>
      <c r="F1208" s="3">
        <v>-552167114867416</v>
      </c>
      <c r="G1208" s="3">
        <f>[1]!nefin_factors__1[[#This Row],[HML]]/F1207-1</f>
        <v>-4.8643096795920346</v>
      </c>
      <c r="H1208" s="3">
        <v>246202489047498</v>
      </c>
      <c r="I1208" s="4">
        <f>[1]!nefin_factors__1[[#This Row],[Risk_Free]]/H1207-1</f>
        <v>-1.5128450848341801E-3</v>
      </c>
      <c r="J1208">
        <v>83700</v>
      </c>
      <c r="K1208">
        <v>84749</v>
      </c>
      <c r="L1208">
        <v>82607</v>
      </c>
      <c r="M1208">
        <v>82921</v>
      </c>
      <c r="N1208">
        <v>5188700</v>
      </c>
      <c r="O1208">
        <v>82921</v>
      </c>
      <c r="P1208">
        <v>-9.0584256504021594E-3</v>
      </c>
      <c r="Q1208">
        <v>-9.0997026468500504E-3</v>
      </c>
      <c r="R1208" s="8">
        <v>41.209480285644503</v>
      </c>
      <c r="S1208" s="8">
        <v>-1.6522408274793701E-2</v>
      </c>
      <c r="T1208" s="9">
        <v>-1.6660425626917601E-2</v>
      </c>
      <c r="U1208" s="12">
        <v>2.462E-2</v>
      </c>
      <c r="V1208" s="16">
        <v>4.0038999999999998</v>
      </c>
      <c r="W1208" s="17">
        <f t="shared" si="18"/>
        <v>-1.3219594931657142E-3</v>
      </c>
    </row>
    <row r="1209" spans="1:23" x14ac:dyDescent="0.2">
      <c r="A1209" s="15">
        <v>43308</v>
      </c>
      <c r="B1209" s="5">
        <v>345372743734133</v>
      </c>
      <c r="C1209" s="5">
        <f>[1]!nefin_factors__1[[#This Row],[Rm_minus_Rf]]/B1208-1</f>
        <v>-1.459601717264833</v>
      </c>
      <c r="D1209" s="5">
        <v>130828908969257</v>
      </c>
      <c r="E1209" s="5">
        <f>[1]!nefin_factors__1[[#This Row],[SMB]]/D1208-1</f>
        <v>-0.86687955681657025</v>
      </c>
      <c r="F1209" s="5">
        <v>61639267486035</v>
      </c>
      <c r="G1209" s="5">
        <f>[1]!nefin_factors__1[[#This Row],[HML]]/F1208-1</f>
        <v>-1.1116315438322246</v>
      </c>
      <c r="H1209" s="5">
        <v>246575519610381</v>
      </c>
      <c r="I1209" s="6">
        <f>[1]!nefin_factors__1[[#This Row],[Risk_Free]]/H1208-1</f>
        <v>1.5151372527799634E-3</v>
      </c>
      <c r="J1209">
        <v>82922</v>
      </c>
      <c r="K1209">
        <v>84278</v>
      </c>
      <c r="L1209">
        <v>82922</v>
      </c>
      <c r="M1209">
        <v>83360</v>
      </c>
      <c r="N1209">
        <v>4782900</v>
      </c>
      <c r="O1209">
        <v>83360</v>
      </c>
      <c r="P1209">
        <v>5.2941956802257098E-3</v>
      </c>
      <c r="Q1209">
        <v>5.2802306935061201E-3</v>
      </c>
      <c r="R1209" s="8">
        <v>41.0199165344238</v>
      </c>
      <c r="S1209" s="8">
        <v>-4.6000955472567098E-3</v>
      </c>
      <c r="T1209" s="9">
        <v>-4.6107085464930702E-3</v>
      </c>
      <c r="U1209" s="12">
        <v>2.462E-2</v>
      </c>
      <c r="V1209" s="16">
        <v>4.0273000000000003</v>
      </c>
      <c r="W1209" s="17">
        <f t="shared" si="18"/>
        <v>5.8443018057394713E-3</v>
      </c>
    </row>
    <row r="1210" spans="1:23" x14ac:dyDescent="0.2">
      <c r="A1210" s="14">
        <v>43311</v>
      </c>
      <c r="B1210" s="3">
        <v>319413864222372</v>
      </c>
      <c r="C1210" s="3">
        <f>[1]!nefin_factors__1[[#This Row],[Rm_minus_Rf]]/B1209-1</f>
        <v>-7.5161922828930861E-2</v>
      </c>
      <c r="D1210" s="3">
        <v>-163222362685258</v>
      </c>
      <c r="E1210" s="3">
        <f>[1]!nefin_factors__1[[#This Row],[SMB]]/D1209-1</f>
        <v>-2.2476016499045559</v>
      </c>
      <c r="F1210" s="3">
        <v>112581615670909</v>
      </c>
      <c r="G1210" s="3">
        <f>[1]!nefin_factors__1[[#This Row],[HML]]/F1209-1</f>
        <v>0.8264593377332965</v>
      </c>
      <c r="H1210" s="3">
        <v>246575519610381</v>
      </c>
      <c r="I1210" s="4">
        <f>[1]!nefin_factors__1[[#This Row],[Risk_Free]]/H1209-1</f>
        <v>0</v>
      </c>
      <c r="J1210">
        <v>83420</v>
      </c>
      <c r="K1210">
        <v>85718</v>
      </c>
      <c r="L1210">
        <v>83420</v>
      </c>
      <c r="M1210">
        <v>85718</v>
      </c>
      <c r="N1210">
        <v>4811300</v>
      </c>
      <c r="O1210">
        <v>85718</v>
      </c>
      <c r="P1210">
        <v>2.8286948176583501E-2</v>
      </c>
      <c r="Q1210">
        <v>2.78942605502479E-2</v>
      </c>
      <c r="R1210" s="8">
        <v>43.937545776367202</v>
      </c>
      <c r="S1210" s="8">
        <v>7.1127105882361902E-2</v>
      </c>
      <c r="T1210" s="9">
        <v>6.8711464052464394E-2</v>
      </c>
      <c r="U1210" s="12">
        <v>2.462E-2</v>
      </c>
      <c r="V1210" s="16">
        <v>3.9504999999999999</v>
      </c>
      <c r="W1210" s="17">
        <f t="shared" si="18"/>
        <v>-1.9069848285451885E-2</v>
      </c>
    </row>
    <row r="1211" spans="1:23" x14ac:dyDescent="0.2">
      <c r="A1211" s="15">
        <v>43312</v>
      </c>
      <c r="B1211" s="5">
        <v>-126579981547878</v>
      </c>
      <c r="C1211" s="5">
        <f>[1]!nefin_factors__1[[#This Row],[Rm_minus_Rf]]/B1210-1</f>
        <v>-1.3962883134582866</v>
      </c>
      <c r="D1211" s="5">
        <v>-632281259608573</v>
      </c>
      <c r="E1211" s="5">
        <f>[1]!nefin_factors__1[[#This Row],[SMB]]/D1210-1</f>
        <v>2.8737416197546546</v>
      </c>
      <c r="F1211" s="5">
        <v>-45312473573759</v>
      </c>
      <c r="G1211" s="5">
        <f>[1]!nefin_factors__1[[#This Row],[HML]]/F1210-1</f>
        <v>-1.4024855506267859</v>
      </c>
      <c r="H1211" s="5">
        <v>246575519610381</v>
      </c>
      <c r="I1211" s="6">
        <f>[1]!nefin_factors__1[[#This Row],[Risk_Free]]/H1210-1</f>
        <v>0</v>
      </c>
      <c r="J1211">
        <v>85714</v>
      </c>
      <c r="K1211">
        <v>86167</v>
      </c>
      <c r="L1211">
        <v>84944</v>
      </c>
      <c r="M1211">
        <v>85764</v>
      </c>
      <c r="N1211">
        <v>4858600</v>
      </c>
      <c r="O1211">
        <v>85764</v>
      </c>
      <c r="P1211">
        <v>5.3664341211878696E-4</v>
      </c>
      <c r="Q1211">
        <v>5.3649947053746702E-4</v>
      </c>
      <c r="R1211" s="8">
        <v>44.176563262939503</v>
      </c>
      <c r="S1211" s="8">
        <v>5.4399631363828398E-3</v>
      </c>
      <c r="T1211" s="9">
        <v>5.4252199808998199E-3</v>
      </c>
      <c r="U1211" s="12">
        <v>2.462E-2</v>
      </c>
      <c r="V1211" s="16">
        <v>3.8542000000000001</v>
      </c>
      <c r="W1211" s="17">
        <f t="shared" si="18"/>
        <v>-2.4376661182128778E-2</v>
      </c>
    </row>
    <row r="1212" spans="1:23" x14ac:dyDescent="0.2">
      <c r="A1212" s="14">
        <v>43313</v>
      </c>
      <c r="B1212" s="3">
        <v>268369787136219</v>
      </c>
      <c r="C1212" s="3">
        <f>[1]!nefin_factors__1[[#This Row],[Rm_minus_Rf]]/B1211-1</f>
        <v>-3.1201597903117877</v>
      </c>
      <c r="D1212" s="3">
        <v>925481780253856</v>
      </c>
      <c r="E1212" s="3">
        <f>[1]!nefin_factors__1[[#This Row],[SMB]]/D1211-1</f>
        <v>-2.4637185053164394</v>
      </c>
      <c r="F1212" s="3">
        <v>189487293887763</v>
      </c>
      <c r="G1212" s="3">
        <f>[1]!nefin_factors__1[[#This Row],[HML]]/F1211-1</f>
        <v>-5.1817909935841016</v>
      </c>
      <c r="H1212" s="3">
        <v>246575519610381</v>
      </c>
      <c r="I1212" s="4">
        <f>[1]!nefin_factors__1[[#This Row],[Risk_Free]]/H1211-1</f>
        <v>0</v>
      </c>
      <c r="J1212">
        <v>85760</v>
      </c>
      <c r="K1212">
        <v>85760</v>
      </c>
      <c r="L1212">
        <v>83846</v>
      </c>
      <c r="M1212">
        <v>83847</v>
      </c>
      <c r="N1212">
        <v>4085300</v>
      </c>
      <c r="O1212">
        <v>83847</v>
      </c>
      <c r="P1212">
        <v>-2.2352035819224798E-2</v>
      </c>
      <c r="Q1212">
        <v>-2.2605628571991498E-2</v>
      </c>
      <c r="R1212" s="8">
        <v>43.311164855957003</v>
      </c>
      <c r="S1212" s="8">
        <v>-1.95895138799804E-2</v>
      </c>
      <c r="T1212" s="9">
        <v>-1.9783931628524799E-2</v>
      </c>
      <c r="U1212" s="12">
        <v>2.462E-2</v>
      </c>
      <c r="V1212" s="16">
        <v>3.9047000000000001</v>
      </c>
      <c r="W1212" s="17">
        <f t="shared" si="18"/>
        <v>1.3102589383010788E-2</v>
      </c>
    </row>
    <row r="1213" spans="1:23" x14ac:dyDescent="0.2">
      <c r="A1213" s="15">
        <v>43314</v>
      </c>
      <c r="B1213" s="5">
        <v>333719155621587</v>
      </c>
      <c r="C1213" s="5">
        <f>[1]!nefin_factors__1[[#This Row],[Rm_minus_Rf]]/B1212-1</f>
        <v>0.24350493840127396</v>
      </c>
      <c r="D1213" s="5">
        <v>-180594311122717</v>
      </c>
      <c r="E1213" s="5">
        <f>[1]!nefin_factors__1[[#This Row],[SMB]]/D1212-1</f>
        <v>-1.1951354580672358</v>
      </c>
      <c r="F1213" s="5">
        <v>332805173707598</v>
      </c>
      <c r="G1213" s="5">
        <f>[1]!nefin_factors__1[[#This Row],[HML]]/F1212-1</f>
        <v>0.75634559383556854</v>
      </c>
      <c r="H1213" s="5">
        <v>246202489047498</v>
      </c>
      <c r="I1213" s="6">
        <f>[1]!nefin_factors__1[[#This Row],[Risk_Free]]/H1212-1</f>
        <v>-1.5128450848341801E-3</v>
      </c>
      <c r="J1213">
        <v>83845</v>
      </c>
      <c r="K1213">
        <v>84954</v>
      </c>
      <c r="L1213">
        <v>83667</v>
      </c>
      <c r="M1213">
        <v>84220</v>
      </c>
      <c r="N1213">
        <v>3753500</v>
      </c>
      <c r="O1213">
        <v>84220</v>
      </c>
      <c r="P1213">
        <v>4.4485789592949602E-3</v>
      </c>
      <c r="Q1213">
        <v>4.4387132799311498E-3</v>
      </c>
      <c r="R1213" s="8">
        <v>43.888095855712898</v>
      </c>
      <c r="S1213" s="8">
        <v>1.33206203981668E-2</v>
      </c>
      <c r="T1213" s="9">
        <v>1.3232681011619399E-2</v>
      </c>
      <c r="U1213" s="12">
        <v>2.462E-2</v>
      </c>
      <c r="V1213" s="16">
        <v>3.8698999999999999</v>
      </c>
      <c r="W1213" s="17">
        <f t="shared" si="18"/>
        <v>-8.9123364150895945E-3</v>
      </c>
    </row>
    <row r="1214" spans="1:23" x14ac:dyDescent="0.2">
      <c r="A1214" s="14">
        <v>43315</v>
      </c>
      <c r="B1214" s="3">
        <v>192707095575436</v>
      </c>
      <c r="C1214" s="3">
        <f>[1]!nefin_factors__1[[#This Row],[Rm_minus_Rf]]/B1213-1</f>
        <v>-0.42254709587617534</v>
      </c>
      <c r="D1214" s="3">
        <v>-113442412179074</v>
      </c>
      <c r="E1214" s="3">
        <f>[1]!nefin_factors__1[[#This Row],[SMB]]/D1213-1</f>
        <v>-0.37183839582860456</v>
      </c>
      <c r="F1214" s="3">
        <v>1233261380.82407</v>
      </c>
      <c r="G1214" s="3">
        <f>[1]!nefin_factors__1[[#This Row],[HML]]/F1213-1</f>
        <v>-0.99999629434432435</v>
      </c>
      <c r="H1214" s="3">
        <v>246202489047498</v>
      </c>
      <c r="I1214" s="4">
        <f>[1]!nefin_factors__1[[#This Row],[Risk_Free]]/H1213-1</f>
        <v>0</v>
      </c>
      <c r="J1214">
        <v>84222</v>
      </c>
      <c r="K1214">
        <v>85772</v>
      </c>
      <c r="L1214">
        <v>84222</v>
      </c>
      <c r="M1214">
        <v>85597</v>
      </c>
      <c r="N1214">
        <v>3873700</v>
      </c>
      <c r="O1214">
        <v>85597</v>
      </c>
      <c r="P1214">
        <v>1.6350035620992701E-2</v>
      </c>
      <c r="Q1214">
        <v>1.6217813070791801E-2</v>
      </c>
      <c r="R1214" s="8">
        <v>45.3304252624512</v>
      </c>
      <c r="S1214" s="8">
        <v>3.2863784990708703E-2</v>
      </c>
      <c r="T1214" s="9">
        <v>3.2335317929393398E-2</v>
      </c>
      <c r="U1214" s="12">
        <v>2.462E-2</v>
      </c>
      <c r="V1214" s="16">
        <v>3.7587999999999999</v>
      </c>
      <c r="W1214" s="17">
        <f t="shared" si="18"/>
        <v>-2.8708752164138596E-2</v>
      </c>
    </row>
    <row r="1215" spans="1:23" x14ac:dyDescent="0.2">
      <c r="A1215" s="15">
        <v>43318</v>
      </c>
      <c r="B1215" s="5">
        <v>-407896541523531</v>
      </c>
      <c r="C1215" s="5">
        <f>[1]!nefin_factors__1[[#This Row],[Rm_minus_Rf]]/B1214-1</f>
        <v>-3.1166659188418842</v>
      </c>
      <c r="D1215" s="5">
        <v>149068661747779</v>
      </c>
      <c r="E1215" s="5">
        <f>[1]!nefin_factors__1[[#This Row],[SMB]]/D1214-1</f>
        <v>-2.3140470030949922</v>
      </c>
      <c r="F1215" s="5">
        <v>644486286093056</v>
      </c>
      <c r="G1215" s="5">
        <f>[1]!nefin_factors__1[[#This Row],[HML]]/F1214-1</f>
        <v>522585.93583870097</v>
      </c>
      <c r="H1215" s="5">
        <v>246202489047498</v>
      </c>
      <c r="I1215" s="6">
        <f>[1]!nefin_factors__1[[#This Row],[Risk_Free]]/H1214-1</f>
        <v>0</v>
      </c>
      <c r="J1215">
        <v>85595</v>
      </c>
      <c r="K1215">
        <v>85595</v>
      </c>
      <c r="L1215">
        <v>84032</v>
      </c>
      <c r="M1215">
        <v>85300</v>
      </c>
      <c r="N1215">
        <v>4388100</v>
      </c>
      <c r="O1215">
        <v>85300</v>
      </c>
      <c r="P1215">
        <v>-3.4697477715340801E-3</v>
      </c>
      <c r="Q1215">
        <v>-3.4757813069400999E-3</v>
      </c>
      <c r="R1215" s="8">
        <v>44.506237030029297</v>
      </c>
      <c r="S1215" s="8">
        <v>-1.8181844648688401E-2</v>
      </c>
      <c r="T1215" s="9">
        <v>-1.83491656251944E-2</v>
      </c>
      <c r="U1215" s="12">
        <v>2.462E-2</v>
      </c>
      <c r="V1215" s="16">
        <v>3.7391000000000001</v>
      </c>
      <c r="W1215" s="17">
        <f t="shared" si="18"/>
        <v>-5.2410343726720932E-3</v>
      </c>
    </row>
    <row r="1216" spans="1:23" x14ac:dyDescent="0.2">
      <c r="A1216" s="14">
        <v>43319</v>
      </c>
      <c r="B1216" s="3">
        <v>-846198253655801</v>
      </c>
      <c r="C1216" s="3">
        <f>[1]!nefin_factors__1[[#This Row],[Rm_minus_Rf]]/B1215-1</f>
        <v>1.0745413787897609</v>
      </c>
      <c r="D1216" s="3">
        <v>-703629160057437</v>
      </c>
      <c r="E1216" s="3">
        <f>[1]!nefin_factors__1[[#This Row],[SMB]]/D1215-1</f>
        <v>-5.7201682218625036</v>
      </c>
      <c r="F1216" s="3">
        <v>-820656595454657</v>
      </c>
      <c r="G1216" s="3">
        <f>[1]!nefin_factors__1[[#This Row],[HML]]/F1215-1</f>
        <v>-2.273349973712496</v>
      </c>
      <c r="H1216" s="3">
        <v>246575519610381</v>
      </c>
      <c r="I1216" s="4">
        <f>[1]!nefin_factors__1[[#This Row],[Risk_Free]]/H1215-1</f>
        <v>1.5151372527799634E-3</v>
      </c>
      <c r="J1216">
        <v>85302</v>
      </c>
      <c r="K1216">
        <v>85786</v>
      </c>
      <c r="L1216">
        <v>83035</v>
      </c>
      <c r="M1216">
        <v>83064</v>
      </c>
      <c r="N1216">
        <v>4679200</v>
      </c>
      <c r="O1216">
        <v>83064</v>
      </c>
      <c r="P1216">
        <v>-2.6213364595545099E-2</v>
      </c>
      <c r="Q1216">
        <v>-2.65630594964806E-2</v>
      </c>
      <c r="R1216" s="8">
        <v>43.5254516601562</v>
      </c>
      <c r="S1216" s="8">
        <v>-2.2037013020935699E-2</v>
      </c>
      <c r="T1216" s="9">
        <v>-2.2283455288162099E-2</v>
      </c>
      <c r="U1216" s="12">
        <v>2.462E-2</v>
      </c>
      <c r="V1216" s="16">
        <v>3.7509999999999999</v>
      </c>
      <c r="W1216" s="17">
        <f t="shared" si="18"/>
        <v>3.1825840442887277E-3</v>
      </c>
    </row>
    <row r="1217" spans="1:23" x14ac:dyDescent="0.2">
      <c r="A1217" s="15">
        <v>43320</v>
      </c>
      <c r="B1217" s="5">
        <v>-134601131416902</v>
      </c>
      <c r="C1217" s="5">
        <f>[1]!nefin_factors__1[[#This Row],[Rm_minus_Rf]]/B1216-1</f>
        <v>-0.84093428362042888</v>
      </c>
      <c r="D1217" s="5">
        <v>605482914832398</v>
      </c>
      <c r="E1217" s="5">
        <f>[1]!nefin_factors__1[[#This Row],[SMB]]/D1216-1</f>
        <v>-1.8605142441552203</v>
      </c>
      <c r="F1217" s="5">
        <v>474803242270925</v>
      </c>
      <c r="G1217" s="5">
        <f>[1]!nefin_factors__1[[#This Row],[HML]]/F1216-1</f>
        <v>-1.57856507204195</v>
      </c>
      <c r="H1217" s="5">
        <v>246575519610381</v>
      </c>
      <c r="I1217" s="6">
        <f>[1]!nefin_factors__1[[#This Row],[Risk_Free]]/H1216-1</f>
        <v>0</v>
      </c>
      <c r="J1217">
        <v>83124</v>
      </c>
      <c r="K1217">
        <v>84831</v>
      </c>
      <c r="L1217">
        <v>83124</v>
      </c>
      <c r="M1217">
        <v>84084</v>
      </c>
      <c r="N1217">
        <v>0</v>
      </c>
      <c r="O1217">
        <v>84084</v>
      </c>
      <c r="P1217">
        <v>1.22796879514591E-2</v>
      </c>
      <c r="Q1217">
        <v>1.2204904175244301E-2</v>
      </c>
      <c r="R1217" s="8">
        <v>45.9403266906738</v>
      </c>
      <c r="S1217" s="8">
        <v>5.5481858973129801E-2</v>
      </c>
      <c r="T1217" s="9">
        <v>5.3997401017969099E-2</v>
      </c>
      <c r="U1217" s="12">
        <v>2.462E-2</v>
      </c>
      <c r="V1217" s="16">
        <v>3.746</v>
      </c>
      <c r="W1217" s="17">
        <f t="shared" si="18"/>
        <v>-1.3329778725672536E-3</v>
      </c>
    </row>
    <row r="1218" spans="1:23" x14ac:dyDescent="0.2">
      <c r="A1218" s="14">
        <v>43321</v>
      </c>
      <c r="B1218" s="3">
        <v>-301698629647266</v>
      </c>
      <c r="C1218" s="3">
        <f>[1]!nefin_factors__1[[#This Row],[Rm_minus_Rf]]/B1217-1</f>
        <v>1.2414271445669391</v>
      </c>
      <c r="D1218" s="3">
        <v>-226800437306994</v>
      </c>
      <c r="E1218" s="3">
        <f>[1]!nefin_factors__1[[#This Row],[SMB]]/D1217-1</f>
        <v>-1.3745777655341009</v>
      </c>
      <c r="F1218" s="3">
        <v>-132136131477038</v>
      </c>
      <c r="G1218" s="3">
        <f>[1]!nefin_factors__1[[#This Row],[HML]]/F1217-1</f>
        <v>-1.2782966073379096</v>
      </c>
      <c r="H1218" s="3">
        <v>246575519610381</v>
      </c>
      <c r="I1218" s="4">
        <f>[1]!nefin_factors__1[[#This Row],[Risk_Free]]/H1217-1</f>
        <v>0</v>
      </c>
      <c r="J1218">
        <v>84084</v>
      </c>
      <c r="K1218">
        <v>85720</v>
      </c>
      <c r="L1218">
        <v>83497</v>
      </c>
      <c r="M1218">
        <v>85720</v>
      </c>
      <c r="N1218">
        <v>6471500</v>
      </c>
      <c r="O1218">
        <v>85720</v>
      </c>
      <c r="P1218">
        <v>1.9456733742447999E-2</v>
      </c>
      <c r="Q1218">
        <v>1.92698714289791E-2</v>
      </c>
      <c r="R1218" s="8">
        <v>47.390899658203097</v>
      </c>
      <c r="S1218" s="8">
        <v>3.15752519848067E-2</v>
      </c>
      <c r="T1218" s="9">
        <v>3.1087004803988599E-2</v>
      </c>
      <c r="U1218" s="12">
        <v>2.462E-2</v>
      </c>
      <c r="V1218" s="16">
        <v>3.7332000000000001</v>
      </c>
      <c r="W1218" s="17">
        <f t="shared" si="18"/>
        <v>-3.4169781099839813E-3</v>
      </c>
    </row>
    <row r="1219" spans="1:23" x14ac:dyDescent="0.2">
      <c r="A1219" s="15">
        <v>43322</v>
      </c>
      <c r="B1219" s="5">
        <v>-279424632293618</v>
      </c>
      <c r="C1219" s="5">
        <f>[1]!nefin_factors__1[[#This Row],[Rm_minus_Rf]]/B1218-1</f>
        <v>-7.3828632830350793E-2</v>
      </c>
      <c r="D1219" s="5">
        <v>143264481543069</v>
      </c>
      <c r="E1219" s="5">
        <f>[1]!nefin_factors__1[[#This Row],[SMB]]/D1218-1</f>
        <v>-1.6316763902405891</v>
      </c>
      <c r="F1219" s="5">
        <v>-219552676696848</v>
      </c>
      <c r="G1219" s="5">
        <f>[1]!nefin_factors__1[[#This Row],[HML]]/F1218-1</f>
        <v>0.66156428406564061</v>
      </c>
      <c r="H1219" s="5">
        <v>246575519610381</v>
      </c>
      <c r="I1219" s="6">
        <f>[1]!nefin_factors__1[[#This Row],[Risk_Free]]/H1218-1</f>
        <v>0</v>
      </c>
      <c r="J1219">
        <v>85728</v>
      </c>
      <c r="K1219">
        <v>88377</v>
      </c>
      <c r="L1219">
        <v>82783</v>
      </c>
      <c r="M1219">
        <v>83797</v>
      </c>
      <c r="N1219">
        <v>7733900</v>
      </c>
      <c r="O1219">
        <v>83797</v>
      </c>
      <c r="P1219">
        <v>-2.24335044330378E-2</v>
      </c>
      <c r="Q1219">
        <v>-2.2688963280830199E-2</v>
      </c>
      <c r="R1219" s="8">
        <v>46.063957214355497</v>
      </c>
      <c r="S1219" s="8">
        <v>-2.7999929561573999E-2</v>
      </c>
      <c r="T1219" s="9">
        <v>-2.8399402054184199E-2</v>
      </c>
      <c r="U1219" s="12">
        <v>2.462E-2</v>
      </c>
      <c r="V1219" s="16">
        <v>3.7079</v>
      </c>
      <c r="W1219" s="17">
        <f t="shared" si="18"/>
        <v>-6.7770277509910937E-3</v>
      </c>
    </row>
    <row r="1220" spans="1:23" x14ac:dyDescent="0.2">
      <c r="A1220" s="14">
        <v>43325</v>
      </c>
      <c r="B1220" s="3">
        <v>122433478670814</v>
      </c>
      <c r="C1220" s="3">
        <f>[1]!nefin_factors__1[[#This Row],[Rm_minus_Rf]]/B1219-1</f>
        <v>-1.4381627978386726</v>
      </c>
      <c r="D1220" s="3">
        <v>-346842432004622</v>
      </c>
      <c r="E1220" s="3">
        <f>[1]!nefin_factors__1[[#This Row],[SMB]]/D1219-1</f>
        <v>-3.420993872792903</v>
      </c>
      <c r="F1220" s="3">
        <v>-17875229042548</v>
      </c>
      <c r="G1220" s="3">
        <f>[1]!nefin_factors__1[[#This Row],[HML]]/F1219-1</f>
        <v>-0.91858341555439293</v>
      </c>
      <c r="H1220" s="3">
        <v>246948515258083</v>
      </c>
      <c r="I1220" s="4">
        <f>[1]!nefin_factors__1[[#This Row],[Risk_Free]]/H1219-1</f>
        <v>1.5127034844797382E-3</v>
      </c>
      <c r="J1220">
        <v>83802</v>
      </c>
      <c r="K1220">
        <v>86990</v>
      </c>
      <c r="L1220">
        <v>83802</v>
      </c>
      <c r="M1220">
        <v>86886</v>
      </c>
      <c r="N1220">
        <v>6556900</v>
      </c>
      <c r="O1220">
        <v>86886</v>
      </c>
      <c r="P1220">
        <v>3.6862894853037599E-2</v>
      </c>
      <c r="Q1220">
        <v>3.6199707249974303E-2</v>
      </c>
      <c r="R1220" s="8">
        <v>47.596950531005902</v>
      </c>
      <c r="S1220" s="8">
        <v>3.3279609066427102E-2</v>
      </c>
      <c r="T1220" s="9">
        <v>3.2737830245361997E-2</v>
      </c>
      <c r="U1220" s="12">
        <v>2.462E-2</v>
      </c>
      <c r="V1220" s="16">
        <v>3.7008000000000001</v>
      </c>
      <c r="W1220" s="17">
        <f t="shared" ref="W1220:W1283" si="19">V1220/V1219-1</f>
        <v>-1.9148304970467711E-3</v>
      </c>
    </row>
    <row r="1221" spans="1:23" x14ac:dyDescent="0.2">
      <c r="A1221" s="15">
        <v>43326</v>
      </c>
      <c r="B1221" s="5">
        <v>148598201063242</v>
      </c>
      <c r="C1221" s="5">
        <f>[1]!nefin_factors__1[[#This Row],[Rm_minus_Rf]]/B1220-1</f>
        <v>0.21370561938190868</v>
      </c>
      <c r="D1221" s="5">
        <v>-686628094541037</v>
      </c>
      <c r="E1221" s="5">
        <f>[1]!nefin_factors__1[[#This Row],[SMB]]/D1220-1</f>
        <v>0.97965424983494254</v>
      </c>
      <c r="F1221" s="5">
        <v>-566404514429944</v>
      </c>
      <c r="G1221" s="5">
        <f>[1]!nefin_factors__1[[#This Row],[HML]]/F1220-1</f>
        <v>30.68655982431018</v>
      </c>
      <c r="H1221" s="5">
        <v>246575519610381</v>
      </c>
      <c r="I1221" s="6">
        <f>[1]!nefin_factors__1[[#This Row],[Risk_Free]]/H1220-1</f>
        <v>-1.5104186688961185E-3</v>
      </c>
      <c r="J1221">
        <v>86889</v>
      </c>
      <c r="K1221">
        <v>88028</v>
      </c>
      <c r="L1221">
        <v>86213</v>
      </c>
      <c r="M1221">
        <v>87424</v>
      </c>
      <c r="N1221">
        <v>5889800</v>
      </c>
      <c r="O1221">
        <v>87424</v>
      </c>
      <c r="P1221">
        <v>6.1920217296227396E-3</v>
      </c>
      <c r="Q1221">
        <v>6.1729299337496598E-3</v>
      </c>
      <c r="R1221" s="8">
        <v>46.649131774902301</v>
      </c>
      <c r="S1221" s="8">
        <v>-1.9913345988351799E-2</v>
      </c>
      <c r="T1221" s="9">
        <v>-2.0114288765689301E-2</v>
      </c>
      <c r="U1221" s="12">
        <v>2.462E-2</v>
      </c>
      <c r="V1221" s="16">
        <v>3.6962999999999999</v>
      </c>
      <c r="W1221" s="17">
        <f t="shared" si="19"/>
        <v>-1.2159533073929918E-3</v>
      </c>
    </row>
    <row r="1222" spans="1:23" x14ac:dyDescent="0.2">
      <c r="A1222" s="14">
        <v>43327</v>
      </c>
      <c r="B1222" s="3">
        <v>-167805686359115</v>
      </c>
      <c r="C1222" s="3">
        <f>[1]!nefin_factors__1[[#This Row],[Rm_minus_Rf]]/B1221-1</f>
        <v>-2.129257858833018</v>
      </c>
      <c r="D1222" s="3">
        <v>-6027562692.9640398</v>
      </c>
      <c r="E1222" s="3">
        <f>[1]!nefin_factors__1[[#This Row],[SMB]]/D1221-1</f>
        <v>-0.99999122150296371</v>
      </c>
      <c r="F1222" s="3">
        <v>-127919715940576</v>
      </c>
      <c r="G1222" s="3">
        <f>[1]!nefin_factors__1[[#This Row],[HML]]/F1221-1</f>
        <v>-0.77415484396461709</v>
      </c>
      <c r="H1222" s="3">
        <v>246575519610381</v>
      </c>
      <c r="I1222" s="4">
        <f>[1]!nefin_factors__1[[#This Row],[Risk_Free]]/H1221-1</f>
        <v>0</v>
      </c>
      <c r="J1222">
        <v>87428</v>
      </c>
      <c r="K1222">
        <v>89017</v>
      </c>
      <c r="L1222">
        <v>87094</v>
      </c>
      <c r="M1222">
        <v>88419</v>
      </c>
      <c r="N1222">
        <v>5878400</v>
      </c>
      <c r="O1222">
        <v>88419</v>
      </c>
      <c r="P1222">
        <v>1.13813140556369E-2</v>
      </c>
      <c r="Q1222">
        <v>1.1317034167424E-2</v>
      </c>
      <c r="R1222" s="8">
        <v>46.904628753662102</v>
      </c>
      <c r="S1222" s="8">
        <v>5.4769683674145099E-3</v>
      </c>
      <c r="T1222" s="9">
        <v>5.46202431672902E-3</v>
      </c>
      <c r="U1222" s="12">
        <v>2.462E-2</v>
      </c>
      <c r="V1222" s="16">
        <v>3.7079</v>
      </c>
      <c r="W1222" s="17">
        <f t="shared" si="19"/>
        <v>3.1382734085436681E-3</v>
      </c>
    </row>
    <row r="1223" spans="1:23" x14ac:dyDescent="0.2">
      <c r="A1223" s="15">
        <v>43328</v>
      </c>
      <c r="B1223" s="5">
        <v>-388222357474398</v>
      </c>
      <c r="C1223" s="5">
        <f>[1]!nefin_factors__1[[#This Row],[Rm_minus_Rf]]/B1222-1</f>
        <v>1.3135232535778143</v>
      </c>
      <c r="D1223" s="5">
        <v>-743876610483784</v>
      </c>
      <c r="E1223" s="5">
        <f>[1]!nefin_factors__1[[#This Row],[SMB]]/D1222-1</f>
        <v>123411.50491713831</v>
      </c>
      <c r="F1223" s="5">
        <v>457600252481603</v>
      </c>
      <c r="G1223" s="5">
        <f>[1]!nefin_factors__1[[#This Row],[HML]]/F1222-1</f>
        <v>-4.5772456897432239</v>
      </c>
      <c r="H1223" s="5">
        <v>246575519610381</v>
      </c>
      <c r="I1223" s="6">
        <f>[1]!nefin_factors__1[[#This Row],[Risk_Free]]/H1222-1</f>
        <v>0</v>
      </c>
      <c r="J1223">
        <v>88418</v>
      </c>
      <c r="K1223">
        <v>89598</v>
      </c>
      <c r="L1223">
        <v>88347</v>
      </c>
      <c r="M1223">
        <v>89598</v>
      </c>
      <c r="N1223">
        <v>4620800</v>
      </c>
      <c r="O1223">
        <v>89598</v>
      </c>
      <c r="P1223">
        <v>1.3334238116242E-2</v>
      </c>
      <c r="Q1223">
        <v>1.3246119627492401E-2</v>
      </c>
      <c r="R1223" s="8">
        <v>47.638156890869098</v>
      </c>
      <c r="S1223" s="8">
        <v>1.5638654455225401E-2</v>
      </c>
      <c r="T1223" s="9">
        <v>1.5517630832273799E-2</v>
      </c>
      <c r="U1223" s="12">
        <v>2.462E-2</v>
      </c>
      <c r="V1223" s="16">
        <v>3.6903000000000001</v>
      </c>
      <c r="W1223" s="17">
        <f t="shared" si="19"/>
        <v>-4.7466220771864576E-3</v>
      </c>
    </row>
    <row r="1224" spans="1:23" x14ac:dyDescent="0.2">
      <c r="A1224" s="14">
        <v>43329</v>
      </c>
      <c r="B1224" s="3">
        <v>-92260044999894</v>
      </c>
      <c r="C1224" s="3">
        <f>[1]!nefin_factors__1[[#This Row],[Rm_minus_Rf]]/B1223-1</f>
        <v>-0.76235257134571843</v>
      </c>
      <c r="D1224" s="3">
        <v>195772575617395</v>
      </c>
      <c r="E1224" s="3">
        <f>[1]!nefin_factors__1[[#This Row],[SMB]]/D1223-1</f>
        <v>-1.2631788294702173</v>
      </c>
      <c r="F1224" s="3">
        <v>348608073896491</v>
      </c>
      <c r="G1224" s="3">
        <f>[1]!nefin_factors__1[[#This Row],[HML]]/F1223-1</f>
        <v>-0.2381820770291071</v>
      </c>
      <c r="H1224" s="3">
        <v>246575519610381</v>
      </c>
      <c r="I1224" s="4">
        <f>[1]!nefin_factors__1[[#This Row],[Risk_Free]]/H1223-1</f>
        <v>0</v>
      </c>
      <c r="J1224">
        <v>89587</v>
      </c>
      <c r="K1224">
        <v>89587</v>
      </c>
      <c r="L1224">
        <v>88066</v>
      </c>
      <c r="M1224">
        <v>88669</v>
      </c>
      <c r="N1224">
        <v>0</v>
      </c>
      <c r="O1224">
        <v>88669</v>
      </c>
      <c r="P1224">
        <v>-1.0368535011942201E-2</v>
      </c>
      <c r="Q1224">
        <v>-1.0422662746377801E-2</v>
      </c>
      <c r="R1224" s="8">
        <v>46.855178833007798</v>
      </c>
      <c r="S1224" s="8">
        <v>-1.6435908414810001E-2</v>
      </c>
      <c r="T1224" s="9">
        <v>-1.6572476438272199E-2</v>
      </c>
      <c r="U1224" s="12">
        <v>2.462E-2</v>
      </c>
      <c r="V1224" s="16">
        <v>3.7080000000000002</v>
      </c>
      <c r="W1224" s="17">
        <f t="shared" si="19"/>
        <v>4.7963580196732636E-3</v>
      </c>
    </row>
    <row r="1225" spans="1:23" x14ac:dyDescent="0.2">
      <c r="A1225" s="15">
        <v>43332</v>
      </c>
      <c r="B1225" s="5">
        <v>273738141462394</v>
      </c>
      <c r="C1225" s="5">
        <f>[1]!nefin_factors__1[[#This Row],[Rm_minus_Rf]]/B1224-1</f>
        <v>-3.9670280505793003</v>
      </c>
      <c r="D1225" s="5">
        <v>-305527260544351</v>
      </c>
      <c r="E1225" s="5">
        <f>[1]!nefin_factors__1[[#This Row],[SMB]]/D1224-1</f>
        <v>-2.5606233895673585</v>
      </c>
      <c r="F1225" s="5">
        <v>426513256713613</v>
      </c>
      <c r="G1225" s="5">
        <f>[1]!nefin_factors__1[[#This Row],[HML]]/F1224-1</f>
        <v>0.22347498136332233</v>
      </c>
      <c r="H1225" s="5">
        <v>246948515258083</v>
      </c>
      <c r="I1225" s="6">
        <f>[1]!nefin_factors__1[[#This Row],[Risk_Free]]/H1224-1</f>
        <v>1.5127034844797382E-3</v>
      </c>
      <c r="J1225">
        <v>88676</v>
      </c>
      <c r="K1225">
        <v>89565</v>
      </c>
      <c r="L1225">
        <v>87541</v>
      </c>
      <c r="M1225">
        <v>87714</v>
      </c>
      <c r="N1225">
        <v>4371300</v>
      </c>
      <c r="O1225">
        <v>87714</v>
      </c>
      <c r="P1225">
        <v>-1.07703932603277E-2</v>
      </c>
      <c r="Q1225">
        <v>-1.0828813799274899E-2</v>
      </c>
      <c r="R1225" s="8">
        <v>46.5667114257812</v>
      </c>
      <c r="S1225" s="8">
        <v>-6.1566230047183099E-3</v>
      </c>
      <c r="T1225" s="9">
        <v>-6.1756531559794998E-3</v>
      </c>
      <c r="U1225" s="12">
        <v>2.462E-2</v>
      </c>
      <c r="V1225" s="16">
        <v>3.706</v>
      </c>
      <c r="W1225" s="17">
        <f t="shared" si="19"/>
        <v>-5.3937432578210487E-4</v>
      </c>
    </row>
    <row r="1226" spans="1:23" x14ac:dyDescent="0.2">
      <c r="A1226" s="14">
        <v>43333</v>
      </c>
      <c r="B1226" s="3">
        <v>-151001470302683</v>
      </c>
      <c r="C1226" s="3">
        <f>[1]!nefin_factors__1[[#This Row],[Rm_minus_Rf]]/B1225-1</f>
        <v>-1.5516274403559049</v>
      </c>
      <c r="D1226" s="3">
        <v>-24778572580217</v>
      </c>
      <c r="E1226" s="3">
        <f>[1]!nefin_factors__1[[#This Row],[SMB]]/D1225-1</f>
        <v>-0.91889897963255529</v>
      </c>
      <c r="F1226" s="3">
        <v>-237641421829775</v>
      </c>
      <c r="G1226" s="3">
        <f>[1]!nefin_factors__1[[#This Row],[HML]]/F1225-1</f>
        <v>-1.5571724163062579</v>
      </c>
      <c r="H1226" s="3">
        <v>247321475997264</v>
      </c>
      <c r="I1226" s="4">
        <f>[1]!nefin_factors__1[[#This Row],[Risk_Free]]/H1225-1</f>
        <v>1.5102773093866873E-3</v>
      </c>
      <c r="J1226">
        <v>87719</v>
      </c>
      <c r="K1226">
        <v>88570</v>
      </c>
      <c r="L1226">
        <v>85620</v>
      </c>
      <c r="M1226">
        <v>85620</v>
      </c>
      <c r="N1226">
        <v>5297700</v>
      </c>
      <c r="O1226">
        <v>85620</v>
      </c>
      <c r="P1226">
        <v>-2.3873041931732699E-2</v>
      </c>
      <c r="Q1226">
        <v>-2.41626210407338E-2</v>
      </c>
      <c r="R1226" s="8">
        <v>46.813968658447301</v>
      </c>
      <c r="S1226" s="8">
        <v>5.3097839360301E-3</v>
      </c>
      <c r="T1226" s="9">
        <v>5.2957367364292801E-3</v>
      </c>
      <c r="U1226" s="12">
        <v>2.462E-2</v>
      </c>
      <c r="V1226" s="16">
        <v>3.7014</v>
      </c>
      <c r="W1226" s="17">
        <f t="shared" si="19"/>
        <v>-1.2412304371289817E-3</v>
      </c>
    </row>
    <row r="1227" spans="1:23" x14ac:dyDescent="0.2">
      <c r="A1227" s="15">
        <v>43334</v>
      </c>
      <c r="B1227" s="5">
        <v>195490068481126</v>
      </c>
      <c r="C1227" s="5">
        <f>[1]!nefin_factors__1[[#This Row],[Rm_minus_Rf]]/B1226-1</f>
        <v>-2.2946236092222509</v>
      </c>
      <c r="D1227" s="5">
        <v>-46660355496568</v>
      </c>
      <c r="E1227" s="5">
        <f>[1]!nefin_factors__1[[#This Row],[SMB]]/D1226-1</f>
        <v>0.88309295644500629</v>
      </c>
      <c r="F1227" s="5">
        <v>459612962224115</v>
      </c>
      <c r="G1227" s="5">
        <f>[1]!nefin_factors__1[[#This Row],[HML]]/F1226-1</f>
        <v>-2.9340608160194419</v>
      </c>
      <c r="H1227" s="5">
        <v>247321475997264</v>
      </c>
      <c r="I1227" s="6">
        <f>[1]!nefin_factors__1[[#This Row],[Risk_Free]]/H1226-1</f>
        <v>0</v>
      </c>
      <c r="J1227">
        <v>85620</v>
      </c>
      <c r="K1227">
        <v>86233</v>
      </c>
      <c r="L1227">
        <v>84030</v>
      </c>
      <c r="M1227">
        <v>85641</v>
      </c>
      <c r="N1227">
        <v>4814400</v>
      </c>
      <c r="O1227">
        <v>85641</v>
      </c>
      <c r="P1227">
        <v>2.45269796776526E-4</v>
      </c>
      <c r="Q1227">
        <v>2.4523972305727E-4</v>
      </c>
      <c r="R1227" s="8">
        <v>45.709556579589801</v>
      </c>
      <c r="S1227" s="8">
        <v>-2.3591507926091E-2</v>
      </c>
      <c r="T1227" s="9">
        <v>-2.3874243170234899E-2</v>
      </c>
      <c r="U1227" s="12">
        <v>2.462E-2</v>
      </c>
      <c r="V1227" s="16">
        <v>3.6753</v>
      </c>
      <c r="W1227" s="17">
        <f t="shared" si="19"/>
        <v>-7.051385962068446E-3</v>
      </c>
    </row>
    <row r="1228" spans="1:23" x14ac:dyDescent="0.2">
      <c r="A1228" s="14">
        <v>43335</v>
      </c>
      <c r="B1228" s="3">
        <v>-153632114468831</v>
      </c>
      <c r="C1228" s="3">
        <f>[1]!nefin_factors__1[[#This Row],[Rm_minus_Rf]]/B1227-1</f>
        <v>-1.7858819410238413</v>
      </c>
      <c r="D1228" s="3">
        <v>125412216506399</v>
      </c>
      <c r="E1228" s="3">
        <f>[1]!nefin_factors__1[[#This Row],[SMB]]/D1227-1</f>
        <v>-3.6877681314627666</v>
      </c>
      <c r="F1228" s="3">
        <v>-180697035695525</v>
      </c>
      <c r="G1228" s="3">
        <f>[1]!nefin_factors__1[[#This Row],[HML]]/F1227-1</f>
        <v>-1.3931504342721608</v>
      </c>
      <c r="H1228" s="3">
        <v>247694401834142</v>
      </c>
      <c r="I1228" s="4">
        <f>[1]!nefin_factors__1[[#This Row],[Risk_Free]]/H1227-1</f>
        <v>1.5078586902907976E-3</v>
      </c>
      <c r="J1228">
        <v>85644</v>
      </c>
      <c r="K1228">
        <v>86227</v>
      </c>
      <c r="L1228">
        <v>85009</v>
      </c>
      <c r="M1228">
        <v>85525</v>
      </c>
      <c r="N1228">
        <v>3534000</v>
      </c>
      <c r="O1228">
        <v>85525</v>
      </c>
      <c r="P1228">
        <v>-1.3544914235004101E-3</v>
      </c>
      <c r="Q1228">
        <v>-1.35540957618886E-3</v>
      </c>
      <c r="R1228" s="8">
        <v>46.319454193115199</v>
      </c>
      <c r="S1228" s="8">
        <v>1.3342891689876801E-2</v>
      </c>
      <c r="T1228" s="9">
        <v>1.32546592942283E-2</v>
      </c>
      <c r="U1228" s="12">
        <v>2.462E-2</v>
      </c>
      <c r="V1228" s="16">
        <v>3.6368</v>
      </c>
      <c r="W1228" s="17">
        <f t="shared" si="19"/>
        <v>-1.0475335346774362E-2</v>
      </c>
    </row>
    <row r="1229" spans="1:23" x14ac:dyDescent="0.2">
      <c r="A1229" s="15">
        <v>43336</v>
      </c>
      <c r="B1229" s="5">
        <v>775294136529982</v>
      </c>
      <c r="C1229" s="5">
        <f>[1]!nefin_factors__1[[#This Row],[Rm_minus_Rf]]/B1228-1</f>
        <v>-6.046432767071459</v>
      </c>
      <c r="D1229" s="5">
        <v>-100606171372136</v>
      </c>
      <c r="E1229" s="5">
        <f>[1]!nefin_factors__1[[#This Row],[SMB]]/D1228-1</f>
        <v>-1.802203917407063</v>
      </c>
      <c r="F1229" s="5">
        <v>-298581096174889</v>
      </c>
      <c r="G1229" s="5">
        <f>[1]!nefin_factors__1[[#This Row],[HML]]/F1228-1</f>
        <v>0.65238513750717497</v>
      </c>
      <c r="H1229" s="5">
        <v>247694401834142</v>
      </c>
      <c r="I1229" s="6">
        <f>[1]!nefin_factors__1[[#This Row],[Risk_Free]]/H1228-1</f>
        <v>0</v>
      </c>
      <c r="J1229">
        <v>85531</v>
      </c>
      <c r="K1229">
        <v>85941</v>
      </c>
      <c r="L1229">
        <v>84071</v>
      </c>
      <c r="M1229">
        <v>84914</v>
      </c>
      <c r="N1229">
        <v>4410700</v>
      </c>
      <c r="O1229">
        <v>84914</v>
      </c>
      <c r="P1229">
        <v>-7.1441099093831903E-3</v>
      </c>
      <c r="Q1229">
        <v>-7.1697512586434498E-3</v>
      </c>
      <c r="R1229" s="8">
        <v>46.484294891357401</v>
      </c>
      <c r="S1229" s="8">
        <v>3.5588077306944999E-3</v>
      </c>
      <c r="T1229" s="9">
        <v>3.5524901587084198E-3</v>
      </c>
      <c r="U1229" s="12">
        <v>2.462E-2</v>
      </c>
      <c r="V1229" s="16">
        <v>3.7019000000000002</v>
      </c>
      <c r="W1229" s="17">
        <f t="shared" si="19"/>
        <v>1.7900351957765182E-2</v>
      </c>
    </row>
    <row r="1230" spans="1:23" x14ac:dyDescent="0.2">
      <c r="A1230" s="14">
        <v>43339</v>
      </c>
      <c r="B1230" s="3">
        <v>1918555239867</v>
      </c>
      <c r="C1230" s="3">
        <f>[1]!nefin_factors__1[[#This Row],[Rm_minus_Rf]]/B1229-1</f>
        <v>-0.99752538404526836</v>
      </c>
      <c r="D1230" s="3">
        <v>824894470798549</v>
      </c>
      <c r="E1230" s="3">
        <f>[1]!nefin_factors__1[[#This Row],[SMB]]/D1229-1</f>
        <v>-9.1992432427163475</v>
      </c>
      <c r="F1230" s="3">
        <v>651158800626357</v>
      </c>
      <c r="G1230" s="3">
        <f>[1]!nefin_factors__1[[#This Row],[HML]]/F1229-1</f>
        <v>-3.1808440285347181</v>
      </c>
      <c r="H1230" s="3">
        <v>247321475997264</v>
      </c>
      <c r="I1230" s="4">
        <f>[1]!nefin_factors__1[[#This Row],[Risk_Free]]/H1229-1</f>
        <v>-1.5055884756237647E-3</v>
      </c>
      <c r="J1230">
        <v>84898</v>
      </c>
      <c r="K1230">
        <v>85973</v>
      </c>
      <c r="L1230">
        <v>84267</v>
      </c>
      <c r="M1230">
        <v>85973</v>
      </c>
      <c r="N1230">
        <v>5591600</v>
      </c>
      <c r="O1230">
        <v>85973</v>
      </c>
      <c r="P1230">
        <v>1.2471441693949099E-2</v>
      </c>
      <c r="Q1230">
        <v>1.23943138663967E-2</v>
      </c>
      <c r="R1230" s="8">
        <v>46.195827484130902</v>
      </c>
      <c r="S1230" s="8">
        <v>-6.2057446768358799E-3</v>
      </c>
      <c r="T1230" s="9">
        <v>-6.2250803466593896E-3</v>
      </c>
      <c r="U1230" s="12">
        <v>2.462E-2</v>
      </c>
      <c r="V1230" s="16">
        <v>3.7176999999999998</v>
      </c>
      <c r="W1230" s="17">
        <f t="shared" si="19"/>
        <v>4.2680785542557054E-3</v>
      </c>
    </row>
    <row r="1231" spans="1:23" x14ac:dyDescent="0.2">
      <c r="A1231" s="15">
        <v>43340</v>
      </c>
      <c r="B1231" s="5">
        <v>-548160784703924</v>
      </c>
      <c r="C1231" s="5">
        <f>[1]!nefin_factors__1[[#This Row],[Rm_minus_Rf]]/B1230-1</f>
        <v>-286.71540360856335</v>
      </c>
      <c r="D1231" s="5">
        <v>-386328624560535</v>
      </c>
      <c r="E1231" s="5">
        <f>[1]!nefin_factors__1[[#This Row],[SMB]]/D1230-1</f>
        <v>-1.4683370276279644</v>
      </c>
      <c r="F1231" s="5">
        <v>-805685104421675</v>
      </c>
      <c r="G1231" s="5">
        <f>[1]!nefin_factors__1[[#This Row],[HML]]/F1230-1</f>
        <v>-2.2373097063983121</v>
      </c>
      <c r="H1231" s="5">
        <v>247694401834142</v>
      </c>
      <c r="I1231" s="6">
        <f>[1]!nefin_factors__1[[#This Row],[Risk_Free]]/H1230-1</f>
        <v>1.5078586902907976E-3</v>
      </c>
      <c r="J1231">
        <v>85975</v>
      </c>
      <c r="K1231">
        <v>88516</v>
      </c>
      <c r="L1231">
        <v>85975</v>
      </c>
      <c r="M1231">
        <v>88515</v>
      </c>
      <c r="N1231">
        <v>5184200</v>
      </c>
      <c r="O1231">
        <v>88515</v>
      </c>
      <c r="P1231">
        <v>2.95674223302664E-2</v>
      </c>
      <c r="Q1231">
        <v>2.9138735705820099E-2</v>
      </c>
      <c r="R1231" s="8">
        <v>47.811237335205099</v>
      </c>
      <c r="S1231" s="8">
        <v>3.4968776677623402E-2</v>
      </c>
      <c r="T1231" s="9">
        <v>3.4371258801051997E-2</v>
      </c>
      <c r="U1231" s="12">
        <v>2.462E-2</v>
      </c>
      <c r="V1231" s="16">
        <v>3.6972999999999998</v>
      </c>
      <c r="W1231" s="17">
        <f t="shared" si="19"/>
        <v>-5.4872636307394806E-3</v>
      </c>
    </row>
    <row r="1232" spans="1:23" x14ac:dyDescent="0.2">
      <c r="A1232" s="14">
        <v>43341</v>
      </c>
      <c r="B1232" s="3">
        <v>115912452940378</v>
      </c>
      <c r="C1232" s="3">
        <f>[1]!nefin_factors__1[[#This Row],[Rm_minus_Rf]]/B1231-1</f>
        <v>-1.211457032635024</v>
      </c>
      <c r="D1232" s="3">
        <v>-148519251323782</v>
      </c>
      <c r="E1232" s="3">
        <f>[1]!nefin_factors__1[[#This Row],[SMB]]/D1231-1</f>
        <v>-0.61556239459934181</v>
      </c>
      <c r="F1232" s="3">
        <v>173157579878134</v>
      </c>
      <c r="G1232" s="3">
        <f>[1]!nefin_factors__1[[#This Row],[HML]]/F1231-1</f>
        <v>-1.2149196738624422</v>
      </c>
      <c r="H1232" s="3">
        <v>247694401834142</v>
      </c>
      <c r="I1232" s="4">
        <f>[1]!nefin_factors__1[[#This Row],[Risk_Free]]/H1231-1</f>
        <v>0</v>
      </c>
      <c r="J1232">
        <v>88472</v>
      </c>
      <c r="K1232">
        <v>88484</v>
      </c>
      <c r="L1232">
        <v>87047</v>
      </c>
      <c r="M1232">
        <v>87901</v>
      </c>
      <c r="N1232">
        <v>3642100</v>
      </c>
      <c r="O1232">
        <v>87901</v>
      </c>
      <c r="P1232">
        <v>-6.9366773993108097E-3</v>
      </c>
      <c r="Q1232">
        <v>-6.9608479865454504E-3</v>
      </c>
      <c r="R1232" s="8">
        <v>47.168369293212898</v>
      </c>
      <c r="S1232" s="8">
        <v>-1.3445952177448499E-2</v>
      </c>
      <c r="T1232" s="9">
        <v>-1.35371675670754E-2</v>
      </c>
      <c r="U1232" s="12">
        <v>2.462E-2</v>
      </c>
      <c r="V1232" s="16">
        <v>3.7048000000000001</v>
      </c>
      <c r="W1232" s="17">
        <f t="shared" si="19"/>
        <v>2.0285072891028655E-3</v>
      </c>
    </row>
    <row r="1233" spans="1:23" x14ac:dyDescent="0.2">
      <c r="A1233" s="15">
        <v>43342</v>
      </c>
      <c r="B1233" s="5">
        <v>-233755030855427</v>
      </c>
      <c r="C1233" s="5">
        <f>[1]!nefin_factors__1[[#This Row],[Rm_minus_Rf]]/B1232-1</f>
        <v>-3.0166515756133969</v>
      </c>
      <c r="D1233" s="5">
        <v>187430680649422</v>
      </c>
      <c r="E1233" s="5">
        <f>[1]!nefin_factors__1[[#This Row],[SMB]]/D1232-1</f>
        <v>-2.2619958623465619</v>
      </c>
      <c r="F1233" s="5">
        <v>515369838040814</v>
      </c>
      <c r="G1233" s="5">
        <f>[1]!nefin_factors__1[[#This Row],[HML]]/F1232-1</f>
        <v>1.9763053884416983</v>
      </c>
      <c r="H1233" s="5">
        <v>249185756291626</v>
      </c>
      <c r="I1233" s="6">
        <f>[1]!nefin_factors__1[[#This Row],[Risk_Free]]/H1232-1</f>
        <v>6.0209453521788969E-3</v>
      </c>
      <c r="J1233">
        <v>87896</v>
      </c>
      <c r="K1233">
        <v>87896</v>
      </c>
      <c r="L1233">
        <v>86254</v>
      </c>
      <c r="M1233">
        <v>87269</v>
      </c>
      <c r="N1233">
        <v>4140600</v>
      </c>
      <c r="O1233">
        <v>87269</v>
      </c>
      <c r="P1233">
        <v>-7.1899068269986001E-3</v>
      </c>
      <c r="Q1233">
        <v>-7.2158787725451297E-3</v>
      </c>
      <c r="R1233" s="8">
        <v>46.904628753662102</v>
      </c>
      <c r="S1233" s="8">
        <v>-5.59146439059188E-3</v>
      </c>
      <c r="T1233" s="9">
        <v>-5.6071551444703003E-3</v>
      </c>
      <c r="U1233" s="12">
        <v>2.462E-2</v>
      </c>
      <c r="V1233" s="16">
        <v>3.7492000000000001</v>
      </c>
      <c r="W1233" s="17">
        <f t="shared" si="19"/>
        <v>1.1984452602029849E-2</v>
      </c>
    </row>
    <row r="1234" spans="1:23" x14ac:dyDescent="0.2">
      <c r="A1234" s="14">
        <v>43343</v>
      </c>
      <c r="B1234" s="3">
        <v>330194220004108</v>
      </c>
      <c r="C1234" s="3">
        <f>[1]!nefin_factors__1[[#This Row],[Rm_minus_Rf]]/B1233-1</f>
        <v>-2.4125651918410549</v>
      </c>
      <c r="D1234" s="3">
        <v>-838049784186553</v>
      </c>
      <c r="E1234" s="3">
        <f>[1]!nefin_factors__1[[#This Row],[SMB]]/D1233-1</f>
        <v>-5.4712518851386749</v>
      </c>
      <c r="F1234" s="3">
        <v>151014009946787</v>
      </c>
      <c r="G1234" s="3">
        <f>[1]!nefin_factors__1[[#This Row],[HML]]/F1233-1</f>
        <v>-0.70697934027169884</v>
      </c>
      <c r="H1234" s="3">
        <v>2480672927756</v>
      </c>
      <c r="I1234" s="4">
        <f>[1]!nefin_factors__1[[#This Row],[Risk_Free]]/H1233-1</f>
        <v>-0.99004488472907404</v>
      </c>
      <c r="J1234">
        <v>87269</v>
      </c>
      <c r="K1234">
        <v>87656</v>
      </c>
      <c r="L1234">
        <v>87222</v>
      </c>
      <c r="M1234">
        <v>87477</v>
      </c>
      <c r="N1234">
        <v>2244500</v>
      </c>
      <c r="O1234">
        <v>87477</v>
      </c>
      <c r="P1234">
        <v>2.3834351258751299E-3</v>
      </c>
      <c r="Q1234">
        <v>2.3805992495664501E-3</v>
      </c>
      <c r="R1234" s="8">
        <v>47.605190277099602</v>
      </c>
      <c r="S1234" s="8">
        <v>1.4935822405355501E-2</v>
      </c>
      <c r="T1234" s="9">
        <v>1.4825381337418E-2</v>
      </c>
      <c r="U1234" s="12">
        <v>2.462E-2</v>
      </c>
      <c r="V1234" s="16">
        <v>3.7591999999999999</v>
      </c>
      <c r="W1234" s="17">
        <f t="shared" si="19"/>
        <v>2.6672356769443795E-3</v>
      </c>
    </row>
    <row r="1235" spans="1:23" x14ac:dyDescent="0.2">
      <c r="A1235" s="15">
        <v>43346</v>
      </c>
      <c r="B1235" s="5">
        <v>-652701875919549</v>
      </c>
      <c r="C1235" s="5">
        <f>[1]!nefin_factors__1[[#This Row],[Rm_minus_Rf]]/B1234-1</f>
        <v>-2.9767210822510117</v>
      </c>
      <c r="D1235" s="5">
        <v>-551375808660484</v>
      </c>
      <c r="E1235" s="5">
        <f>[1]!nefin_factors__1[[#This Row],[SMB]]/D1234-1</f>
        <v>-0.34207272758184293</v>
      </c>
      <c r="F1235" s="5">
        <v>-804860603339207</v>
      </c>
      <c r="G1235" s="5">
        <f>[1]!nefin_factors__1[[#This Row],[HML]]/F1234-1</f>
        <v>-6.3297081749091806</v>
      </c>
      <c r="H1235" s="5">
        <v>249185756291626</v>
      </c>
      <c r="I1235" s="6">
        <f>[1]!nefin_factors__1[[#This Row],[Risk_Free]]/H1234-1</f>
        <v>99.450871013067314</v>
      </c>
      <c r="J1235">
        <v>87479</v>
      </c>
      <c r="K1235">
        <v>87479</v>
      </c>
      <c r="L1235">
        <v>85763</v>
      </c>
      <c r="M1235">
        <v>86230</v>
      </c>
      <c r="N1235">
        <v>4148700</v>
      </c>
      <c r="O1235">
        <v>86230</v>
      </c>
      <c r="P1235">
        <v>-1.42551756461698E-2</v>
      </c>
      <c r="Q1235">
        <v>-1.43577567034846E-2</v>
      </c>
      <c r="R1235" s="8">
        <v>47.926624298095703</v>
      </c>
      <c r="S1235" s="8">
        <v>6.7521157896006699E-3</v>
      </c>
      <c r="T1235" s="9">
        <v>6.7294223509933096E-3</v>
      </c>
      <c r="U1235" s="12">
        <v>2.462E-2</v>
      </c>
      <c r="V1235" s="16">
        <v>3.7391000000000001</v>
      </c>
      <c r="W1235" s="17">
        <f t="shared" si="19"/>
        <v>-5.3468823153861589E-3</v>
      </c>
    </row>
    <row r="1236" spans="1:23" x14ac:dyDescent="0.2">
      <c r="A1236" s="14">
        <v>43347</v>
      </c>
      <c r="B1236" s="3">
        <v>-188233904046894</v>
      </c>
      <c r="C1236" s="3">
        <f>[1]!nefin_factors__1[[#This Row],[Rm_minus_Rf]]/B1235-1</f>
        <v>-0.7116081460901218</v>
      </c>
      <c r="D1236" s="3">
        <v>96070507322653</v>
      </c>
      <c r="E1236" s="3">
        <f>[1]!nefin_factors__1[[#This Row],[SMB]]/D1235-1</f>
        <v>-1.1742377989996466</v>
      </c>
      <c r="F1236" s="3">
        <v>299908216987746</v>
      </c>
      <c r="G1236" s="3">
        <f>[1]!nefin_factors__1[[#This Row],[HML]]/F1235-1</f>
        <v>-1.3726213157203699</v>
      </c>
      <c r="H1236" s="3">
        <v>249185756291626</v>
      </c>
      <c r="I1236" s="4">
        <f>[1]!nefin_factors__1[[#This Row],[Risk_Free]]/H1235-1</f>
        <v>0</v>
      </c>
      <c r="J1236">
        <v>86237</v>
      </c>
      <c r="K1236">
        <v>87147</v>
      </c>
      <c r="L1236">
        <v>84905</v>
      </c>
      <c r="M1236">
        <v>85547</v>
      </c>
      <c r="N1236">
        <v>4557300</v>
      </c>
      <c r="O1236">
        <v>85547</v>
      </c>
      <c r="P1236">
        <v>-7.92067725849477E-3</v>
      </c>
      <c r="Q1236">
        <v>-7.9522124530563305E-3</v>
      </c>
      <c r="R1236" s="8">
        <v>47.176612854003899</v>
      </c>
      <c r="S1236" s="8">
        <v>-1.5649217158490901E-2</v>
      </c>
      <c r="T1236" s="9">
        <v>-1.5772958828594499E-2</v>
      </c>
      <c r="U1236" s="12">
        <v>2.462E-2</v>
      </c>
      <c r="V1236" s="16">
        <v>3.7505999999999999</v>
      </c>
      <c r="W1236" s="17">
        <f t="shared" si="19"/>
        <v>3.0756064293546714E-3</v>
      </c>
    </row>
    <row r="1237" spans="1:23" x14ac:dyDescent="0.2">
      <c r="A1237" s="15">
        <v>43348</v>
      </c>
      <c r="B1237" s="5">
        <v>476124850060083</v>
      </c>
      <c r="C1237" s="5">
        <f>[1]!nefin_factors__1[[#This Row],[Rm_minus_Rf]]/B1236-1</f>
        <v>-3.5294319451689629</v>
      </c>
      <c r="D1237" s="5">
        <v>-125321607541274</v>
      </c>
      <c r="E1237" s="5">
        <f>[1]!nefin_factors__1[[#This Row],[SMB]]/D1236-1</f>
        <v>-2.3044753383094054</v>
      </c>
      <c r="F1237" s="5">
        <v>-364584493344292</v>
      </c>
      <c r="G1237" s="5">
        <f>[1]!nefin_factors__1[[#This Row],[HML]]/F1236-1</f>
        <v>-2.2156535656346774</v>
      </c>
      <c r="H1237" s="5">
        <v>248812969997791</v>
      </c>
      <c r="I1237" s="6">
        <f>[1]!nefin_factors__1[[#This Row],[Risk_Free]]/H1236-1</f>
        <v>-1.4960176672326186E-3</v>
      </c>
      <c r="J1237">
        <v>85547</v>
      </c>
      <c r="K1237">
        <v>88018</v>
      </c>
      <c r="L1237">
        <v>85377</v>
      </c>
      <c r="M1237">
        <v>87891</v>
      </c>
      <c r="N1237">
        <v>4971300</v>
      </c>
      <c r="O1237">
        <v>87891</v>
      </c>
      <c r="P1237">
        <v>2.7400142611663701E-2</v>
      </c>
      <c r="Q1237">
        <v>2.70314778593366E-2</v>
      </c>
      <c r="R1237" s="8">
        <v>48.998069763183601</v>
      </c>
      <c r="S1237" s="8">
        <v>3.86093082809187E-2</v>
      </c>
      <c r="T1237" s="9">
        <v>3.7882614722715598E-2</v>
      </c>
      <c r="U1237" s="12">
        <v>2.462E-2</v>
      </c>
      <c r="V1237" s="16">
        <v>3.7477999999999998</v>
      </c>
      <c r="W1237" s="17">
        <f t="shared" si="19"/>
        <v>-7.4654721911160404E-4</v>
      </c>
    </row>
    <row r="1238" spans="1:23" x14ac:dyDescent="0.2">
      <c r="A1238" s="14">
        <v>43349</v>
      </c>
      <c r="B1238" s="3">
        <v>16847011522377</v>
      </c>
      <c r="C1238" s="3">
        <f>[1]!nefin_factors__1[[#This Row],[Rm_minus_Rf]]/B1237-1</f>
        <v>-0.96461639941655841</v>
      </c>
      <c r="D1238" s="3">
        <v>-103363388354964</v>
      </c>
      <c r="E1238" s="3">
        <f>[1]!nefin_factors__1[[#This Row],[SMB]]/D1237-1</f>
        <v>-0.17521494989663433</v>
      </c>
      <c r="F1238" s="3">
        <v>270022755459115</v>
      </c>
      <c r="G1238" s="3">
        <f>[1]!nefin_factors__1[[#This Row],[HML]]/F1237-1</f>
        <v>-1.7406314870449564</v>
      </c>
      <c r="H1238" s="3">
        <v>247694401834142</v>
      </c>
      <c r="I1238" s="4">
        <f>[1]!nefin_factors__1[[#This Row],[Risk_Free]]/H1237-1</f>
        <v>-4.4956183902267188E-3</v>
      </c>
      <c r="J1238">
        <v>87891</v>
      </c>
      <c r="K1238">
        <v>89483</v>
      </c>
      <c r="L1238">
        <v>87153</v>
      </c>
      <c r="M1238">
        <v>89251</v>
      </c>
      <c r="N1238">
        <v>5295600</v>
      </c>
      <c r="O1238">
        <v>89251</v>
      </c>
      <c r="P1238">
        <v>1.5473711756607699E-2</v>
      </c>
      <c r="Q1238">
        <v>1.5355214708258E-2</v>
      </c>
      <c r="R1238" s="8">
        <v>50.6959037780762</v>
      </c>
      <c r="S1238" s="8">
        <v>3.4651089964848197E-2</v>
      </c>
      <c r="T1238" s="9">
        <v>3.4064258737522703E-2</v>
      </c>
      <c r="U1238" s="12">
        <v>2.462E-2</v>
      </c>
      <c r="V1238" s="16">
        <v>3.7791999999999999</v>
      </c>
      <c r="W1238" s="17">
        <f t="shared" si="19"/>
        <v>8.3782485724959166E-3</v>
      </c>
    </row>
    <row r="1239" spans="1:23" x14ac:dyDescent="0.2">
      <c r="A1239" s="15">
        <v>43353</v>
      </c>
      <c r="B1239" s="5">
        <v>-446048163302054</v>
      </c>
      <c r="C1239" s="5">
        <f>[1]!nefin_factors__1[[#This Row],[Rm_minus_Rf]]/B1238-1</f>
        <v>-27.476396879624119</v>
      </c>
      <c r="D1239" s="5">
        <v>765877155922034</v>
      </c>
      <c r="E1239" s="5">
        <f>[1]!nefin_factors__1[[#This Row],[SMB]]/D1238-1</f>
        <v>-8.4095593044212826</v>
      </c>
      <c r="F1239" s="5">
        <v>575369751126739</v>
      </c>
      <c r="G1239" s="5">
        <f>[1]!nefin_factors__1[[#This Row],[HML]]/F1238-1</f>
        <v>1.1308194938920901</v>
      </c>
      <c r="H1239" s="5">
        <v>247694401834142</v>
      </c>
      <c r="I1239" s="6">
        <f>[1]!nefin_factors__1[[#This Row],[Risk_Free]]/H1238-1</f>
        <v>0</v>
      </c>
      <c r="J1239">
        <v>89145</v>
      </c>
      <c r="K1239">
        <v>89910</v>
      </c>
      <c r="L1239">
        <v>88475</v>
      </c>
      <c r="M1239">
        <v>89710</v>
      </c>
      <c r="N1239">
        <v>4257400</v>
      </c>
      <c r="O1239">
        <v>89710</v>
      </c>
      <c r="P1239">
        <v>5.1427995204536003E-3</v>
      </c>
      <c r="Q1239">
        <v>5.12962049242078E-3</v>
      </c>
      <c r="R1239" s="8">
        <v>49.962371826171903</v>
      </c>
      <c r="S1239" s="8">
        <v>-1.4469276856966799E-2</v>
      </c>
      <c r="T1239" s="9">
        <v>-1.4574977692108601E-2</v>
      </c>
      <c r="U1239" s="12">
        <v>2.462E-2</v>
      </c>
      <c r="V1239" s="16">
        <v>3.7924000000000002</v>
      </c>
      <c r="W1239" s="17">
        <f t="shared" si="19"/>
        <v>3.492802709568199E-3</v>
      </c>
    </row>
    <row r="1240" spans="1:23" x14ac:dyDescent="0.2">
      <c r="A1240" s="14">
        <v>43354</v>
      </c>
      <c r="B1240" s="3">
        <v>-227491753484485</v>
      </c>
      <c r="C1240" s="3">
        <f>[1]!nefin_factors__1[[#This Row],[Rm_minus_Rf]]/B1239-1</f>
        <v>-0.4899838802151224</v>
      </c>
      <c r="D1240" s="3">
        <v>411498456041699</v>
      </c>
      <c r="E1240" s="3">
        <f>[1]!nefin_factors__1[[#This Row],[SMB]]/D1239-1</f>
        <v>-0.46270958356722502</v>
      </c>
      <c r="F1240" s="3">
        <v>-253359854896042</v>
      </c>
      <c r="G1240" s="3">
        <f>[1]!nefin_factors__1[[#This Row],[HML]]/F1239-1</f>
        <v>-1.4403426742540613</v>
      </c>
      <c r="H1240" s="3">
        <v>2480672927756</v>
      </c>
      <c r="I1240" s="4">
        <f>[1]!nefin_factors__1[[#This Row],[Risk_Free]]/H1239-1</f>
        <v>-0.98998494552405314</v>
      </c>
      <c r="J1240">
        <v>89709</v>
      </c>
      <c r="K1240">
        <v>90246</v>
      </c>
      <c r="L1240">
        <v>89258</v>
      </c>
      <c r="M1240">
        <v>89504</v>
      </c>
      <c r="N1240">
        <v>6736700</v>
      </c>
      <c r="O1240">
        <v>89504</v>
      </c>
      <c r="P1240">
        <v>-2.2962880392375399E-3</v>
      </c>
      <c r="Q1240">
        <v>-2.2989285516429401E-3</v>
      </c>
      <c r="R1240" s="8">
        <v>50.976127624511697</v>
      </c>
      <c r="S1240" s="8">
        <v>2.0290358816597201E-2</v>
      </c>
      <c r="T1240" s="9">
        <v>2.0087252293109901E-2</v>
      </c>
      <c r="U1240" s="12">
        <v>2.462E-2</v>
      </c>
      <c r="V1240" s="16">
        <v>3.7524999999999999</v>
      </c>
      <c r="W1240" s="17">
        <f t="shared" si="19"/>
        <v>-1.0521042084168375E-2</v>
      </c>
    </row>
    <row r="1241" spans="1:23" x14ac:dyDescent="0.2">
      <c r="A1241" s="15">
        <v>43355</v>
      </c>
      <c r="B1241" s="5">
        <v>56517199519702</v>
      </c>
      <c r="C1241" s="5">
        <f>[1]!nefin_factors__1[[#This Row],[Rm_minus_Rf]]/B1240-1</f>
        <v>-1.2484362560577673</v>
      </c>
      <c r="D1241" s="5">
        <v>-111003170191966</v>
      </c>
      <c r="E1241" s="5">
        <f>[1]!nefin_factors__1[[#This Row],[SMB]]/D1240-1</f>
        <v>-1.269753552078255</v>
      </c>
      <c r="F1241" s="5">
        <v>109801944429075</v>
      </c>
      <c r="G1241" s="5">
        <f>[1]!nefin_factors__1[[#This Row],[HML]]/F1240-1</f>
        <v>-1.433383356941567</v>
      </c>
      <c r="H1241" s="5">
        <v>248440148827855</v>
      </c>
      <c r="I1241" s="6">
        <f>[1]!nefin_factors__1[[#This Row],[Risk_Free]]/H1240-1</f>
        <v>99.150304398489283</v>
      </c>
      <c r="J1241">
        <v>89511</v>
      </c>
      <c r="K1241">
        <v>91242</v>
      </c>
      <c r="L1241">
        <v>89429</v>
      </c>
      <c r="M1241">
        <v>89820</v>
      </c>
      <c r="N1241">
        <v>5935600</v>
      </c>
      <c r="O1241">
        <v>89820</v>
      </c>
      <c r="P1241">
        <v>3.53056846621369E-3</v>
      </c>
      <c r="Q1241">
        <v>3.5243506400426598E-3</v>
      </c>
      <c r="R1241" s="8">
        <v>50.349742889404297</v>
      </c>
      <c r="S1241" s="8">
        <v>-1.22878410489807E-2</v>
      </c>
      <c r="T1241" s="9">
        <v>-1.23639607752749E-2</v>
      </c>
      <c r="U1241" s="12">
        <v>2.462E-2</v>
      </c>
      <c r="V1241" s="16">
        <v>3.7553000000000001</v>
      </c>
      <c r="W1241" s="17">
        <f t="shared" si="19"/>
        <v>7.4616922051973233E-4</v>
      </c>
    </row>
    <row r="1242" spans="1:23" x14ac:dyDescent="0.2">
      <c r="A1242" s="14">
        <v>43356</v>
      </c>
      <c r="B1242" s="3">
        <v>-664411638864719</v>
      </c>
      <c r="C1242" s="3">
        <f>[1]!nefin_factors__1[[#This Row],[Rm_minus_Rf]]/B1241-1</f>
        <v>-12.755919339795028</v>
      </c>
      <c r="D1242" s="3">
        <v>-496325644114495</v>
      </c>
      <c r="E1242" s="3">
        <f>[1]!nefin_factors__1[[#This Row],[SMB]]/D1241-1</f>
        <v>3.4712744983423658</v>
      </c>
      <c r="F1242" s="3">
        <v>-299073581294222</v>
      </c>
      <c r="G1242" s="3">
        <f>[1]!nefin_factors__1[[#This Row],[HML]]/F1241-1</f>
        <v>-3.7237548738256119</v>
      </c>
      <c r="H1242" s="3">
        <v>248812969997791</v>
      </c>
      <c r="I1242" s="4">
        <f>[1]!nefin_factors__1[[#This Row],[Risk_Free]]/H1241-1</f>
        <v>1.5006478288432934E-3</v>
      </c>
      <c r="J1242">
        <v>89820</v>
      </c>
      <c r="K1242">
        <v>90452</v>
      </c>
      <c r="L1242">
        <v>88041</v>
      </c>
      <c r="M1242">
        <v>88624</v>
      </c>
      <c r="N1242">
        <v>4879700</v>
      </c>
      <c r="O1242">
        <v>88624</v>
      </c>
      <c r="P1242">
        <v>-1.3315519928746401E-2</v>
      </c>
      <c r="Q1242">
        <v>-1.3404966368843901E-2</v>
      </c>
      <c r="R1242" s="8">
        <v>48.503555297851598</v>
      </c>
      <c r="S1242" s="8">
        <v>-3.6667235605124603E-2</v>
      </c>
      <c r="T1242" s="9">
        <v>-3.7356377137498301E-2</v>
      </c>
      <c r="U1242" s="12">
        <v>2.462E-2</v>
      </c>
      <c r="V1242" s="16">
        <v>3.7591000000000001</v>
      </c>
      <c r="W1242" s="17">
        <f t="shared" si="19"/>
        <v>1.0119031768434095E-3</v>
      </c>
    </row>
    <row r="1243" spans="1:23" x14ac:dyDescent="0.2">
      <c r="A1243" s="15">
        <v>43357</v>
      </c>
      <c r="B1243" s="5">
        <v>688818143497717</v>
      </c>
      <c r="C1243" s="5">
        <f>[1]!nefin_factors__1[[#This Row],[Rm_minus_Rf]]/B1242-1</f>
        <v>-2.0367340112745485</v>
      </c>
      <c r="D1243" s="5">
        <v>-104087826879433</v>
      </c>
      <c r="E1243" s="5">
        <f>[1]!nefin_factors__1[[#This Row],[SMB]]/D1242-1</f>
        <v>-0.79028319790902946</v>
      </c>
      <c r="F1243" s="5">
        <v>-90707268299892</v>
      </c>
      <c r="G1243" s="5">
        <f>[1]!nefin_factors__1[[#This Row],[HML]]/F1242-1</f>
        <v>-0.69670584774702582</v>
      </c>
      <c r="H1243" s="5">
        <v>249185756291626</v>
      </c>
      <c r="I1243" s="6">
        <f>[1]!nefin_factors__1[[#This Row],[Risk_Free]]/H1242-1</f>
        <v>1.4982590893002357E-3</v>
      </c>
      <c r="J1243">
        <v>88644</v>
      </c>
      <c r="K1243">
        <v>89111</v>
      </c>
      <c r="L1243">
        <v>88449</v>
      </c>
      <c r="M1243">
        <v>89040</v>
      </c>
      <c r="N1243">
        <v>2790000</v>
      </c>
      <c r="O1243">
        <v>89040</v>
      </c>
      <c r="P1243">
        <v>4.6939880844918402E-3</v>
      </c>
      <c r="Q1243">
        <v>4.6830056765413599E-3</v>
      </c>
      <c r="R1243" s="8">
        <v>48.956863403320298</v>
      </c>
      <c r="S1243" s="8">
        <v>9.3458684355247606E-3</v>
      </c>
      <c r="T1243" s="9">
        <v>9.3024660197288805E-3</v>
      </c>
      <c r="U1243" s="12">
        <v>2.462E-2</v>
      </c>
      <c r="V1243" s="16">
        <v>3.7871999999999999</v>
      </c>
      <c r="W1243" s="17">
        <f t="shared" si="19"/>
        <v>7.4751935303662975E-3</v>
      </c>
    </row>
    <row r="1244" spans="1:23" x14ac:dyDescent="0.2">
      <c r="A1244" s="14">
        <v>43360</v>
      </c>
      <c r="B1244" s="3">
        <v>158972936210175</v>
      </c>
      <c r="C1244" s="3">
        <f>[1]!nefin_factors__1[[#This Row],[Rm_minus_Rf]]/B1243-1</f>
        <v>-0.76920913348342734</v>
      </c>
      <c r="D1244" s="3">
        <v>-267600342457455</v>
      </c>
      <c r="E1244" s="3">
        <f>[1]!nefin_factors__1[[#This Row],[SMB]]/D1243-1</f>
        <v>1.5709091108936475</v>
      </c>
      <c r="F1244" s="3">
        <v>-77969101893445</v>
      </c>
      <c r="G1244" s="3">
        <f>[1]!nefin_factors__1[[#This Row],[HML]]/F1243-1</f>
        <v>-0.14043159545200601</v>
      </c>
      <c r="H1244" s="3">
        <v>2480672927756</v>
      </c>
      <c r="I1244" s="4">
        <f>[1]!nefin_factors__1[[#This Row],[Risk_Free]]/H1243-1</f>
        <v>-0.99004488472907404</v>
      </c>
      <c r="J1244">
        <v>88933</v>
      </c>
      <c r="K1244">
        <v>88933</v>
      </c>
      <c r="L1244">
        <v>87025</v>
      </c>
      <c r="M1244">
        <v>88846</v>
      </c>
      <c r="N1244">
        <v>4370100</v>
      </c>
      <c r="O1244">
        <v>88846</v>
      </c>
      <c r="P1244">
        <v>-2.1787960467205499E-3</v>
      </c>
      <c r="Q1244">
        <v>-2.1811730761630201E-3</v>
      </c>
      <c r="R1244" s="8">
        <v>49.088733673095703</v>
      </c>
      <c r="S1244" s="8">
        <v>2.6937175371357599E-3</v>
      </c>
      <c r="T1244" s="9">
        <v>2.69009598222366E-3</v>
      </c>
      <c r="U1244" s="12">
        <v>2.462E-2</v>
      </c>
      <c r="V1244" s="16">
        <v>3.8102999999999998</v>
      </c>
      <c r="W1244" s="17">
        <f t="shared" si="19"/>
        <v>6.0994930291506932E-3</v>
      </c>
    </row>
    <row r="1245" spans="1:23" x14ac:dyDescent="0.2">
      <c r="A1245" s="15">
        <v>43361</v>
      </c>
      <c r="B1245" s="5">
        <v>174354471739977</v>
      </c>
      <c r="C1245" s="5">
        <f>[1]!nefin_factors__1[[#This Row],[Rm_minus_Rf]]/B1244-1</f>
        <v>9.6755686197217639E-2</v>
      </c>
      <c r="D1245" s="5">
        <v>-122986742741827</v>
      </c>
      <c r="E1245" s="5">
        <f>[1]!nefin_factors__1[[#This Row],[SMB]]/D1244-1</f>
        <v>-0.5404088738736188</v>
      </c>
      <c r="F1245" s="5">
        <v>363430845414601</v>
      </c>
      <c r="G1245" s="5">
        <f>[1]!nefin_factors__1[[#This Row],[HML]]/F1244-1</f>
        <v>-5.661216258605581</v>
      </c>
      <c r="H1245" s="5">
        <v>248440148827855</v>
      </c>
      <c r="I1245" s="6">
        <f>[1]!nefin_factors__1[[#This Row],[Risk_Free]]/H1244-1</f>
        <v>99.150304398489283</v>
      </c>
      <c r="J1245">
        <v>88849</v>
      </c>
      <c r="K1245">
        <v>89986</v>
      </c>
      <c r="L1245">
        <v>87907</v>
      </c>
      <c r="M1245">
        <v>88115</v>
      </c>
      <c r="N1245">
        <v>4479100</v>
      </c>
      <c r="O1245">
        <v>88115</v>
      </c>
      <c r="P1245">
        <v>-8.2277198748396101E-3</v>
      </c>
      <c r="Q1245">
        <v>-8.2617543747936298E-3</v>
      </c>
      <c r="R1245" s="8">
        <v>48.215091705322301</v>
      </c>
      <c r="S1245" s="8">
        <v>-1.77972738406105E-2</v>
      </c>
      <c r="T1245" s="9">
        <v>-1.7957549816408201E-2</v>
      </c>
      <c r="U1245" s="12">
        <v>2.462E-2</v>
      </c>
      <c r="V1245" s="16">
        <v>3.8081</v>
      </c>
      <c r="W1245" s="17">
        <f t="shared" si="19"/>
        <v>-5.7738235834436935E-4</v>
      </c>
    </row>
    <row r="1246" spans="1:23" x14ac:dyDescent="0.2">
      <c r="A1246" s="14">
        <v>43362</v>
      </c>
      <c r="B1246" s="3">
        <v>-277372066331784</v>
      </c>
      <c r="C1246" s="3">
        <f>[1]!nefin_factors__1[[#This Row],[Rm_minus_Rf]]/B1245-1</f>
        <v>-2.5908514623326782</v>
      </c>
      <c r="D1246" s="3">
        <v>523762461202183</v>
      </c>
      <c r="E1246" s="3">
        <f>[1]!nefin_factors__1[[#This Row],[SMB]]/D1245-1</f>
        <v>-5.2586904045557326</v>
      </c>
      <c r="F1246" s="3">
        <v>745339213306815</v>
      </c>
      <c r="G1246" s="3">
        <f>[1]!nefin_factors__1[[#This Row],[HML]]/F1245-1</f>
        <v>1.0508419214019491</v>
      </c>
      <c r="H1246" s="3">
        <v>2480672927756</v>
      </c>
      <c r="I1246" s="4">
        <f>[1]!nefin_factors__1[[#This Row],[Risk_Free]]/H1245-1</f>
        <v>-0.99001500788234165</v>
      </c>
      <c r="J1246">
        <v>88115</v>
      </c>
      <c r="K1246">
        <v>88384</v>
      </c>
      <c r="L1246">
        <v>85915</v>
      </c>
      <c r="M1246">
        <v>85915</v>
      </c>
      <c r="N1246">
        <v>4084400</v>
      </c>
      <c r="O1246">
        <v>85915</v>
      </c>
      <c r="P1246">
        <v>-2.4967372184077598E-2</v>
      </c>
      <c r="Q1246">
        <v>-2.5284344117624299E-2</v>
      </c>
      <c r="R1246" s="8">
        <v>47.415626525878899</v>
      </c>
      <c r="S1246" s="8">
        <v>-1.65812239666774E-2</v>
      </c>
      <c r="T1246" s="9">
        <v>-1.67202312098302E-2</v>
      </c>
      <c r="U1246" s="12">
        <v>2.462E-2</v>
      </c>
      <c r="V1246" s="16">
        <v>3.8654999999999999</v>
      </c>
      <c r="W1246" s="17">
        <f t="shared" si="19"/>
        <v>1.5073133583676901E-2</v>
      </c>
    </row>
    <row r="1247" spans="1:23" x14ac:dyDescent="0.2">
      <c r="A1247" s="15">
        <v>43363</v>
      </c>
      <c r="B1247" s="5">
        <v>-107002539199428</v>
      </c>
      <c r="C1247" s="5">
        <f>[1]!nefin_factors__1[[#This Row],[Rm_minus_Rf]]/B1246-1</f>
        <v>-0.61422741440937023</v>
      </c>
      <c r="D1247" s="5">
        <v>-161608840844686</v>
      </c>
      <c r="E1247" s="5">
        <f>[1]!nefin_factors__1[[#This Row],[SMB]]/D1246-1</f>
        <v>-1.3085536914458284</v>
      </c>
      <c r="F1247" s="5">
        <v>-376151041548287</v>
      </c>
      <c r="G1247" s="5">
        <f>[1]!nefin_factors__1[[#This Row],[HML]]/F1246-1</f>
        <v>-1.5046709402010845</v>
      </c>
      <c r="H1247" s="5">
        <v>246575519610381</v>
      </c>
      <c r="I1247" s="6">
        <f>[1]!nefin_factors__1[[#This Row],[Risk_Free]]/H1246-1</f>
        <v>98.398641736067788</v>
      </c>
      <c r="J1247">
        <v>85918</v>
      </c>
      <c r="K1247">
        <v>87520</v>
      </c>
      <c r="L1247">
        <v>85583</v>
      </c>
      <c r="M1247">
        <v>86420</v>
      </c>
      <c r="N1247">
        <v>4390100</v>
      </c>
      <c r="O1247">
        <v>86420</v>
      </c>
      <c r="P1247">
        <v>5.87790257812948E-3</v>
      </c>
      <c r="Q1247">
        <v>5.8606951050785699E-3</v>
      </c>
      <c r="R1247" s="8">
        <v>48.231575012207003</v>
      </c>
      <c r="S1247" s="8">
        <v>2.4626021694364099E-2</v>
      </c>
      <c r="T1247" s="9">
        <v>2.43276891303572E-2</v>
      </c>
      <c r="U1247" s="12">
        <v>2.462E-2</v>
      </c>
      <c r="V1247" s="16">
        <v>3.8925000000000001</v>
      </c>
      <c r="W1247" s="17">
        <f t="shared" si="19"/>
        <v>6.9848661233993248E-3</v>
      </c>
    </row>
    <row r="1248" spans="1:23" x14ac:dyDescent="0.2">
      <c r="A1248" s="14">
        <v>43364</v>
      </c>
      <c r="B1248" s="3">
        <v>151751043657366</v>
      </c>
      <c r="C1248" s="3">
        <f>[1]!nefin_factors__1[[#This Row],[Rm_minus_Rf]]/B1247-1</f>
        <v>-2.4182003977918427</v>
      </c>
      <c r="D1248" s="3">
        <v>-107661051619667</v>
      </c>
      <c r="E1248" s="3">
        <f>[1]!nefin_factors__1[[#This Row],[SMB]]/D1247-1</f>
        <v>-0.33381706683278212</v>
      </c>
      <c r="F1248" s="3">
        <v>-400715662408235</v>
      </c>
      <c r="G1248" s="3">
        <f>[1]!nefin_factors__1[[#This Row],[HML]]/F1247-1</f>
        <v>6.5305204948620688E-2</v>
      </c>
      <c r="H1248" s="3">
        <v>246575519610381</v>
      </c>
      <c r="I1248" s="4">
        <f>[1]!nefin_factors__1[[#This Row],[Risk_Free]]/H1247-1</f>
        <v>0</v>
      </c>
      <c r="J1248">
        <v>86420</v>
      </c>
      <c r="K1248">
        <v>87946</v>
      </c>
      <c r="L1248">
        <v>86420</v>
      </c>
      <c r="M1248">
        <v>86977</v>
      </c>
      <c r="N1248">
        <v>5000500</v>
      </c>
      <c r="O1248">
        <v>86977</v>
      </c>
      <c r="P1248">
        <v>6.4452672992363303E-3</v>
      </c>
      <c r="Q1248">
        <v>6.4245853833734701E-3</v>
      </c>
      <c r="R1248" s="8">
        <v>49.673908233642599</v>
      </c>
      <c r="S1248" s="8">
        <v>2.9904356966763E-2</v>
      </c>
      <c r="T1248" s="9">
        <v>2.9465940616214801E-2</v>
      </c>
      <c r="U1248" s="12">
        <v>2.462E-2</v>
      </c>
      <c r="V1248" s="16">
        <v>3.8631000000000002</v>
      </c>
      <c r="W1248" s="17">
        <f t="shared" si="19"/>
        <v>-7.552986512524007E-3</v>
      </c>
    </row>
    <row r="1249" spans="1:23" x14ac:dyDescent="0.2">
      <c r="A1249" s="15">
        <v>43367</v>
      </c>
      <c r="B1249" s="5">
        <v>-18069052539095</v>
      </c>
      <c r="C1249" s="5">
        <f>[1]!nefin_factors__1[[#This Row],[Rm_minus_Rf]]/B1248-1</f>
        <v>-1.1190703675151821</v>
      </c>
      <c r="D1249" s="5">
        <v>-168700597486099</v>
      </c>
      <c r="E1249" s="5">
        <f>[1]!nefin_factors__1[[#This Row],[SMB]]/D1248-1</f>
        <v>0.56696033475565266</v>
      </c>
      <c r="F1249" s="5">
        <v>-76170875794325</v>
      </c>
      <c r="G1249" s="5">
        <f>[1]!nefin_factors__1[[#This Row],[HML]]/F1248-1</f>
        <v>-0.80991290598288423</v>
      </c>
      <c r="H1249" s="5">
        <v>246948515258083</v>
      </c>
      <c r="I1249" s="6">
        <f>[1]!nefin_factors__1[[#This Row],[Risk_Free]]/H1248-1</f>
        <v>1.5127034844797382E-3</v>
      </c>
      <c r="J1249">
        <v>86979</v>
      </c>
      <c r="K1249">
        <v>87842</v>
      </c>
      <c r="L1249">
        <v>86856</v>
      </c>
      <c r="M1249">
        <v>87838</v>
      </c>
      <c r="N1249">
        <v>3658600</v>
      </c>
      <c r="O1249">
        <v>87838</v>
      </c>
      <c r="P1249">
        <v>9.8991687457603596E-3</v>
      </c>
      <c r="Q1249">
        <v>9.8504929445401897E-3</v>
      </c>
      <c r="R1249" s="8">
        <v>50.811286926269503</v>
      </c>
      <c r="S1249" s="8">
        <v>2.2896913620040101E-2</v>
      </c>
      <c r="T1249" s="9">
        <v>2.2638713192119801E-2</v>
      </c>
      <c r="U1249" s="12">
        <v>2.462E-2</v>
      </c>
      <c r="V1249" s="16">
        <v>3.8567999999999998</v>
      </c>
      <c r="W1249" s="17">
        <f t="shared" si="19"/>
        <v>-1.6308146307371096E-3</v>
      </c>
    </row>
    <row r="1250" spans="1:23" x14ac:dyDescent="0.2">
      <c r="A1250" s="14">
        <v>43368</v>
      </c>
      <c r="B1250" s="3">
        <v>705436679117645</v>
      </c>
      <c r="C1250" s="3">
        <f>[1]!nefin_factors__1[[#This Row],[Rm_minus_Rf]]/B1249-1</f>
        <v>-40.041154902357555</v>
      </c>
      <c r="D1250" s="3">
        <v>-503740176022597</v>
      </c>
      <c r="E1250" s="3">
        <f>[1]!nefin_factors__1[[#This Row],[SMB]]/D1249-1</f>
        <v>1.9860011376907267</v>
      </c>
      <c r="F1250" s="3">
        <v>149560800594365</v>
      </c>
      <c r="G1250" s="3">
        <f>[1]!nefin_factors__1[[#This Row],[HML]]/F1249-1</f>
        <v>-2.9634906259737113</v>
      </c>
      <c r="H1250" s="3">
        <v>246948515258083</v>
      </c>
      <c r="I1250" s="4">
        <f>[1]!nefin_factors__1[[#This Row],[Risk_Free]]/H1249-1</f>
        <v>0</v>
      </c>
      <c r="J1250">
        <v>87838</v>
      </c>
      <c r="K1250">
        <v>88184</v>
      </c>
      <c r="L1250">
        <v>87106</v>
      </c>
      <c r="M1250">
        <v>87450</v>
      </c>
      <c r="N1250">
        <v>3553300</v>
      </c>
      <c r="O1250">
        <v>87450</v>
      </c>
      <c r="P1250">
        <v>-4.4172226143582797E-3</v>
      </c>
      <c r="Q1250">
        <v>-4.4270073670896999E-3</v>
      </c>
      <c r="R1250" s="8">
        <v>49.987098693847699</v>
      </c>
      <c r="S1250" s="8">
        <v>-1.6220595180105799E-2</v>
      </c>
      <c r="T1250" s="9">
        <v>-1.6353589156048801E-2</v>
      </c>
      <c r="U1250" s="12">
        <v>2.462E-2</v>
      </c>
      <c r="V1250" s="16">
        <v>3.8633000000000002</v>
      </c>
      <c r="W1250" s="17">
        <f t="shared" si="19"/>
        <v>1.6853349927401506E-3</v>
      </c>
    </row>
    <row r="1251" spans="1:23" x14ac:dyDescent="0.2">
      <c r="A1251" s="15">
        <v>43369</v>
      </c>
      <c r="B1251" s="5">
        <v>764384892904406</v>
      </c>
      <c r="C1251" s="5">
        <f>[1]!nefin_factors__1[[#This Row],[Rm_minus_Rf]]/B1250-1</f>
        <v>8.3562728635677042E-2</v>
      </c>
      <c r="D1251" s="5">
        <v>-130363546722656</v>
      </c>
      <c r="E1251" s="5">
        <f>[1]!nefin_factors__1[[#This Row],[SMB]]/D1250-1</f>
        <v>-0.7412087561647891</v>
      </c>
      <c r="F1251" s="5">
        <v>111251724916679</v>
      </c>
      <c r="G1251" s="5">
        <f>[1]!nefin_factors__1[[#This Row],[HML]]/F1250-1</f>
        <v>-0.25614382595869423</v>
      </c>
      <c r="H1251" s="5">
        <v>246575519610381</v>
      </c>
      <c r="I1251" s="6">
        <f>[1]!nefin_factors__1[[#This Row],[Risk_Free]]/H1250-1</f>
        <v>-1.5104186688961185E-3</v>
      </c>
      <c r="J1251">
        <v>87448</v>
      </c>
      <c r="K1251">
        <v>87820</v>
      </c>
      <c r="L1251">
        <v>86328</v>
      </c>
      <c r="M1251">
        <v>86400</v>
      </c>
      <c r="N1251">
        <v>3849300</v>
      </c>
      <c r="O1251">
        <v>86400</v>
      </c>
      <c r="P1251">
        <v>-1.20068610634648E-2</v>
      </c>
      <c r="Q1251">
        <v>-1.20795256546011E-2</v>
      </c>
      <c r="R1251" s="8">
        <v>49.327747344970703</v>
      </c>
      <c r="S1251" s="8">
        <v>-1.31904019794006E-2</v>
      </c>
      <c r="T1251" s="9">
        <v>-1.32781679650358E-2</v>
      </c>
      <c r="U1251" s="12">
        <v>2.462E-2</v>
      </c>
      <c r="V1251" s="16">
        <v>3.8285</v>
      </c>
      <c r="W1251" s="17">
        <f t="shared" si="19"/>
        <v>-9.0078430357466432E-3</v>
      </c>
    </row>
    <row r="1252" spans="1:23" x14ac:dyDescent="0.2">
      <c r="A1252" s="14">
        <v>43370</v>
      </c>
      <c r="B1252" s="3">
        <v>15479336024271</v>
      </c>
      <c r="C1252" s="3">
        <f>[1]!nefin_factors__1[[#This Row],[Rm_minus_Rf]]/B1251-1</f>
        <v>-0.97974929100776087</v>
      </c>
      <c r="D1252" s="3">
        <v>-114992867513358</v>
      </c>
      <c r="E1252" s="3">
        <f>[1]!nefin_factors__1[[#This Row],[SMB]]/D1251-1</f>
        <v>-0.11790626747827437</v>
      </c>
      <c r="F1252" s="3">
        <v>733094768485189</v>
      </c>
      <c r="G1252" s="3">
        <f>[1]!nefin_factors__1[[#This Row],[HML]]/F1251-1</f>
        <v>5.589513726948808</v>
      </c>
      <c r="H1252" s="3">
        <v>246575519610381</v>
      </c>
      <c r="I1252" s="4">
        <f>[1]!nefin_factors__1[[#This Row],[Risk_Free]]/H1251-1</f>
        <v>0</v>
      </c>
      <c r="J1252">
        <v>86400</v>
      </c>
      <c r="K1252">
        <v>87274</v>
      </c>
      <c r="L1252">
        <v>86400</v>
      </c>
      <c r="M1252">
        <v>86610</v>
      </c>
      <c r="N1252">
        <v>4093500</v>
      </c>
      <c r="O1252">
        <v>86610</v>
      </c>
      <c r="P1252">
        <v>2.4305555555554901E-3</v>
      </c>
      <c r="Q1252">
        <v>2.42760653294342E-3</v>
      </c>
      <c r="R1252" s="8">
        <v>50.275566101074197</v>
      </c>
      <c r="S1252" s="8">
        <v>1.9214739711310901E-2</v>
      </c>
      <c r="T1252" s="9">
        <v>1.9032467771327801E-2</v>
      </c>
      <c r="U1252" s="12">
        <v>2.462E-2</v>
      </c>
      <c r="V1252" s="16">
        <v>3.8313000000000001</v>
      </c>
      <c r="W1252" s="17">
        <f t="shared" si="19"/>
        <v>7.3135692830095245E-4</v>
      </c>
    </row>
    <row r="1253" spans="1:23" x14ac:dyDescent="0.2">
      <c r="A1253" s="15">
        <v>43371</v>
      </c>
      <c r="B1253" s="5">
        <v>-818935148470006</v>
      </c>
      <c r="C1253" s="5">
        <f>[1]!nefin_factors__1[[#This Row],[Rm_minus_Rf]]/B1252-1</f>
        <v>-53.905056598419165</v>
      </c>
      <c r="D1253" s="5">
        <v>76786543328219</v>
      </c>
      <c r="E1253" s="5">
        <f>[1]!nefin_factors__1[[#This Row],[SMB]]/D1252-1</f>
        <v>-1.6677504873882651</v>
      </c>
      <c r="F1253" s="5">
        <v>558147960201144</v>
      </c>
      <c r="G1253" s="5">
        <f>[1]!nefin_factors__1[[#This Row],[HML]]/F1252-1</f>
        <v>-0.23864146329340441</v>
      </c>
      <c r="H1253" s="5">
        <v>246948515258083</v>
      </c>
      <c r="I1253" s="6">
        <f>[1]!nefin_factors__1[[#This Row],[Risk_Free]]/H1252-1</f>
        <v>1.5127034844797382E-3</v>
      </c>
      <c r="J1253">
        <v>86617</v>
      </c>
      <c r="K1253">
        <v>88101</v>
      </c>
      <c r="L1253">
        <v>85674</v>
      </c>
      <c r="M1253">
        <v>85674</v>
      </c>
      <c r="N1253">
        <v>5664200</v>
      </c>
      <c r="O1253">
        <v>85674</v>
      </c>
      <c r="P1253">
        <v>-1.0807066158642201E-2</v>
      </c>
      <c r="Q1253">
        <v>-1.08658866667403E-2</v>
      </c>
      <c r="R1253" s="8">
        <v>49.039279937744098</v>
      </c>
      <c r="S1253" s="8">
        <v>-2.45901928340196E-2</v>
      </c>
      <c r="T1253" s="9">
        <v>-2.48975812498822E-2</v>
      </c>
      <c r="U1253" s="12">
        <v>2.462E-2</v>
      </c>
      <c r="V1253" s="16">
        <v>3.8561000000000001</v>
      </c>
      <c r="W1253" s="17">
        <f t="shared" si="19"/>
        <v>6.4729987210607742E-3</v>
      </c>
    </row>
    <row r="1254" spans="1:23" x14ac:dyDescent="0.2">
      <c r="A1254" s="14">
        <v>43374</v>
      </c>
      <c r="B1254" s="3">
        <v>-85206213486525</v>
      </c>
      <c r="C1254" s="3">
        <f>[1]!nefin_factors__1[[#This Row],[Rm_minus_Rf]]/B1253-1</f>
        <v>-0.89595487060762569</v>
      </c>
      <c r="D1254" s="3">
        <v>321202243910536</v>
      </c>
      <c r="E1254" s="3">
        <f>[1]!nefin_factors__1[[#This Row],[SMB]]/D1253-1</f>
        <v>3.1830538267307888</v>
      </c>
      <c r="F1254" s="3">
        <v>489403727721764</v>
      </c>
      <c r="G1254" s="3">
        <f>[1]!nefin_factors__1[[#This Row],[HML]]/F1253-1</f>
        <v>-0.12316489064047842</v>
      </c>
      <c r="H1254" s="3">
        <v>246575519610381</v>
      </c>
      <c r="I1254" s="4">
        <f>[1]!nefin_factors__1[[#This Row],[Risk_Free]]/H1253-1</f>
        <v>-1.5104186688961185E-3</v>
      </c>
      <c r="J1254">
        <v>85678</v>
      </c>
      <c r="K1254">
        <v>86584</v>
      </c>
      <c r="L1254">
        <v>84756</v>
      </c>
      <c r="M1254">
        <v>85269</v>
      </c>
      <c r="N1254">
        <v>6100500</v>
      </c>
      <c r="O1254">
        <v>85269</v>
      </c>
      <c r="P1254">
        <v>-4.7272217942433397E-3</v>
      </c>
      <c r="Q1254">
        <v>-4.7384304449918898E-3</v>
      </c>
      <c r="R1254" s="8">
        <v>50.3167724609375</v>
      </c>
      <c r="S1254" s="8">
        <v>2.6050359880129399E-2</v>
      </c>
      <c r="T1254" s="9">
        <v>2.5716829247842E-2</v>
      </c>
      <c r="U1254" s="12">
        <v>2.462E-2</v>
      </c>
      <c r="V1254" s="16">
        <v>3.9178000000000002</v>
      </c>
      <c r="W1254" s="17">
        <f t="shared" si="19"/>
        <v>1.6000622390498265E-2</v>
      </c>
    </row>
    <row r="1255" spans="1:23" x14ac:dyDescent="0.2">
      <c r="A1255" s="15">
        <v>43375</v>
      </c>
      <c r="B1255" s="5">
        <v>341619099900195</v>
      </c>
      <c r="C1255" s="5">
        <f>[1]!nefin_factors__1[[#This Row],[Rm_minus_Rf]]/B1254-1</f>
        <v>-5.0093214558140247</v>
      </c>
      <c r="D1255" s="5">
        <v>-189374678052182</v>
      </c>
      <c r="E1255" s="5">
        <f>[1]!nefin_factors__1[[#This Row],[SMB]]/D1254-1</f>
        <v>-1.5895808066176782</v>
      </c>
      <c r="F1255" s="5">
        <v>33075894164029</v>
      </c>
      <c r="G1255" s="5">
        <f>[1]!nefin_factors__1[[#This Row],[HML]]/F1254-1</f>
        <v>-0.93241593332768136</v>
      </c>
      <c r="H1255" s="5">
        <v>246202489047498</v>
      </c>
      <c r="I1255" s="6">
        <f>[1]!nefin_factors__1[[#This Row],[Risk_Free]]/H1254-1</f>
        <v>-1.5128450848341801E-3</v>
      </c>
      <c r="J1255">
        <v>85269</v>
      </c>
      <c r="K1255">
        <v>86554</v>
      </c>
      <c r="L1255">
        <v>85134</v>
      </c>
      <c r="M1255">
        <v>85697</v>
      </c>
      <c r="N1255">
        <v>6076200</v>
      </c>
      <c r="O1255">
        <v>85697</v>
      </c>
      <c r="P1255">
        <v>5.01940916393995E-3</v>
      </c>
      <c r="Q1255">
        <v>5.0068539254884701E-3</v>
      </c>
      <c r="R1255" s="8">
        <v>50.868980407714801</v>
      </c>
      <c r="S1255" s="8">
        <v>1.09746376065178E-2</v>
      </c>
      <c r="T1255" s="9">
        <v>1.09148532810509E-2</v>
      </c>
      <c r="U1255" s="12">
        <v>2.462E-2</v>
      </c>
      <c r="V1255" s="16">
        <v>3.8963999999999999</v>
      </c>
      <c r="W1255" s="17">
        <f t="shared" si="19"/>
        <v>-5.462249221501958E-3</v>
      </c>
    </row>
    <row r="1256" spans="1:23" x14ac:dyDescent="0.2">
      <c r="A1256" s="14">
        <v>43376</v>
      </c>
      <c r="B1256" s="3">
        <v>193868461367156</v>
      </c>
      <c r="C1256" s="3">
        <f>[1]!nefin_factors__1[[#This Row],[Rm_minus_Rf]]/B1255-1</f>
        <v>-0.43250110598676939</v>
      </c>
      <c r="D1256" s="3">
        <v>275780999743882</v>
      </c>
      <c r="E1256" s="3">
        <f>[1]!nefin_factors__1[[#This Row],[SMB]]/D1255-1</f>
        <v>-2.4562717813196273</v>
      </c>
      <c r="F1256" s="3">
        <v>811414343590783</v>
      </c>
      <c r="G1256" s="3">
        <f>[1]!nefin_factors__1[[#This Row],[HML]]/F1255-1</f>
        <v>23.53189442337797</v>
      </c>
      <c r="H1256" s="3">
        <v>246575519610381</v>
      </c>
      <c r="I1256" s="4">
        <f>[1]!nefin_factors__1[[#This Row],[Risk_Free]]/H1255-1</f>
        <v>1.5151372527799634E-3</v>
      </c>
      <c r="J1256">
        <v>85684</v>
      </c>
      <c r="K1256">
        <v>85684</v>
      </c>
      <c r="L1256">
        <v>83892</v>
      </c>
      <c r="M1256">
        <v>85136</v>
      </c>
      <c r="N1256">
        <v>3355100</v>
      </c>
      <c r="O1256">
        <v>85136</v>
      </c>
      <c r="P1256">
        <v>-6.5463201745685796E-3</v>
      </c>
      <c r="Q1256">
        <v>-6.56784130269643E-3</v>
      </c>
      <c r="R1256" s="8">
        <v>50.885463714599602</v>
      </c>
      <c r="S1256" s="8">
        <v>3.2406972180520899E-4</v>
      </c>
      <c r="T1256" s="9">
        <v>3.2401722255488599E-4</v>
      </c>
      <c r="U1256" s="12">
        <v>2.462E-2</v>
      </c>
      <c r="V1256" s="16">
        <v>3.911</v>
      </c>
      <c r="W1256" s="17">
        <f t="shared" si="19"/>
        <v>3.7470485576429624E-3</v>
      </c>
    </row>
    <row r="1257" spans="1:23" x14ac:dyDescent="0.2">
      <c r="A1257" s="15">
        <v>43377</v>
      </c>
      <c r="B1257" s="5">
        <v>-358241369349236</v>
      </c>
      <c r="C1257" s="5">
        <f>[1]!nefin_factors__1[[#This Row],[Rm_minus_Rf]]/B1256-1</f>
        <v>-2.8478579074849306</v>
      </c>
      <c r="D1257" s="5">
        <v>183932382864261</v>
      </c>
      <c r="E1257" s="5">
        <f>[1]!nefin_factors__1[[#This Row],[SMB]]/D1256-1</f>
        <v>-0.33304911130542303</v>
      </c>
      <c r="F1257" s="5">
        <v>16641658653395</v>
      </c>
      <c r="G1257" s="5">
        <f>[1]!nefin_factors__1[[#This Row],[HML]]/F1256-1</f>
        <v>-0.97949055401245433</v>
      </c>
      <c r="H1257" s="5">
        <v>246948515258083</v>
      </c>
      <c r="I1257" s="6">
        <f>[1]!nefin_factors__1[[#This Row],[Risk_Free]]/H1256-1</f>
        <v>1.5127034844797382E-3</v>
      </c>
      <c r="J1257">
        <v>85141</v>
      </c>
      <c r="K1257">
        <v>85739</v>
      </c>
      <c r="L1257">
        <v>84876</v>
      </c>
      <c r="M1257">
        <v>85460</v>
      </c>
      <c r="N1257">
        <v>3820900</v>
      </c>
      <c r="O1257">
        <v>85460</v>
      </c>
      <c r="P1257">
        <v>3.8056756248825399E-3</v>
      </c>
      <c r="Q1257">
        <v>3.7984523618654099E-3</v>
      </c>
      <c r="R1257" s="8">
        <v>49.8469848632812</v>
      </c>
      <c r="S1257" s="8">
        <v>-2.0408187992843101E-2</v>
      </c>
      <c r="T1257" s="9">
        <v>-2.0619312445429899E-2</v>
      </c>
      <c r="U1257" s="12">
        <v>2.462E-2</v>
      </c>
      <c r="V1257" s="16">
        <v>3.9013</v>
      </c>
      <c r="W1257" s="17">
        <f t="shared" si="19"/>
        <v>-2.4801840961391486E-3</v>
      </c>
    </row>
    <row r="1258" spans="1:23" x14ac:dyDescent="0.2">
      <c r="A1258" s="14">
        <v>43378</v>
      </c>
      <c r="B1258" s="3">
        <v>-636910509382737</v>
      </c>
      <c r="C1258" s="3">
        <f>[1]!nefin_factors__1[[#This Row],[Rm_minus_Rf]]/B1257-1</f>
        <v>0.77788095925302514</v>
      </c>
      <c r="D1258" s="3">
        <v>-137346147640531</v>
      </c>
      <c r="E1258" s="3">
        <f>[1]!nefin_factors__1[[#This Row],[SMB]]/D1257-1</f>
        <v>-1.7467208628612729</v>
      </c>
      <c r="F1258" s="3">
        <v>-613814977747928</v>
      </c>
      <c r="G1258" s="3">
        <f>[1]!nefin_factors__1[[#This Row],[HML]]/F1257-1</f>
        <v>-37.88424276282737</v>
      </c>
      <c r="H1258" s="3">
        <v>246948515258083</v>
      </c>
      <c r="I1258" s="4">
        <f>[1]!nefin_factors__1[[#This Row],[Risk_Free]]/H1257-1</f>
        <v>0</v>
      </c>
      <c r="J1258">
        <v>85469</v>
      </c>
      <c r="K1258">
        <v>88044</v>
      </c>
      <c r="L1258">
        <v>85469</v>
      </c>
      <c r="M1258">
        <v>87887</v>
      </c>
      <c r="N1258">
        <v>3649100</v>
      </c>
      <c r="O1258">
        <v>87887</v>
      </c>
      <c r="P1258">
        <v>2.8399251111631101E-2</v>
      </c>
      <c r="Q1258">
        <v>2.8003468202050099E-2</v>
      </c>
      <c r="R1258" s="8">
        <v>50.423919677734403</v>
      </c>
      <c r="S1258" s="8">
        <v>1.15741399271223E-2</v>
      </c>
      <c r="T1258" s="9">
        <v>1.15076719510586E-2</v>
      </c>
      <c r="U1258" s="12">
        <v>2.462E-2</v>
      </c>
      <c r="V1258" s="16">
        <v>3.8628999999999998</v>
      </c>
      <c r="W1258" s="17">
        <f t="shared" si="19"/>
        <v>-9.8428728885243677E-3</v>
      </c>
    </row>
    <row r="1259" spans="1:23" x14ac:dyDescent="0.2">
      <c r="A1259" s="15">
        <v>43381</v>
      </c>
      <c r="B1259" s="5">
        <v>438362409142367</v>
      </c>
      <c r="C1259" s="5">
        <f>[1]!nefin_factors__1[[#This Row],[Rm_minus_Rf]]/B1258-1</f>
        <v>-1.6882637398575928</v>
      </c>
      <c r="D1259" s="5">
        <v>-784701379296514</v>
      </c>
      <c r="E1259" s="5">
        <f>[1]!nefin_factors__1[[#This Row],[SMB]]/D1258-1</f>
        <v>4.7133118968161565</v>
      </c>
      <c r="F1259" s="5">
        <v>14472193013103</v>
      </c>
      <c r="G1259" s="5">
        <f>[1]!nefin_factors__1[[#This Row],[HML]]/F1258-1</f>
        <v>-1.0235774517366798</v>
      </c>
      <c r="H1259" s="5">
        <v>246948515258083</v>
      </c>
      <c r="I1259" s="6">
        <f>[1]!nefin_factors__1[[#This Row],[Risk_Free]]/H1258-1</f>
        <v>0</v>
      </c>
      <c r="J1259">
        <v>87887</v>
      </c>
      <c r="K1259">
        <v>91479</v>
      </c>
      <c r="L1259">
        <v>87536</v>
      </c>
      <c r="M1259">
        <v>91012</v>
      </c>
      <c r="N1259">
        <v>5615400</v>
      </c>
      <c r="O1259">
        <v>91012</v>
      </c>
      <c r="P1259">
        <v>3.5557022085177498E-2</v>
      </c>
      <c r="Q1259">
        <v>3.4939467536951201E-2</v>
      </c>
      <c r="R1259" s="8">
        <v>50.357982635497997</v>
      </c>
      <c r="S1259" s="8">
        <v>-1.30764387426041E-3</v>
      </c>
      <c r="T1259" s="9">
        <v>-1.3084995865706799E-3</v>
      </c>
      <c r="U1259" s="12">
        <v>2.462E-2</v>
      </c>
      <c r="V1259" s="16">
        <v>3.879</v>
      </c>
      <c r="W1259" s="17">
        <f t="shared" si="19"/>
        <v>4.1678531673094987E-3</v>
      </c>
    </row>
    <row r="1260" spans="1:23" x14ac:dyDescent="0.2">
      <c r="A1260" s="14">
        <v>43382</v>
      </c>
      <c r="B1260" s="3">
        <v>-233193751168201</v>
      </c>
      <c r="C1260" s="3">
        <f>[1]!nefin_factors__1[[#This Row],[Rm_minus_Rf]]/B1259-1</f>
        <v>-1.5319656665461627</v>
      </c>
      <c r="D1260" s="3">
        <v>297540586160427</v>
      </c>
      <c r="E1260" s="3">
        <f>[1]!nefin_factors__1[[#This Row],[SMB]]/D1259-1</f>
        <v>-1.3791768359413012</v>
      </c>
      <c r="F1260" s="3">
        <v>112573683936934</v>
      </c>
      <c r="G1260" s="3">
        <f>[1]!nefin_factors__1[[#This Row],[HML]]/F1259-1</f>
        <v>6.7786195799773221</v>
      </c>
      <c r="H1260" s="3">
        <v>247321475997264</v>
      </c>
      <c r="I1260" s="4">
        <f>[1]!nefin_factors__1[[#This Row],[Risk_Free]]/H1259-1</f>
        <v>1.5102773093866873E-3</v>
      </c>
      <c r="J1260">
        <v>91011</v>
      </c>
      <c r="K1260">
        <v>91596</v>
      </c>
      <c r="L1260">
        <v>89922</v>
      </c>
      <c r="M1260">
        <v>91564</v>
      </c>
      <c r="N1260">
        <v>6066200</v>
      </c>
      <c r="O1260">
        <v>91564</v>
      </c>
      <c r="P1260">
        <v>6.0651342680087001E-3</v>
      </c>
      <c r="Q1260">
        <v>6.04681537487826E-3</v>
      </c>
      <c r="R1260" s="8">
        <v>50.036548614502003</v>
      </c>
      <c r="S1260" s="8">
        <v>-6.3830246361871196E-3</v>
      </c>
      <c r="T1260" s="9">
        <v>-6.4034832429338204E-3</v>
      </c>
      <c r="U1260" s="12">
        <v>2.462E-2</v>
      </c>
      <c r="V1260" s="16">
        <v>3.9089999999999998</v>
      </c>
      <c r="W1260" s="17">
        <f t="shared" si="19"/>
        <v>7.733952049497228E-3</v>
      </c>
    </row>
    <row r="1261" spans="1:23" x14ac:dyDescent="0.2">
      <c r="A1261" s="15">
        <v>43383</v>
      </c>
      <c r="B1261" s="5">
        <v>-259525229647921</v>
      </c>
      <c r="C1261" s="5">
        <f>[1]!nefin_factors__1[[#This Row],[Rm_minus_Rf]]/B1260-1</f>
        <v>0.11291674132694607</v>
      </c>
      <c r="D1261" s="5">
        <v>7145618512.8670301</v>
      </c>
      <c r="E1261" s="5">
        <f>[1]!nefin_factors__1[[#This Row],[SMB]]/D1260-1</f>
        <v>-0.99997598439054958</v>
      </c>
      <c r="F1261" s="5">
        <v>-103513291470554</v>
      </c>
      <c r="G1261" s="5">
        <f>[1]!nefin_factors__1[[#This Row],[HML]]/F1260-1</f>
        <v>-1.919515892617889</v>
      </c>
      <c r="H1261" s="5">
        <v>247694401834142</v>
      </c>
      <c r="I1261" s="6">
        <f>[1]!nefin_factors__1[[#This Row],[Risk_Free]]/H1260-1</f>
        <v>1.5078586902907976E-3</v>
      </c>
      <c r="J1261">
        <v>91577</v>
      </c>
      <c r="K1261">
        <v>92701</v>
      </c>
      <c r="L1261">
        <v>90824</v>
      </c>
      <c r="M1261">
        <v>91841</v>
      </c>
      <c r="N1261">
        <v>5322100</v>
      </c>
      <c r="O1261">
        <v>91841</v>
      </c>
      <c r="P1261">
        <v>3.0252064130007498E-3</v>
      </c>
      <c r="Q1261">
        <v>3.0206396839606098E-3</v>
      </c>
      <c r="R1261" s="8">
        <v>49.410167694091797</v>
      </c>
      <c r="S1261" s="8">
        <v>-1.2518443622066701E-2</v>
      </c>
      <c r="T1261" s="9">
        <v>-1.25974594669162E-2</v>
      </c>
      <c r="U1261" s="12">
        <v>2.462E-2</v>
      </c>
      <c r="V1261" s="16">
        <v>3.9121000000000001</v>
      </c>
      <c r="W1261" s="17">
        <f t="shared" si="19"/>
        <v>7.9304169864413687E-4</v>
      </c>
    </row>
    <row r="1262" spans="1:23" x14ac:dyDescent="0.2">
      <c r="A1262" s="14">
        <v>43384</v>
      </c>
      <c r="B1262" s="3">
        <v>-891282082513377</v>
      </c>
      <c r="C1262" s="3">
        <f>[1]!nefin_factors__1[[#This Row],[Rm_minus_Rf]]/B1261-1</f>
        <v>2.4342791401148727</v>
      </c>
      <c r="D1262" s="3">
        <v>117077875785386</v>
      </c>
      <c r="E1262" s="3">
        <f>[1]!nefin_factors__1[[#This Row],[SMB]]/D1261-1</f>
        <v>16383.568470114275</v>
      </c>
      <c r="F1262" s="3">
        <v>128436474746704</v>
      </c>
      <c r="G1262" s="3">
        <f>[1]!nefin_factors__1[[#This Row],[HML]]/F1261-1</f>
        <v>-2.240772783109112</v>
      </c>
      <c r="H1262" s="3">
        <v>247321475997264</v>
      </c>
      <c r="I1262" s="4">
        <f>[1]!nefin_factors__1[[#This Row],[Risk_Free]]/H1261-1</f>
        <v>-1.5055884756237647E-3</v>
      </c>
      <c r="J1262">
        <v>91845</v>
      </c>
      <c r="K1262">
        <v>92552</v>
      </c>
      <c r="L1262">
        <v>91288</v>
      </c>
      <c r="M1262">
        <v>91699</v>
      </c>
      <c r="N1262">
        <v>4565000</v>
      </c>
      <c r="O1262">
        <v>91699</v>
      </c>
      <c r="P1262">
        <v>-1.5461504121253599E-3</v>
      </c>
      <c r="Q1262">
        <v>-1.54734693617029E-3</v>
      </c>
      <c r="R1262" s="8">
        <v>50.028308868408203</v>
      </c>
      <c r="S1262" s="8">
        <v>1.25104008324253E-2</v>
      </c>
      <c r="T1262" s="9">
        <v>1.2432792372882801E-2</v>
      </c>
      <c r="U1262" s="12">
        <v>2.462E-2</v>
      </c>
      <c r="V1262" s="16">
        <v>3.8997000000000002</v>
      </c>
      <c r="W1262" s="17">
        <f t="shared" si="19"/>
        <v>-3.1696531274763018E-3</v>
      </c>
    </row>
    <row r="1263" spans="1:23" x14ac:dyDescent="0.2">
      <c r="A1263" s="15">
        <v>43388</v>
      </c>
      <c r="B1263" s="5">
        <v>395387157616487</v>
      </c>
      <c r="C1263" s="5">
        <f>[1]!nefin_factors__1[[#This Row],[Rm_minus_Rf]]/B1262-1</f>
        <v>-1.4436161854634306</v>
      </c>
      <c r="D1263" s="5">
        <v>143029568759886</v>
      </c>
      <c r="E1263" s="5">
        <f>[1]!nefin_factors__1[[#This Row],[SMB]]/D1262-1</f>
        <v>0.22166180245763711</v>
      </c>
      <c r="F1263" s="5">
        <v>220711078755247</v>
      </c>
      <c r="G1263" s="5">
        <f>[1]!nefin_factors__1[[#This Row],[HML]]/F1262-1</f>
        <v>0.71844547423558902</v>
      </c>
      <c r="H1263" s="5">
        <v>247694401834142</v>
      </c>
      <c r="I1263" s="6">
        <f>[1]!nefin_factors__1[[#This Row],[Risk_Free]]/H1262-1</f>
        <v>1.5078586902907976E-3</v>
      </c>
      <c r="J1263">
        <v>91699</v>
      </c>
      <c r="K1263">
        <v>92231</v>
      </c>
      <c r="L1263">
        <v>91064</v>
      </c>
      <c r="M1263">
        <v>92032</v>
      </c>
      <c r="N1263">
        <v>4496500</v>
      </c>
      <c r="O1263">
        <v>92032</v>
      </c>
      <c r="P1263">
        <v>3.6314463625557502E-3</v>
      </c>
      <c r="Q1263">
        <v>3.6248685809778798E-3</v>
      </c>
      <c r="R1263" s="8">
        <v>48.388172149658203</v>
      </c>
      <c r="S1263" s="8">
        <v>-3.2784159046078502E-2</v>
      </c>
      <c r="T1263" s="9">
        <v>-3.3333601658187599E-2</v>
      </c>
      <c r="U1263" s="12">
        <v>2.462E-2</v>
      </c>
      <c r="V1263" s="16">
        <v>3.8906999999999998</v>
      </c>
      <c r="W1263" s="17">
        <f t="shared" si="19"/>
        <v>-2.3078698361412853E-3</v>
      </c>
    </row>
    <row r="1264" spans="1:23" x14ac:dyDescent="0.2">
      <c r="A1264" s="14">
        <v>43389</v>
      </c>
      <c r="B1264" s="3">
        <v>270176267937023</v>
      </c>
      <c r="C1264" s="3">
        <f>[1]!nefin_factors__1[[#This Row],[Rm_minus_Rf]]/B1263-1</f>
        <v>-0.31667920231469582</v>
      </c>
      <c r="D1264" s="3">
        <v>454129786787832</v>
      </c>
      <c r="E1264" s="3">
        <f>[1]!nefin_factors__1[[#This Row],[SMB]]/D1263-1</f>
        <v>2.1750762497942802</v>
      </c>
      <c r="F1264" s="3">
        <v>363303057393016</v>
      </c>
      <c r="G1264" s="3">
        <f>[1]!nefin_factors__1[[#This Row],[HML]]/F1263-1</f>
        <v>0.64605718680707214</v>
      </c>
      <c r="H1264" s="3">
        <v>247694401834142</v>
      </c>
      <c r="I1264" s="4">
        <f>[1]!nefin_factors__1[[#This Row],[Risk_Free]]/H1263-1</f>
        <v>0</v>
      </c>
      <c r="J1264">
        <v>92033</v>
      </c>
      <c r="K1264">
        <v>93626</v>
      </c>
      <c r="L1264">
        <v>92028</v>
      </c>
      <c r="M1264">
        <v>93613</v>
      </c>
      <c r="N1264">
        <v>5011400</v>
      </c>
      <c r="O1264">
        <v>93613</v>
      </c>
      <c r="P1264">
        <v>1.7178807371349001E-2</v>
      </c>
      <c r="Q1264">
        <v>1.70329200697396E-2</v>
      </c>
      <c r="R1264" s="8">
        <v>48.684879302978501</v>
      </c>
      <c r="S1264" s="8">
        <v>6.1317618846934404E-3</v>
      </c>
      <c r="T1264" s="9">
        <v>6.1130391294586302E-3</v>
      </c>
      <c r="U1264" s="12">
        <v>2.462E-2</v>
      </c>
      <c r="V1264" s="16">
        <v>3.8443000000000001</v>
      </c>
      <c r="W1264" s="17">
        <f t="shared" si="19"/>
        <v>-1.1925874521294344E-2</v>
      </c>
    </row>
    <row r="1265" spans="1:23" x14ac:dyDescent="0.2">
      <c r="A1265" s="15">
        <v>43390</v>
      </c>
      <c r="B1265" s="5">
        <v>-653938295445401</v>
      </c>
      <c r="C1265" s="5">
        <f>[1]!nefin_factors__1[[#This Row],[Rm_minus_Rf]]/B1264-1</f>
        <v>-3.4204135338705299</v>
      </c>
      <c r="D1265" s="5">
        <v>195771566341518</v>
      </c>
      <c r="E1265" s="5">
        <f>[1]!nefin_factors__1[[#This Row],[SMB]]/D1264-1</f>
        <v>-0.56890833405521168</v>
      </c>
      <c r="F1265" s="5">
        <v>-314226999297163</v>
      </c>
      <c r="G1265" s="5">
        <f>[1]!nefin_factors__1[[#This Row],[HML]]/F1264-1</f>
        <v>-1.8649170242386284</v>
      </c>
      <c r="H1265" s="5">
        <v>247321475997264</v>
      </c>
      <c r="I1265" s="6">
        <f>[1]!nefin_factors__1[[#This Row],[Risk_Free]]/H1264-1</f>
        <v>-1.5055884756237647E-3</v>
      </c>
      <c r="J1265">
        <v>93599</v>
      </c>
      <c r="K1265">
        <v>93987</v>
      </c>
      <c r="L1265">
        <v>93050</v>
      </c>
      <c r="M1265">
        <v>93806</v>
      </c>
      <c r="N1265">
        <v>4840600</v>
      </c>
      <c r="O1265">
        <v>93806</v>
      </c>
      <c r="P1265">
        <v>2.0616794675953902E-3</v>
      </c>
      <c r="Q1265">
        <v>2.0595571230440099E-3</v>
      </c>
      <c r="R1265" s="8">
        <v>49.451374053955099</v>
      </c>
      <c r="S1265" s="8">
        <v>1.5744012243715799E-2</v>
      </c>
      <c r="T1265" s="9">
        <v>1.56213609568948E-2</v>
      </c>
      <c r="U1265" s="12">
        <v>2.462E-2</v>
      </c>
      <c r="V1265" s="16">
        <v>3.8671000000000002</v>
      </c>
      <c r="W1265" s="17">
        <f t="shared" si="19"/>
        <v>5.9308586738808788E-3</v>
      </c>
    </row>
    <row r="1266" spans="1:23" x14ac:dyDescent="0.2">
      <c r="A1266" s="14">
        <v>43391</v>
      </c>
      <c r="B1266" s="3">
        <v>-192169147899418</v>
      </c>
      <c r="C1266" s="3">
        <f>[1]!nefin_factors__1[[#This Row],[Rm_minus_Rf]]/B1265-1</f>
        <v>-0.70613565647118048</v>
      </c>
      <c r="D1266" s="3">
        <v>175834533234403</v>
      </c>
      <c r="E1266" s="3">
        <f>[1]!nefin_factors__1[[#This Row],[SMB]]/D1265-1</f>
        <v>-0.10183824688992582</v>
      </c>
      <c r="F1266" s="3">
        <v>-61824759986723</v>
      </c>
      <c r="G1266" s="3">
        <f>[1]!nefin_factors__1[[#This Row],[HML]]/F1265-1</f>
        <v>-0.80324809731497449</v>
      </c>
      <c r="H1266" s="3">
        <v>247694401834142</v>
      </c>
      <c r="I1266" s="4">
        <f>[1]!nefin_factors__1[[#This Row],[Risk_Free]]/H1265-1</f>
        <v>1.5078586902907976E-3</v>
      </c>
      <c r="J1266">
        <v>93806</v>
      </c>
      <c r="K1266">
        <v>93961</v>
      </c>
      <c r="L1266">
        <v>93359</v>
      </c>
      <c r="M1266">
        <v>93658</v>
      </c>
      <c r="N1266">
        <v>5330500</v>
      </c>
      <c r="O1266">
        <v>93658</v>
      </c>
      <c r="P1266">
        <v>-1.5777242393876199E-3</v>
      </c>
      <c r="Q1266">
        <v>-1.57897015692404E-3</v>
      </c>
      <c r="R1266" s="8">
        <v>48.627185821533203</v>
      </c>
      <c r="S1266" s="8">
        <v>-1.6666661471719999E-2</v>
      </c>
      <c r="T1266" s="9">
        <v>-1.68071130333847E-2</v>
      </c>
      <c r="U1266" s="12">
        <v>2.462E-2</v>
      </c>
      <c r="V1266" s="16">
        <v>3.8855</v>
      </c>
      <c r="W1266" s="17">
        <f t="shared" si="19"/>
        <v>4.7580874557160424E-3</v>
      </c>
    </row>
    <row r="1267" spans="1:23" x14ac:dyDescent="0.2">
      <c r="A1267" s="15">
        <v>43392</v>
      </c>
      <c r="B1267" s="5">
        <v>601220552399522</v>
      </c>
      <c r="C1267" s="5">
        <f>[1]!nefin_factors__1[[#This Row],[Rm_minus_Rf]]/B1266-1</f>
        <v>-4.128600813249184</v>
      </c>
      <c r="D1267" s="5">
        <v>-107805247774996</v>
      </c>
      <c r="E1267" s="5">
        <f>[1]!nefin_factors__1[[#This Row],[SMB]]/D1266-1</f>
        <v>-1.6131062299990984</v>
      </c>
      <c r="F1267" s="5">
        <v>-160870715831507</v>
      </c>
      <c r="G1267" s="5">
        <f>[1]!nefin_factors__1[[#This Row],[HML]]/F1266-1</f>
        <v>1.6020435156732407</v>
      </c>
      <c r="H1267" s="5">
        <v>247321475997264</v>
      </c>
      <c r="I1267" s="6">
        <f>[1]!nefin_factors__1[[#This Row],[Risk_Free]]/H1266-1</f>
        <v>-1.5055884756237647E-3</v>
      </c>
      <c r="J1267">
        <v>93645</v>
      </c>
      <c r="K1267">
        <v>94474</v>
      </c>
      <c r="L1267">
        <v>93335</v>
      </c>
      <c r="M1267">
        <v>94474</v>
      </c>
      <c r="N1267">
        <v>4486900</v>
      </c>
      <c r="O1267">
        <v>94474</v>
      </c>
      <c r="P1267">
        <v>8.7125499156506196E-3</v>
      </c>
      <c r="Q1267">
        <v>8.6748146743503892E-3</v>
      </c>
      <c r="R1267" s="8">
        <v>48.635429382324197</v>
      </c>
      <c r="S1267" s="8">
        <v>1.6950494333944899E-4</v>
      </c>
      <c r="T1267" s="9">
        <v>1.6949057899973599E-4</v>
      </c>
      <c r="U1267" s="12">
        <v>2.462E-2</v>
      </c>
      <c r="V1267" s="16">
        <v>3.9258000000000002</v>
      </c>
      <c r="W1267" s="17">
        <f t="shared" si="19"/>
        <v>1.0371895508943574E-2</v>
      </c>
    </row>
    <row r="1268" spans="1:23" x14ac:dyDescent="0.2">
      <c r="A1268" s="14">
        <v>43395</v>
      </c>
      <c r="B1268" s="3">
        <v>137706197380069</v>
      </c>
      <c r="C1268" s="3">
        <f>[1]!nefin_factors__1[[#This Row],[Rm_minus_Rf]]/B1267-1</f>
        <v>-0.77095560550870734</v>
      </c>
      <c r="D1268" s="3">
        <v>200771444324227</v>
      </c>
      <c r="E1268" s="3">
        <f>[1]!nefin_factors__1[[#This Row],[SMB]]/D1267-1</f>
        <v>-2.8623531643214983</v>
      </c>
      <c r="F1268" s="3">
        <v>161035847585932</v>
      </c>
      <c r="G1268" s="3">
        <f>[1]!nefin_factors__1[[#This Row],[HML]]/F1267-1</f>
        <v>-2.0010264873477528</v>
      </c>
      <c r="H1268" s="3">
        <v>247321475997264</v>
      </c>
      <c r="I1268" s="4">
        <f>[1]!nefin_factors__1[[#This Row],[Risk_Free]]/H1267-1</f>
        <v>0</v>
      </c>
      <c r="J1268">
        <v>94474</v>
      </c>
      <c r="K1268">
        <v>94695</v>
      </c>
      <c r="L1268">
        <v>93402</v>
      </c>
      <c r="M1268">
        <v>94056</v>
      </c>
      <c r="N1268">
        <v>4836400</v>
      </c>
      <c r="O1268">
        <v>94056</v>
      </c>
      <c r="P1268">
        <v>-4.42449774541143E-3</v>
      </c>
      <c r="Q1268">
        <v>-4.4343148032966202E-3</v>
      </c>
      <c r="R1268" s="8">
        <v>49.006313323974602</v>
      </c>
      <c r="S1268" s="8">
        <v>7.62587511211255E-3</v>
      </c>
      <c r="T1268" s="9">
        <v>7.5969451111280303E-3</v>
      </c>
      <c r="U1268" s="12">
        <v>2.462E-2</v>
      </c>
      <c r="V1268" s="16">
        <v>3.9329999999999998</v>
      </c>
      <c r="W1268" s="17">
        <f t="shared" si="19"/>
        <v>1.8340210912424215E-3</v>
      </c>
    </row>
    <row r="1269" spans="1:23" x14ac:dyDescent="0.2">
      <c r="A1269" s="15">
        <v>43396</v>
      </c>
      <c r="B1269" s="5">
        <v>-352762698685926</v>
      </c>
      <c r="C1269" s="5">
        <f>[1]!nefin_factors__1[[#This Row],[Rm_minus_Rf]]/B1268-1</f>
        <v>-3.5617053218912234</v>
      </c>
      <c r="D1269" s="5">
        <v>141414263121593</v>
      </c>
      <c r="E1269" s="5">
        <f>[1]!nefin_factors__1[[#This Row],[SMB]]/D1268-1</f>
        <v>-0.29564553566082707</v>
      </c>
      <c r="F1269" s="5">
        <v>-110771367542799</v>
      </c>
      <c r="G1269" s="5">
        <f>[1]!nefin_factors__1[[#This Row],[HML]]/F1268-1</f>
        <v>-1.6878677586596931</v>
      </c>
      <c r="H1269" s="5">
        <v>246948515258083</v>
      </c>
      <c r="I1269" s="6">
        <f>[1]!nefin_factors__1[[#This Row],[Risk_Free]]/H1268-1</f>
        <v>-1.5079998114887472E-3</v>
      </c>
      <c r="J1269">
        <v>94057</v>
      </c>
      <c r="K1269">
        <v>94393</v>
      </c>
      <c r="L1269">
        <v>93687</v>
      </c>
      <c r="M1269">
        <v>94393</v>
      </c>
      <c r="N1269">
        <v>4257400</v>
      </c>
      <c r="O1269">
        <v>94393</v>
      </c>
      <c r="P1269">
        <v>3.5829718465594201E-3</v>
      </c>
      <c r="Q1269">
        <v>3.5765682942063299E-3</v>
      </c>
      <c r="R1269" s="8">
        <v>49.039279937744098</v>
      </c>
      <c r="S1269" s="8">
        <v>6.7269573991346498E-4</v>
      </c>
      <c r="T1269" s="9">
        <v>6.72469581552376E-4</v>
      </c>
      <c r="U1269" s="12">
        <v>2.462E-2</v>
      </c>
      <c r="V1269" s="16">
        <v>3.8748</v>
      </c>
      <c r="W1269" s="17">
        <f t="shared" si="19"/>
        <v>-1.4797864225781776E-2</v>
      </c>
    </row>
    <row r="1270" spans="1:23" x14ac:dyDescent="0.2">
      <c r="A1270" s="14">
        <v>43397</v>
      </c>
      <c r="B1270" s="3">
        <v>-250771820847352</v>
      </c>
      <c r="C1270" s="3">
        <f>[1]!nefin_factors__1[[#This Row],[Rm_minus_Rf]]/B1269-1</f>
        <v>-0.28912035829893457</v>
      </c>
      <c r="D1270" s="3">
        <v>358095225862921</v>
      </c>
      <c r="E1270" s="3">
        <f>[1]!nefin_factors__1[[#This Row],[SMB]]/D1269-1</f>
        <v>1.5322426320958731</v>
      </c>
      <c r="F1270" s="3">
        <v>222230183122056</v>
      </c>
      <c r="G1270" s="3">
        <f>[1]!nefin_factors__1[[#This Row],[HML]]/F1269-1</f>
        <v>-3.0062060083910436</v>
      </c>
      <c r="H1270" s="3">
        <v>247321475997264</v>
      </c>
      <c r="I1270" s="4">
        <f>[1]!nefin_factors__1[[#This Row],[Risk_Free]]/H1269-1</f>
        <v>1.5102773093866873E-3</v>
      </c>
      <c r="J1270">
        <v>94393</v>
      </c>
      <c r="K1270">
        <v>95682</v>
      </c>
      <c r="L1270">
        <v>93950</v>
      </c>
      <c r="M1270">
        <v>95351</v>
      </c>
      <c r="N1270">
        <v>4944200</v>
      </c>
      <c r="O1270">
        <v>95351</v>
      </c>
      <c r="P1270">
        <v>1.0149057663174201E-2</v>
      </c>
      <c r="Q1270">
        <v>1.0097901808765899E-2</v>
      </c>
      <c r="R1270" s="8">
        <v>49.3689575195312</v>
      </c>
      <c r="S1270" s="8">
        <v>6.72274956166663E-3</v>
      </c>
      <c r="T1270" s="9">
        <v>6.70025265194073E-3</v>
      </c>
      <c r="U1270" s="12">
        <v>2.462E-2</v>
      </c>
      <c r="V1270" s="16">
        <v>3.8748</v>
      </c>
      <c r="W1270" s="17">
        <f t="shared" si="19"/>
        <v>0</v>
      </c>
    </row>
    <row r="1271" spans="1:23" x14ac:dyDescent="0.2">
      <c r="A1271" s="15">
        <v>43398</v>
      </c>
      <c r="B1271" s="5">
        <v>720979477694016</v>
      </c>
      <c r="C1271" s="5">
        <f>[1]!nefin_factors__1[[#This Row],[Rm_minus_Rf]]/B1270-1</f>
        <v>-3.8750418418538555</v>
      </c>
      <c r="D1271" s="5">
        <v>-733720608234368</v>
      </c>
      <c r="E1271" s="5">
        <f>[1]!nefin_factors__1[[#This Row],[SMB]]/D1270-1</f>
        <v>-3.0489538961774278</v>
      </c>
      <c r="F1271" s="5">
        <v>469894330062202</v>
      </c>
      <c r="G1271" s="5">
        <f>[1]!nefin_factors__1[[#This Row],[HML]]/F1270-1</f>
        <v>1.1144487371642078</v>
      </c>
      <c r="H1271" s="5">
        <v>247321475997264</v>
      </c>
      <c r="I1271" s="6">
        <f>[1]!nefin_factors__1[[#This Row],[Risk_Free]]/H1270-1</f>
        <v>0</v>
      </c>
      <c r="J1271">
        <v>95386</v>
      </c>
      <c r="K1271">
        <v>96396</v>
      </c>
      <c r="L1271">
        <v>95386</v>
      </c>
      <c r="M1271">
        <v>96097</v>
      </c>
      <c r="N1271">
        <v>4884000</v>
      </c>
      <c r="O1271">
        <v>96097</v>
      </c>
      <c r="P1271">
        <v>7.8237249740433796E-3</v>
      </c>
      <c r="Q1271">
        <v>7.7932783387690604E-3</v>
      </c>
      <c r="R1271" s="8">
        <v>49.459617614746101</v>
      </c>
      <c r="S1271" s="8">
        <v>1.8363050289515999E-3</v>
      </c>
      <c r="T1271" s="9">
        <v>1.83462108205021E-3</v>
      </c>
      <c r="U1271" s="12">
        <v>2.462E-2</v>
      </c>
      <c r="V1271" s="16">
        <v>3.8595000000000002</v>
      </c>
      <c r="W1271" s="17">
        <f t="shared" si="19"/>
        <v>-3.9485908950138704E-3</v>
      </c>
    </row>
    <row r="1272" spans="1:23" x14ac:dyDescent="0.2">
      <c r="A1272" s="14">
        <v>43399</v>
      </c>
      <c r="B1272" s="3">
        <v>165870104519856</v>
      </c>
      <c r="C1272" s="3">
        <f>[1]!nefin_factors__1[[#This Row],[Rm_minus_Rf]]/B1271-1</f>
        <v>-0.76993782811908085</v>
      </c>
      <c r="D1272" s="3">
        <v>-84843018655843</v>
      </c>
      <c r="E1272" s="3">
        <f>[1]!nefin_factors__1[[#This Row],[SMB]]/D1271-1</f>
        <v>-0.88436604110110795</v>
      </c>
      <c r="F1272" s="3">
        <v>149590025645876</v>
      </c>
      <c r="G1272" s="3">
        <f>[1]!nefin_factors__1[[#This Row],[HML]]/F1271-1</f>
        <v>-0.6816517755681919</v>
      </c>
      <c r="H1272" s="3">
        <v>247694401834142</v>
      </c>
      <c r="I1272" s="4">
        <f>[1]!nefin_factors__1[[#This Row],[Risk_Free]]/H1271-1</f>
        <v>1.5078586902907976E-3</v>
      </c>
      <c r="J1272">
        <v>96093</v>
      </c>
      <c r="K1272">
        <v>96093</v>
      </c>
      <c r="L1272">
        <v>94863</v>
      </c>
      <c r="M1272">
        <v>96010</v>
      </c>
      <c r="N1272">
        <v>2717600</v>
      </c>
      <c r="O1272">
        <v>96010</v>
      </c>
      <c r="P1272">
        <v>-9.0533523419045203E-4</v>
      </c>
      <c r="Q1272">
        <v>-9.0574529764886498E-4</v>
      </c>
      <c r="R1272" s="8">
        <v>49.064006805419901</v>
      </c>
      <c r="S1272" s="8">
        <v>-7.9986767559610001E-3</v>
      </c>
      <c r="T1272" s="9">
        <v>-8.0308377827920299E-3</v>
      </c>
      <c r="U1272" s="12">
        <v>2.462E-2</v>
      </c>
      <c r="V1272" s="16">
        <v>3.7683</v>
      </c>
      <c r="W1272" s="17">
        <f t="shared" si="19"/>
        <v>-2.3630003886513817E-2</v>
      </c>
    </row>
    <row r="1273" spans="1:23" x14ac:dyDescent="0.2">
      <c r="A1273" s="15">
        <v>43402</v>
      </c>
      <c r="B1273" s="5">
        <v>-199517684351894</v>
      </c>
      <c r="C1273" s="5">
        <f>[1]!nefin_factors__1[[#This Row],[Rm_minus_Rf]]/B1272-1</f>
        <v>-2.2028549986716266</v>
      </c>
      <c r="D1273" s="5">
        <v>-885299959205004</v>
      </c>
      <c r="E1273" s="5">
        <f>[1]!nefin_factors__1[[#This Row],[SMB]]/D1272-1</f>
        <v>9.4345646021404832</v>
      </c>
      <c r="F1273" s="5">
        <v>-301962274925334</v>
      </c>
      <c r="G1273" s="5">
        <f>[1]!nefin_factors__1[[#This Row],[HML]]/F1272-1</f>
        <v>-3.0185989916210612</v>
      </c>
      <c r="H1273" s="5">
        <v>246948515258083</v>
      </c>
      <c r="I1273" s="6">
        <f>[1]!nefin_factors__1[[#This Row],[Risk_Free]]/H1272-1</f>
        <v>-3.0113178599751045E-3</v>
      </c>
      <c r="J1273">
        <v>96008</v>
      </c>
      <c r="K1273">
        <v>96070</v>
      </c>
      <c r="L1273">
        <v>94662</v>
      </c>
      <c r="M1273">
        <v>95103</v>
      </c>
      <c r="N1273">
        <v>4256000</v>
      </c>
      <c r="O1273">
        <v>95103</v>
      </c>
      <c r="P1273">
        <v>-9.4469326111863393E-3</v>
      </c>
      <c r="Q1273">
        <v>-9.4918379144193106E-3</v>
      </c>
      <c r="R1273" s="8">
        <v>49.121700286865199</v>
      </c>
      <c r="S1273" s="8">
        <v>1.1758922608744401E-3</v>
      </c>
      <c r="T1273" s="9">
        <v>1.17520144106993E-3</v>
      </c>
      <c r="U1273" s="12">
        <v>2.462E-2</v>
      </c>
      <c r="V1273" s="16">
        <v>3.7627000000000002</v>
      </c>
      <c r="W1273" s="17">
        <f t="shared" si="19"/>
        <v>-1.4860812568000537E-3</v>
      </c>
    </row>
    <row r="1274" spans="1:23" x14ac:dyDescent="0.2">
      <c r="A1274" s="14">
        <v>43403</v>
      </c>
      <c r="B1274" s="3">
        <v>360141080268398</v>
      </c>
      <c r="C1274" s="3">
        <f>[1]!nefin_factors__1[[#This Row],[Rm_minus_Rf]]/B1273-1</f>
        <v>-2.8050584410011936</v>
      </c>
      <c r="D1274" s="3">
        <v>-32378516248973</v>
      </c>
      <c r="E1274" s="3">
        <f>[1]!nefin_factors__1[[#This Row],[SMB]]/D1273-1</f>
        <v>-0.96342650204338787</v>
      </c>
      <c r="F1274" s="3">
        <v>-159376024995004</v>
      </c>
      <c r="G1274" s="3">
        <f>[1]!nefin_factors__1[[#This Row],[HML]]/F1273-1</f>
        <v>-0.47219888631978013</v>
      </c>
      <c r="H1274" s="3">
        <v>246948515258083</v>
      </c>
      <c r="I1274" s="4">
        <f>[1]!nefin_factors__1[[#This Row],[Risk_Free]]/H1273-1</f>
        <v>0</v>
      </c>
      <c r="J1274">
        <v>95116</v>
      </c>
      <c r="K1274">
        <v>96576</v>
      </c>
      <c r="L1274">
        <v>95116</v>
      </c>
      <c r="M1274">
        <v>96558</v>
      </c>
      <c r="N1274">
        <v>0</v>
      </c>
      <c r="O1274">
        <v>96558</v>
      </c>
      <c r="P1274">
        <v>1.5299201917920601E-2</v>
      </c>
      <c r="Q1274">
        <v>1.5183349269299699E-2</v>
      </c>
      <c r="R1274" s="8">
        <v>50.836013793945298</v>
      </c>
      <c r="S1274" s="8">
        <v>3.4899345601478303E-2</v>
      </c>
      <c r="T1274" s="9">
        <v>3.4304171361592598E-2</v>
      </c>
      <c r="U1274" s="12">
        <v>2.462E-2</v>
      </c>
      <c r="V1274" s="16">
        <v>3.7061999999999999</v>
      </c>
      <c r="W1274" s="17">
        <f t="shared" si="19"/>
        <v>-1.5015813112924326E-2</v>
      </c>
    </row>
    <row r="1275" spans="1:23" x14ac:dyDescent="0.2">
      <c r="A1275" s="15">
        <v>43404</v>
      </c>
      <c r="B1275" s="5">
        <v>624850754889958</v>
      </c>
      <c r="C1275" s="5">
        <f>[1]!nefin_factors__1[[#This Row],[Rm_minus_Rf]]/B1274-1</f>
        <v>0.73501660633739152</v>
      </c>
      <c r="D1275" s="5">
        <v>-44343536598863</v>
      </c>
      <c r="E1275" s="5">
        <f>[1]!nefin_factors__1[[#This Row],[SMB]]/D1274-1</f>
        <v>0.36953578285939881</v>
      </c>
      <c r="F1275" s="5">
        <v>-285109936054437</v>
      </c>
      <c r="G1275" s="5">
        <f>[1]!nefin_factors__1[[#This Row],[HML]]/F1274-1</f>
        <v>0.78891358385537869</v>
      </c>
      <c r="H1275" s="5">
        <v>246575519610381</v>
      </c>
      <c r="I1275" s="6">
        <f>[1]!nefin_factors__1[[#This Row],[Risk_Free]]/H1274-1</f>
        <v>-1.5104186688961185E-3</v>
      </c>
      <c r="J1275">
        <v>96558</v>
      </c>
      <c r="K1275">
        <v>97677</v>
      </c>
      <c r="L1275">
        <v>96558</v>
      </c>
      <c r="M1275">
        <v>97677</v>
      </c>
      <c r="N1275">
        <v>5019400</v>
      </c>
      <c r="O1275">
        <v>97677</v>
      </c>
      <c r="P1275">
        <v>1.15888895793201E-2</v>
      </c>
      <c r="Q1275">
        <v>1.1522252735684401E-2</v>
      </c>
      <c r="R1275" s="8">
        <v>51.091514587402301</v>
      </c>
      <c r="S1275" s="8">
        <v>5.0259590664498699E-3</v>
      </c>
      <c r="T1275" s="9">
        <v>5.0133710943180603E-3</v>
      </c>
      <c r="U1275" s="12">
        <v>2.462E-2</v>
      </c>
      <c r="V1275" s="16">
        <v>3.7208000000000001</v>
      </c>
      <c r="W1275" s="17">
        <f t="shared" si="19"/>
        <v>3.9393448815498999E-3</v>
      </c>
    </row>
    <row r="1276" spans="1:23" x14ac:dyDescent="0.2">
      <c r="A1276" s="14">
        <v>43405</v>
      </c>
      <c r="B1276" s="3">
        <v>11516354460386</v>
      </c>
      <c r="C1276" s="3">
        <f>[1]!nefin_factors__1[[#This Row],[Rm_minus_Rf]]/B1275-1</f>
        <v>-0.98156943178789291</v>
      </c>
      <c r="D1276" s="3">
        <v>138486396016399</v>
      </c>
      <c r="E1276" s="3">
        <f>[1]!nefin_factors__1[[#This Row],[SMB]]/D1275-1</f>
        <v>-4.1230345308080345</v>
      </c>
      <c r="F1276" s="3">
        <v>-619070747751729</v>
      </c>
      <c r="G1276" s="3">
        <f>[1]!nefin_factors__1[[#This Row],[HML]]/F1275-1</f>
        <v>1.1713404882302232</v>
      </c>
      <c r="H1276" s="3">
        <v>246202489047498</v>
      </c>
      <c r="I1276" s="4">
        <f>[1]!nefin_factors__1[[#This Row],[Risk_Free]]/H1275-1</f>
        <v>-1.5128450848341801E-3</v>
      </c>
      <c r="J1276">
        <v>97674</v>
      </c>
      <c r="K1276">
        <v>97937</v>
      </c>
      <c r="L1276">
        <v>94783</v>
      </c>
      <c r="M1276">
        <v>95444</v>
      </c>
      <c r="N1276">
        <v>7185300</v>
      </c>
      <c r="O1276">
        <v>95444</v>
      </c>
      <c r="P1276">
        <v>-2.28610624814439E-2</v>
      </c>
      <c r="Q1276">
        <v>-2.31264287403188E-2</v>
      </c>
      <c r="R1276" s="8">
        <v>51.264591217041001</v>
      </c>
      <c r="S1276" s="8">
        <v>3.3876095024125701E-3</v>
      </c>
      <c r="T1276" s="9">
        <v>3.3818844791275999E-3</v>
      </c>
      <c r="U1276" s="12">
        <v>2.462E-2</v>
      </c>
      <c r="V1276" s="16">
        <v>3.6930999999999998</v>
      </c>
      <c r="W1276" s="17">
        <f t="shared" si="19"/>
        <v>-7.444635562244728E-3</v>
      </c>
    </row>
    <row r="1277" spans="1:23" x14ac:dyDescent="0.2">
      <c r="A1277" s="15">
        <v>43409</v>
      </c>
      <c r="B1277" s="5">
        <v>129883674515565</v>
      </c>
      <c r="C1277" s="5">
        <f>[1]!nefin_factors__1[[#This Row],[Rm_minus_Rf]]/B1276-1</f>
        <v>10.278193543133755</v>
      </c>
      <c r="D1277" s="5">
        <v>-248887623997567</v>
      </c>
      <c r="E1277" s="5">
        <f>[1]!nefin_factors__1[[#This Row],[SMB]]/D1276-1</f>
        <v>-2.7971990834976652</v>
      </c>
      <c r="F1277" s="5">
        <v>2467918088087</v>
      </c>
      <c r="G1277" s="5">
        <f>[1]!nefin_factors__1[[#This Row],[HML]]/F1276-1</f>
        <v>-1.0039864879693472</v>
      </c>
      <c r="H1277" s="5">
        <v>246575519610381</v>
      </c>
      <c r="I1277" s="6">
        <f>[1]!nefin_factors__1[[#This Row],[Risk_Free]]/H1276-1</f>
        <v>1.5151372527799634E-3</v>
      </c>
      <c r="J1277">
        <v>95508</v>
      </c>
      <c r="K1277">
        <v>96751</v>
      </c>
      <c r="L1277">
        <v>95508</v>
      </c>
      <c r="M1277">
        <v>95639</v>
      </c>
      <c r="N1277">
        <v>5262000</v>
      </c>
      <c r="O1277">
        <v>95639</v>
      </c>
      <c r="P1277">
        <v>2.04308285486787E-3</v>
      </c>
      <c r="Q1277">
        <v>2.0409985994801001E-3</v>
      </c>
      <c r="R1277" s="8">
        <v>51.684928894042997</v>
      </c>
      <c r="S1277" s="8">
        <v>8.1993293958813E-3</v>
      </c>
      <c r="T1277" s="9">
        <v>8.1658975162826001E-3</v>
      </c>
      <c r="U1277" s="12">
        <v>2.462E-2</v>
      </c>
      <c r="V1277" s="16">
        <v>3.6869000000000001</v>
      </c>
      <c r="W1277" s="17">
        <f t="shared" si="19"/>
        <v>-1.6788064227883925E-3</v>
      </c>
    </row>
    <row r="1278" spans="1:23" x14ac:dyDescent="0.2">
      <c r="A1278" s="14">
        <v>43410</v>
      </c>
      <c r="B1278" s="3">
        <v>-922260018472029</v>
      </c>
      <c r="C1278" s="3">
        <f>[1]!nefin_factors__1[[#This Row],[Rm_minus_Rf]]/B1277-1</f>
        <v>-8.1006615874692329</v>
      </c>
      <c r="D1278" s="3">
        <v>18260637626939</v>
      </c>
      <c r="E1278" s="3">
        <f>[1]!nefin_factors__1[[#This Row],[SMB]]/D1277-1</f>
        <v>-1.0733690061950107</v>
      </c>
      <c r="F1278" s="3">
        <v>765702767515018</v>
      </c>
      <c r="G1278" s="3">
        <f>[1]!nefin_factors__1[[#This Row],[HML]]/F1277-1</f>
        <v>309.26263440880666</v>
      </c>
      <c r="H1278" s="3">
        <v>246575519610381</v>
      </c>
      <c r="I1278" s="4">
        <f>[1]!nefin_factors__1[[#This Row],[Risk_Free]]/H1277-1</f>
        <v>0</v>
      </c>
      <c r="J1278">
        <v>95643</v>
      </c>
      <c r="K1278">
        <v>97107</v>
      </c>
      <c r="L1278">
        <v>95643</v>
      </c>
      <c r="M1278">
        <v>96996</v>
      </c>
      <c r="N1278">
        <v>6164400</v>
      </c>
      <c r="O1278">
        <v>96996</v>
      </c>
      <c r="P1278">
        <v>1.4188772362739001E-2</v>
      </c>
      <c r="Q1278">
        <v>1.4089053880449001E-2</v>
      </c>
      <c r="R1278" s="8">
        <v>53.316825866699197</v>
      </c>
      <c r="S1278" s="8">
        <v>3.1574025840017499E-2</v>
      </c>
      <c r="T1278" s="9">
        <v>3.1085816189279601E-2</v>
      </c>
      <c r="U1278" s="12">
        <v>2.462E-2</v>
      </c>
      <c r="V1278" s="16">
        <v>3.7141000000000002</v>
      </c>
      <c r="W1278" s="17">
        <f t="shared" si="19"/>
        <v>7.3774715885974729E-3</v>
      </c>
    </row>
    <row r="1279" spans="1:23" x14ac:dyDescent="0.2">
      <c r="A1279" s="15">
        <v>43411</v>
      </c>
      <c r="B1279" s="5">
        <v>-122501702951309</v>
      </c>
      <c r="C1279" s="5">
        <f>[1]!nefin_factors__1[[#This Row],[Rm_minus_Rf]]/B1278-1</f>
        <v>-0.86717227192146318</v>
      </c>
      <c r="D1279" s="5">
        <v>65854028762858</v>
      </c>
      <c r="E1279" s="5">
        <f>[1]!nefin_factors__1[[#This Row],[SMB]]/D1278-1</f>
        <v>2.6063378567737887</v>
      </c>
      <c r="F1279" s="5">
        <v>-483977469204498</v>
      </c>
      <c r="G1279" s="5">
        <f>[1]!nefin_factors__1[[#This Row],[HML]]/F1278-1</f>
        <v>-1.6320696355521602</v>
      </c>
      <c r="H1279" s="5">
        <v>246575519610381</v>
      </c>
      <c r="I1279" s="6">
        <f>[1]!nefin_factors__1[[#This Row],[Risk_Free]]/H1278-1</f>
        <v>0</v>
      </c>
      <c r="J1279">
        <v>96996</v>
      </c>
      <c r="K1279">
        <v>98405</v>
      </c>
      <c r="L1279">
        <v>96996</v>
      </c>
      <c r="M1279">
        <v>97394</v>
      </c>
      <c r="N1279">
        <v>5976000</v>
      </c>
      <c r="O1279">
        <v>97394</v>
      </c>
      <c r="P1279">
        <v>4.1032619901850698E-3</v>
      </c>
      <c r="Q1279">
        <v>4.0948665686121096E-3</v>
      </c>
      <c r="R1279" s="8">
        <v>52.748134613037102</v>
      </c>
      <c r="S1279" s="8">
        <v>-1.06663027875563E-2</v>
      </c>
      <c r="T1279" s="9">
        <v>-1.07235955607081E-2</v>
      </c>
      <c r="U1279" s="12">
        <v>2.462E-2</v>
      </c>
      <c r="V1279" s="16">
        <v>3.726</v>
      </c>
      <c r="W1279" s="17">
        <f t="shared" si="19"/>
        <v>3.2040063541638464E-3</v>
      </c>
    </row>
    <row r="1280" spans="1:23" x14ac:dyDescent="0.2">
      <c r="A1280" s="14">
        <v>43412</v>
      </c>
      <c r="B1280" s="3">
        <v>-225034145901375</v>
      </c>
      <c r="C1280" s="3">
        <f>[1]!nefin_factors__1[[#This Row],[Rm_minus_Rf]]/B1279-1</f>
        <v>0.83698789877900537</v>
      </c>
      <c r="D1280" s="3">
        <v>582467588606486</v>
      </c>
      <c r="E1280" s="3">
        <f>[1]!nefin_factors__1[[#This Row],[SMB]]/D1279-1</f>
        <v>7.8448284721344272</v>
      </c>
      <c r="F1280" s="3">
        <v>451160610133971</v>
      </c>
      <c r="G1280" s="3">
        <f>[1]!nefin_factors__1[[#This Row],[HML]]/F1279-1</f>
        <v>-1.9321934156884053</v>
      </c>
      <c r="H1280" s="3">
        <v>246575519610381</v>
      </c>
      <c r="I1280" s="4">
        <f>[1]!nefin_factors__1[[#This Row],[Risk_Free]]/H1279-1</f>
        <v>0</v>
      </c>
      <c r="J1280">
        <v>97395</v>
      </c>
      <c r="K1280">
        <v>98044</v>
      </c>
      <c r="L1280">
        <v>96990</v>
      </c>
      <c r="M1280">
        <v>97861</v>
      </c>
      <c r="N1280">
        <v>4301600</v>
      </c>
      <c r="O1280">
        <v>97861</v>
      </c>
      <c r="P1280">
        <v>4.7949565681664197E-3</v>
      </c>
      <c r="Q1280">
        <v>4.7834973801939001E-3</v>
      </c>
      <c r="R1280" s="8">
        <v>53.407485961914098</v>
      </c>
      <c r="S1280" s="8">
        <v>1.24999662125562E-2</v>
      </c>
      <c r="T1280" s="9">
        <v>1.2422486628241801E-2</v>
      </c>
      <c r="U1280" s="12">
        <v>2.462E-2</v>
      </c>
      <c r="V1280" s="16">
        <v>3.7048999999999999</v>
      </c>
      <c r="W1280" s="17">
        <f t="shared" si="19"/>
        <v>-5.6629092860976948E-3</v>
      </c>
    </row>
    <row r="1281" spans="1:23" x14ac:dyDescent="0.2">
      <c r="A1281" s="15">
        <v>43413</v>
      </c>
      <c r="B1281" s="5">
        <v>159934091430544</v>
      </c>
      <c r="C1281" s="5">
        <f>[1]!nefin_factors__1[[#This Row],[Rm_minus_Rf]]/B1280-1</f>
        <v>-1.7107103270480464</v>
      </c>
      <c r="D1281" s="5">
        <v>-45773809048339</v>
      </c>
      <c r="E1281" s="5">
        <f>[1]!nefin_factors__1[[#This Row],[SMB]]/D1280-1</f>
        <v>-1.0785860191085477</v>
      </c>
      <c r="F1281" s="5">
        <v>143190515465929</v>
      </c>
      <c r="G1281" s="5">
        <f>[1]!nefin_factors__1[[#This Row],[HML]]/F1280-1</f>
        <v>-0.68261742658914981</v>
      </c>
      <c r="H1281" s="5">
        <v>246575519610381</v>
      </c>
      <c r="I1281" s="6">
        <f>[1]!nefin_factors__1[[#This Row],[Risk_Free]]/H1280-1</f>
        <v>0</v>
      </c>
      <c r="J1281">
        <v>97861</v>
      </c>
      <c r="K1281">
        <v>98589</v>
      </c>
      <c r="L1281">
        <v>96901</v>
      </c>
      <c r="M1281">
        <v>98589</v>
      </c>
      <c r="N1281">
        <v>4278300</v>
      </c>
      <c r="O1281">
        <v>98589</v>
      </c>
      <c r="P1281">
        <v>7.4391228374939304E-3</v>
      </c>
      <c r="Q1281">
        <v>7.4115890304623198E-3</v>
      </c>
      <c r="R1281" s="8">
        <v>52.624504089355497</v>
      </c>
      <c r="S1281" s="8">
        <v>-1.46604997841572E-2</v>
      </c>
      <c r="T1281" s="9">
        <v>-1.4769026925309301E-2</v>
      </c>
      <c r="U1281" s="12">
        <v>2.462E-2</v>
      </c>
      <c r="V1281" s="16">
        <v>3.7197</v>
      </c>
      <c r="W1281" s="17">
        <f t="shared" si="19"/>
        <v>3.9947097087640326E-3</v>
      </c>
    </row>
    <row r="1282" spans="1:23" x14ac:dyDescent="0.2">
      <c r="A1282" s="14">
        <v>43416</v>
      </c>
      <c r="B1282" s="3">
        <v>-15938062541987</v>
      </c>
      <c r="C1282" s="3">
        <f>[1]!nefin_factors__1[[#This Row],[Rm_minus_Rf]]/B1281-1</f>
        <v>-1.0996539411918225</v>
      </c>
      <c r="D1282" s="3">
        <v>285797673474627</v>
      </c>
      <c r="E1282" s="3">
        <f>[1]!nefin_factors__1[[#This Row],[SMB]]/D1281-1</f>
        <v>-7.2436943618306495</v>
      </c>
      <c r="F1282" s="3">
        <v>1780313767402</v>
      </c>
      <c r="G1282" s="3">
        <f>[1]!nefin_factors__1[[#This Row],[HML]]/F1281-1</f>
        <v>-0.98756681780487332</v>
      </c>
      <c r="H1282" s="3">
        <v>246948515258083</v>
      </c>
      <c r="I1282" s="4">
        <f>[1]!nefin_factors__1[[#This Row],[Risk_Free]]/H1281-1</f>
        <v>1.5127034844797382E-3</v>
      </c>
      <c r="J1282">
        <v>98587</v>
      </c>
      <c r="K1282">
        <v>98587</v>
      </c>
      <c r="L1282">
        <v>97596</v>
      </c>
      <c r="M1282">
        <v>98311</v>
      </c>
      <c r="N1282">
        <v>4773700</v>
      </c>
      <c r="O1282">
        <v>98311</v>
      </c>
      <c r="P1282">
        <v>-2.8197871973546498E-3</v>
      </c>
      <c r="Q1282">
        <v>-2.8237702866787998E-3</v>
      </c>
      <c r="R1282" s="8">
        <v>51.800315856933601</v>
      </c>
      <c r="S1282" s="8">
        <v>-1.5661702022650999E-2</v>
      </c>
      <c r="T1282" s="9">
        <v>-1.5785642257666099E-2</v>
      </c>
      <c r="U1282" s="12">
        <v>2.462E-2</v>
      </c>
      <c r="V1282" s="16">
        <v>3.7591000000000001</v>
      </c>
      <c r="W1282" s="17">
        <f t="shared" si="19"/>
        <v>1.0592252063338359E-2</v>
      </c>
    </row>
    <row r="1283" spans="1:23" x14ac:dyDescent="0.2">
      <c r="A1283" s="15">
        <v>43417</v>
      </c>
      <c r="B1283" s="5">
        <v>-65942071343984</v>
      </c>
      <c r="C1283" s="5">
        <f>[1]!nefin_factors__1[[#This Row],[Rm_minus_Rf]]/B1282-1</f>
        <v>3.1373956947569486</v>
      </c>
      <c r="D1283" s="5">
        <v>-928012648553638</v>
      </c>
      <c r="E1283" s="5">
        <f>[1]!nefin_factors__1[[#This Row],[SMB]]/D1282-1</f>
        <v>-4.2470965815473178</v>
      </c>
      <c r="F1283" s="5">
        <v>-485332429126459</v>
      </c>
      <c r="G1283" s="5">
        <f>[1]!nefin_factors__1[[#This Row],[HML]]/F1282-1</f>
        <v>-273.61061393391424</v>
      </c>
      <c r="H1283" s="5">
        <v>246948515258083</v>
      </c>
      <c r="I1283" s="6">
        <f>[1]!nefin_factors__1[[#This Row],[Risk_Free]]/H1282-1</f>
        <v>0</v>
      </c>
      <c r="J1283">
        <v>98308</v>
      </c>
      <c r="K1283">
        <v>98308</v>
      </c>
      <c r="L1283">
        <v>94636</v>
      </c>
      <c r="M1283">
        <v>94636</v>
      </c>
      <c r="N1283">
        <v>5458200</v>
      </c>
      <c r="O1283">
        <v>94636</v>
      </c>
      <c r="P1283">
        <v>-3.7381371362309498E-2</v>
      </c>
      <c r="Q1283">
        <v>-3.8097969882255098E-2</v>
      </c>
      <c r="R1283" s="8">
        <v>49.451374053955099</v>
      </c>
      <c r="S1283" s="8">
        <v>-4.5346080517009099E-2</v>
      </c>
      <c r="T1283" s="9">
        <v>-4.6406392155722898E-2</v>
      </c>
      <c r="U1283" s="12">
        <v>2.462E-2</v>
      </c>
      <c r="V1283" s="16">
        <v>3.7486000000000002</v>
      </c>
      <c r="W1283" s="17">
        <f t="shared" si="19"/>
        <v>-2.7932217818095184E-3</v>
      </c>
    </row>
    <row r="1284" spans="1:23" x14ac:dyDescent="0.2">
      <c r="A1284" s="14">
        <v>43418</v>
      </c>
      <c r="B1284" s="3">
        <v>128126853130096</v>
      </c>
      <c r="C1284" s="3">
        <f>[1]!nefin_factors__1[[#This Row],[Rm_minus_Rf]]/B1283-1</f>
        <v>-2.9430213597890749</v>
      </c>
      <c r="D1284" s="3">
        <v>-975362293707205</v>
      </c>
      <c r="E1284" s="3">
        <f>[1]!nefin_factors__1[[#This Row],[SMB]]/D1283-1</f>
        <v>5.1022629085243798E-2</v>
      </c>
      <c r="F1284" s="3">
        <v>-113456045354624</v>
      </c>
      <c r="G1284" s="3">
        <f>[1]!nefin_factors__1[[#This Row],[HML]]/F1283-1</f>
        <v>-0.76623024025237407</v>
      </c>
      <c r="H1284" s="3">
        <v>246948515258083</v>
      </c>
      <c r="I1284" s="4">
        <f>[1]!nefin_factors__1[[#This Row],[Risk_Free]]/H1283-1</f>
        <v>0</v>
      </c>
      <c r="J1284">
        <v>94654</v>
      </c>
      <c r="K1284">
        <v>95642</v>
      </c>
      <c r="L1284">
        <v>93507</v>
      </c>
      <c r="M1284">
        <v>94406</v>
      </c>
      <c r="N1284">
        <v>5612500</v>
      </c>
      <c r="O1284">
        <v>94406</v>
      </c>
      <c r="P1284">
        <v>-2.43036476605096E-3</v>
      </c>
      <c r="Q1284">
        <v>-2.4333228963614099E-3</v>
      </c>
      <c r="R1284" s="8">
        <v>50.053035736083999</v>
      </c>
      <c r="S1284" s="8">
        <v>1.2166694823277299E-2</v>
      </c>
      <c r="T1284" s="9">
        <v>1.20932755055393E-2</v>
      </c>
      <c r="U1284" s="12">
        <v>2.462E-2</v>
      </c>
      <c r="V1284" s="16">
        <v>3.7705000000000002</v>
      </c>
      <c r="W1284" s="17">
        <f t="shared" ref="W1284:W1347" si="20">V1284/V1283-1</f>
        <v>5.8421810809368147E-3</v>
      </c>
    </row>
    <row r="1285" spans="1:23" x14ac:dyDescent="0.2">
      <c r="A1285" s="15">
        <v>43420</v>
      </c>
      <c r="B1285" s="5">
        <v>274857037662914</v>
      </c>
      <c r="C1285" s="5">
        <f>[1]!nefin_factors__1[[#This Row],[Rm_minus_Rf]]/B1284-1</f>
        <v>1.1451946328833409</v>
      </c>
      <c r="D1285" s="5">
        <v>955443875703988</v>
      </c>
      <c r="E1285" s="5">
        <f>[1]!nefin_factors__1[[#This Row],[SMB]]/D1284-1</f>
        <v>-1.9795784416398647</v>
      </c>
      <c r="F1285" s="5">
        <v>642774751703564</v>
      </c>
      <c r="G1285" s="5">
        <f>[1]!nefin_factors__1[[#This Row],[HML]]/F1284-1</f>
        <v>-6.665407688893743</v>
      </c>
      <c r="H1285" s="5">
        <v>246948515258083</v>
      </c>
      <c r="I1285" s="6">
        <f>[1]!nefin_factors__1[[#This Row],[Risk_Free]]/H1284-1</f>
        <v>0</v>
      </c>
      <c r="J1285">
        <v>94401</v>
      </c>
      <c r="K1285">
        <v>95486</v>
      </c>
      <c r="L1285">
        <v>93424</v>
      </c>
      <c r="M1285">
        <v>95343</v>
      </c>
      <c r="N1285">
        <v>5302500</v>
      </c>
      <c r="O1285">
        <v>95343</v>
      </c>
      <c r="P1285">
        <v>9.9252166175878304E-3</v>
      </c>
      <c r="Q1285">
        <v>9.8762851589699902E-3</v>
      </c>
      <c r="R1285" s="8">
        <v>50.275566101074197</v>
      </c>
      <c r="S1285" s="8">
        <v>4.44595203108089E-3</v>
      </c>
      <c r="T1285" s="9">
        <v>4.4360979826384896E-3</v>
      </c>
      <c r="U1285" s="12">
        <v>2.462E-2</v>
      </c>
      <c r="V1285" s="16">
        <v>3.7614999999999998</v>
      </c>
      <c r="W1285" s="17">
        <f t="shared" si="20"/>
        <v>-2.3869513327146041E-3</v>
      </c>
    </row>
    <row r="1286" spans="1:23" x14ac:dyDescent="0.2">
      <c r="A1286" s="14">
        <v>43423</v>
      </c>
      <c r="B1286" s="3">
        <v>-60276766121336</v>
      </c>
      <c r="C1286" s="3">
        <f>[1]!nefin_factors__1[[#This Row],[Rm_minus_Rf]]/B1285-1</f>
        <v>-1.2193022475751911</v>
      </c>
      <c r="D1286" s="3">
        <v>662327941229742</v>
      </c>
      <c r="E1286" s="3">
        <f>[1]!nefin_factors__1[[#This Row],[SMB]]/D1285-1</f>
        <v>-0.30678508903338042</v>
      </c>
      <c r="F1286" s="3">
        <v>-621882557662262</v>
      </c>
      <c r="G1286" s="3">
        <f>[1]!nefin_factors__1[[#This Row],[HML]]/F1285-1</f>
        <v>-1.967496865759069</v>
      </c>
      <c r="H1286" s="3">
        <v>246948515258083</v>
      </c>
      <c r="I1286" s="4">
        <f>[1]!nefin_factors__1[[#This Row],[Risk_Free]]/H1285-1</f>
        <v>0</v>
      </c>
      <c r="J1286">
        <v>95351</v>
      </c>
      <c r="K1286">
        <v>95499</v>
      </c>
      <c r="L1286">
        <v>93737</v>
      </c>
      <c r="M1286">
        <v>94413</v>
      </c>
      <c r="N1286">
        <v>3767300</v>
      </c>
      <c r="O1286">
        <v>94413</v>
      </c>
      <c r="P1286">
        <v>-9.7542556873603196E-3</v>
      </c>
      <c r="Q1286">
        <v>-9.8021400781973106E-3</v>
      </c>
      <c r="R1286" s="8">
        <v>50.407436370849602</v>
      </c>
      <c r="S1286" s="8">
        <v>2.6229283533796299E-3</v>
      </c>
      <c r="T1286" s="9">
        <v>2.6194944800313701E-3</v>
      </c>
      <c r="U1286" s="12">
        <v>2.462E-2</v>
      </c>
      <c r="V1286" s="16">
        <v>3.7993999999999999</v>
      </c>
      <c r="W1286" s="17">
        <f t="shared" si="20"/>
        <v>1.0075767645886025E-2</v>
      </c>
    </row>
    <row r="1287" spans="1:23" x14ac:dyDescent="0.2">
      <c r="A1287" s="15">
        <v>43425</v>
      </c>
      <c r="B1287" s="5">
        <v>-734481129257082</v>
      </c>
      <c r="C1287" s="5">
        <f>[1]!nefin_factors__1[[#This Row],[Rm_minus_Rf]]/B1286-1</f>
        <v>11.185144899422529</v>
      </c>
      <c r="D1287" s="5">
        <v>159350717110008</v>
      </c>
      <c r="E1287" s="5">
        <f>[1]!nefin_factors__1[[#This Row],[SMB]]/D1286-1</f>
        <v>-0.75940813124365236</v>
      </c>
      <c r="F1287" s="5">
        <v>573811539552286</v>
      </c>
      <c r="G1287" s="5">
        <f>[1]!nefin_factors__1[[#This Row],[HML]]/F1286-1</f>
        <v>-1.9227008097948892</v>
      </c>
      <c r="H1287" s="5">
        <v>246948515258083</v>
      </c>
      <c r="I1287" s="6">
        <f>[1]!nefin_factors__1[[#This Row],[Risk_Free]]/H1286-1</f>
        <v>0</v>
      </c>
      <c r="J1287">
        <v>94420</v>
      </c>
      <c r="K1287">
        <v>96571</v>
      </c>
      <c r="L1287">
        <v>94420</v>
      </c>
      <c r="M1287">
        <v>96168</v>
      </c>
      <c r="N1287">
        <v>4915000</v>
      </c>
      <c r="O1287">
        <v>96168</v>
      </c>
      <c r="P1287">
        <v>1.8588541832162998E-2</v>
      </c>
      <c r="Q1287">
        <v>1.84178864674997E-2</v>
      </c>
      <c r="R1287" s="8">
        <v>52.121749877929702</v>
      </c>
      <c r="S1287" s="8">
        <v>3.40090951143288E-2</v>
      </c>
      <c r="T1287" s="9">
        <v>3.3443572096226303E-2</v>
      </c>
      <c r="U1287" s="12">
        <v>2.462E-2</v>
      </c>
      <c r="V1287" s="16">
        <v>3.7814999999999999</v>
      </c>
      <c r="W1287" s="17">
        <f t="shared" si="20"/>
        <v>-4.7112702005579488E-3</v>
      </c>
    </row>
    <row r="1288" spans="1:23" x14ac:dyDescent="0.2">
      <c r="A1288" s="14">
        <v>43426</v>
      </c>
      <c r="B1288" s="3">
        <v>298152964936366</v>
      </c>
      <c r="C1288" s="3">
        <f>[1]!nefin_factors__1[[#This Row],[Rm_minus_Rf]]/B1287-1</f>
        <v>-1.4059368621736326</v>
      </c>
      <c r="D1288" s="3">
        <v>-106647430739526</v>
      </c>
      <c r="E1288" s="3">
        <f>[1]!nefin_factors__1[[#This Row],[SMB]]/D1287-1</f>
        <v>-1.6692623207079877</v>
      </c>
      <c r="F1288" s="3">
        <v>-518521290370705</v>
      </c>
      <c r="G1288" s="3">
        <f>[1]!nefin_factors__1[[#This Row],[HML]]/F1287-1</f>
        <v>-1.9036438876347432</v>
      </c>
      <c r="H1288" s="3">
        <v>246948515258083</v>
      </c>
      <c r="I1288" s="4">
        <f>[1]!nefin_factors__1[[#This Row],[Risk_Free]]/H1287-1</f>
        <v>0</v>
      </c>
      <c r="J1288">
        <v>96169</v>
      </c>
      <c r="K1288">
        <v>96804</v>
      </c>
      <c r="L1288">
        <v>95389</v>
      </c>
      <c r="M1288">
        <v>95842</v>
      </c>
      <c r="N1288">
        <v>5814400</v>
      </c>
      <c r="O1288">
        <v>95842</v>
      </c>
      <c r="P1288">
        <v>-3.38990100657188E-3</v>
      </c>
      <c r="Q1288">
        <v>-3.39565973902747E-3</v>
      </c>
      <c r="R1288" s="8">
        <v>51.404705047607401</v>
      </c>
      <c r="S1288" s="8">
        <v>-1.37570960741064E-2</v>
      </c>
      <c r="T1288" s="9">
        <v>-1.38526018533683E-2</v>
      </c>
      <c r="U1288" s="12">
        <v>2.462E-2</v>
      </c>
      <c r="V1288" s="16">
        <v>3.7625999999999999</v>
      </c>
      <c r="W1288" s="17">
        <f t="shared" si="20"/>
        <v>-4.9980166600555043E-3</v>
      </c>
    </row>
    <row r="1289" spans="1:23" x14ac:dyDescent="0.2">
      <c r="A1289" s="15">
        <v>43427</v>
      </c>
      <c r="B1289" s="5">
        <v>-138837441525222</v>
      </c>
      <c r="C1289" s="5">
        <f>[1]!nefin_factors__1[[#This Row],[Rm_minus_Rf]]/B1288-1</f>
        <v>-1.4656584299098072</v>
      </c>
      <c r="D1289" s="5">
        <v>-116108968881195</v>
      </c>
      <c r="E1289" s="5">
        <f>[1]!nefin_factors__1[[#This Row],[SMB]]/D1288-1</f>
        <v>8.8717919185298699E-2</v>
      </c>
      <c r="F1289" s="5">
        <v>-138660016202726</v>
      </c>
      <c r="G1289" s="5">
        <f>[1]!nefin_factors__1[[#This Row],[HML]]/F1288-1</f>
        <v>-0.73258568398687318</v>
      </c>
      <c r="H1289" s="5">
        <v>246948515258083</v>
      </c>
      <c r="I1289" s="6">
        <f>[1]!nefin_factors__1[[#This Row],[Risk_Free]]/H1288-1</f>
        <v>0</v>
      </c>
      <c r="J1289">
        <v>95843</v>
      </c>
      <c r="K1289">
        <v>98019</v>
      </c>
      <c r="L1289">
        <v>94915</v>
      </c>
      <c r="M1289">
        <v>98015</v>
      </c>
      <c r="N1289">
        <v>5222300</v>
      </c>
      <c r="O1289">
        <v>98015</v>
      </c>
      <c r="P1289">
        <v>2.26727322050875E-2</v>
      </c>
      <c r="Q1289">
        <v>2.2419525919461902E-2</v>
      </c>
      <c r="R1289" s="8">
        <v>51.923942565917997</v>
      </c>
      <c r="S1289" s="8">
        <v>1.0100985113292301E-2</v>
      </c>
      <c r="T1289" s="9">
        <v>1.00503111156605E-2</v>
      </c>
      <c r="U1289" s="12">
        <v>2.462E-2</v>
      </c>
      <c r="V1289" s="16">
        <v>3.7675999999999998</v>
      </c>
      <c r="W1289" s="17">
        <f t="shared" si="20"/>
        <v>1.3288683357253195E-3</v>
      </c>
    </row>
    <row r="1290" spans="1:23" x14ac:dyDescent="0.2">
      <c r="A1290" s="14">
        <v>43430</v>
      </c>
      <c r="B1290" s="3">
        <v>-822886974327525</v>
      </c>
      <c r="C1290" s="3">
        <f>[1]!nefin_factors__1[[#This Row],[Rm_minus_Rf]]/B1289-1</f>
        <v>4.9269816937532278</v>
      </c>
      <c r="D1290" s="3">
        <v>-39941895988409</v>
      </c>
      <c r="E1290" s="3">
        <f>[1]!nefin_factors__1[[#This Row],[SMB]]/D1289-1</f>
        <v>-0.65599646286344737</v>
      </c>
      <c r="F1290" s="3">
        <v>182566683924506</v>
      </c>
      <c r="G1290" s="3">
        <f>[1]!nefin_factors__1[[#This Row],[HML]]/F1289-1</f>
        <v>-2.3166498095426937</v>
      </c>
      <c r="H1290" s="3">
        <v>246575519610381</v>
      </c>
      <c r="I1290" s="4">
        <f>[1]!nefin_factors__1[[#This Row],[Risk_Free]]/H1289-1</f>
        <v>-1.5104186688961185E-3</v>
      </c>
      <c r="J1290">
        <v>98015</v>
      </c>
      <c r="K1290">
        <v>98238</v>
      </c>
      <c r="L1290">
        <v>97083</v>
      </c>
      <c r="M1290">
        <v>97526</v>
      </c>
      <c r="N1290">
        <v>4586300</v>
      </c>
      <c r="O1290">
        <v>97526</v>
      </c>
      <c r="P1290">
        <v>-4.98903229097591E-3</v>
      </c>
      <c r="Q1290">
        <v>-5.0015190611553701E-3</v>
      </c>
      <c r="R1290" s="8">
        <v>51.610752105712898</v>
      </c>
      <c r="S1290" s="8">
        <v>-6.0317041658944897E-3</v>
      </c>
      <c r="T1290" s="9">
        <v>-6.0499683733658098E-3</v>
      </c>
      <c r="U1290" s="12">
        <v>2.462E-2</v>
      </c>
      <c r="V1290" s="16">
        <v>3.7370000000000001</v>
      </c>
      <c r="W1290" s="17">
        <f t="shared" si="20"/>
        <v>-8.1218813037476911E-3</v>
      </c>
    </row>
    <row r="1291" spans="1:23" x14ac:dyDescent="0.2">
      <c r="A1291" s="15">
        <v>43431</v>
      </c>
      <c r="B1291" s="5">
        <v>255013546489924</v>
      </c>
      <c r="C1291" s="5">
        <f>[1]!nefin_factors__1[[#This Row],[Rm_minus_Rf]]/B1290-1</f>
        <v>-1.3099010610762489</v>
      </c>
      <c r="D1291" s="5">
        <v>-146277409130203</v>
      </c>
      <c r="E1291" s="5">
        <f>[1]!nefin_factors__1[[#This Row],[SMB]]/D1290-1</f>
        <v>2.6622550209597509</v>
      </c>
      <c r="F1291" s="5">
        <v>107785250053591</v>
      </c>
      <c r="G1291" s="5">
        <f>[1]!nefin_factors__1[[#This Row],[HML]]/F1290-1</f>
        <v>-0.4096116129372116</v>
      </c>
      <c r="H1291" s="5">
        <v>246948515258083</v>
      </c>
      <c r="I1291" s="6">
        <f>[1]!nefin_factors__1[[#This Row],[Risk_Free]]/H1290-1</f>
        <v>1.5127034844797382E-3</v>
      </c>
      <c r="J1291">
        <v>97527</v>
      </c>
      <c r="K1291">
        <v>97527</v>
      </c>
      <c r="L1291">
        <v>96239</v>
      </c>
      <c r="M1291">
        <v>96510</v>
      </c>
      <c r="N1291">
        <v>2837100</v>
      </c>
      <c r="O1291">
        <v>96510</v>
      </c>
      <c r="P1291">
        <v>-1.0417734757910699E-2</v>
      </c>
      <c r="Q1291">
        <v>-1.0472379202187699E-2</v>
      </c>
      <c r="R1291" s="8">
        <v>51.050304412841797</v>
      </c>
      <c r="S1291" s="8">
        <v>-1.0859113898097799E-2</v>
      </c>
      <c r="T1291" s="9">
        <v>-1.0918504419055799E-2</v>
      </c>
      <c r="U1291" s="12">
        <v>2.462E-2</v>
      </c>
      <c r="V1291" s="16">
        <v>3.7151000000000001</v>
      </c>
      <c r="W1291" s="17">
        <f t="shared" si="20"/>
        <v>-5.8603157613058565E-3</v>
      </c>
    </row>
    <row r="1292" spans="1:23" x14ac:dyDescent="0.2">
      <c r="A1292" s="14">
        <v>43432</v>
      </c>
      <c r="B1292" s="3">
        <v>143144147870275</v>
      </c>
      <c r="C1292" s="3">
        <f>[1]!nefin_factors__1[[#This Row],[Rm_minus_Rf]]/B1291-1</f>
        <v>-0.43868021977439986</v>
      </c>
      <c r="D1292" s="3">
        <v>-349390600434468</v>
      </c>
      <c r="E1292" s="3">
        <f>[1]!nefin_factors__1[[#This Row],[SMB]]/D1291-1</f>
        <v>1.3885479139398202</v>
      </c>
      <c r="F1292" s="3">
        <v>-498151918223458</v>
      </c>
      <c r="G1292" s="3">
        <f>[1]!nefin_factors__1[[#This Row],[HML]]/F1291-1</f>
        <v>-5.6217076824127243</v>
      </c>
      <c r="H1292" s="3">
        <v>246948515258083</v>
      </c>
      <c r="I1292" s="4">
        <f>[1]!nefin_factors__1[[#This Row],[Risk_Free]]/H1291-1</f>
        <v>0</v>
      </c>
      <c r="J1292">
        <v>96513</v>
      </c>
      <c r="K1292">
        <v>98185</v>
      </c>
      <c r="L1292">
        <v>96513</v>
      </c>
      <c r="M1292">
        <v>97659</v>
      </c>
      <c r="N1292">
        <v>4830600</v>
      </c>
      <c r="O1292">
        <v>97659</v>
      </c>
      <c r="P1292">
        <v>1.1905502020516099E-2</v>
      </c>
      <c r="Q1292">
        <v>1.18351890552454E-2</v>
      </c>
      <c r="R1292" s="8">
        <v>51.0090942382812</v>
      </c>
      <c r="S1292" s="8">
        <v>-8.0729666352097296E-4</v>
      </c>
      <c r="T1292" s="9">
        <v>-8.0762270295794904E-4</v>
      </c>
      <c r="U1292" s="12">
        <v>2.462E-2</v>
      </c>
      <c r="V1292" s="16">
        <v>3.6518999999999999</v>
      </c>
      <c r="W1292" s="17">
        <f t="shared" si="20"/>
        <v>-1.7011655137143089E-2</v>
      </c>
    </row>
    <row r="1293" spans="1:23" x14ac:dyDescent="0.2">
      <c r="A1293" s="15">
        <v>43433</v>
      </c>
      <c r="B1293" s="5">
        <v>403061275993452</v>
      </c>
      <c r="C1293" s="5">
        <f>[1]!nefin_factors__1[[#This Row],[Rm_minus_Rf]]/B1292-1</f>
        <v>1.8157719473011777</v>
      </c>
      <c r="D1293" s="5">
        <v>-43526147736375</v>
      </c>
      <c r="E1293" s="5">
        <f>[1]!nefin_factors__1[[#This Row],[SMB]]/D1292-1</f>
        <v>-0.87542267112438021</v>
      </c>
      <c r="F1293" s="5">
        <v>-365433995253119</v>
      </c>
      <c r="G1293" s="5">
        <f>[1]!nefin_factors__1[[#This Row],[HML]]/F1292-1</f>
        <v>-0.26642057997818491</v>
      </c>
      <c r="H1293" s="5">
        <v>246575519610381</v>
      </c>
      <c r="I1293" s="6">
        <f>[1]!nefin_factors__1[[#This Row],[Risk_Free]]/H1292-1</f>
        <v>-1.5104186688961185E-3</v>
      </c>
      <c r="J1293">
        <v>97661</v>
      </c>
      <c r="K1293">
        <v>98544</v>
      </c>
      <c r="L1293">
        <v>96545</v>
      </c>
      <c r="M1293">
        <v>96545</v>
      </c>
      <c r="N1293">
        <v>5906800</v>
      </c>
      <c r="O1293">
        <v>96545</v>
      </c>
      <c r="P1293">
        <v>-1.1407038777788E-2</v>
      </c>
      <c r="Q1293">
        <v>-1.1472598079788E-2</v>
      </c>
      <c r="R1293" s="8">
        <v>50.489852905273402</v>
      </c>
      <c r="S1293" s="8">
        <v>-1.01793253766292E-2</v>
      </c>
      <c r="T1293" s="9">
        <v>-1.02314890048127E-2</v>
      </c>
      <c r="U1293" s="12">
        <v>2.462E-2</v>
      </c>
      <c r="V1293" s="16">
        <v>3.6694</v>
      </c>
      <c r="W1293" s="17">
        <f t="shared" si="20"/>
        <v>4.7920260686218352E-3</v>
      </c>
    </row>
    <row r="1294" spans="1:23" x14ac:dyDescent="0.2">
      <c r="A1294" s="14">
        <v>43434</v>
      </c>
      <c r="B1294" s="3">
        <v>-141062598652471</v>
      </c>
      <c r="C1294" s="3">
        <f>[1]!nefin_factors__1[[#This Row],[Rm_minus_Rf]]/B1293-1</f>
        <v>-1.3499780481386723</v>
      </c>
      <c r="D1294" s="3">
        <v>45681393202879</v>
      </c>
      <c r="E1294" s="3">
        <f>[1]!nefin_factors__1[[#This Row],[SMB]]/D1293-1</f>
        <v>-2.0495161087895415</v>
      </c>
      <c r="F1294" s="3">
        <v>49286692077329</v>
      </c>
      <c r="G1294" s="3">
        <f>[1]!nefin_factors__1[[#This Row],[HML]]/F1293-1</f>
        <v>-1.1348716668879983</v>
      </c>
      <c r="H1294" s="3">
        <v>246575519610381</v>
      </c>
      <c r="I1294" s="4">
        <f>[1]!nefin_factors__1[[#This Row],[Risk_Free]]/H1293-1</f>
        <v>0</v>
      </c>
      <c r="J1294">
        <v>96546</v>
      </c>
      <c r="K1294">
        <v>97231</v>
      </c>
      <c r="L1294">
        <v>95793</v>
      </c>
      <c r="M1294">
        <v>96932</v>
      </c>
      <c r="N1294">
        <v>5814100</v>
      </c>
      <c r="O1294">
        <v>96932</v>
      </c>
      <c r="P1294">
        <v>4.0084934486508397E-3</v>
      </c>
      <c r="Q1294">
        <v>4.0004808439651502E-3</v>
      </c>
      <c r="R1294" s="8">
        <v>51.0090942382812</v>
      </c>
      <c r="S1294" s="8">
        <v>1.0284009657105299E-2</v>
      </c>
      <c r="T1294" s="9">
        <v>1.02314890048127E-2</v>
      </c>
      <c r="U1294" s="12">
        <v>2.462E-2</v>
      </c>
      <c r="V1294" s="16">
        <v>3.6756000000000002</v>
      </c>
      <c r="W1294" s="17">
        <f t="shared" si="20"/>
        <v>1.6896495339837614E-3</v>
      </c>
    </row>
    <row r="1295" spans="1:23" x14ac:dyDescent="0.2">
      <c r="A1295" s="15">
        <v>43437</v>
      </c>
      <c r="B1295" s="5">
        <v>222887131684226</v>
      </c>
      <c r="C1295" s="5">
        <f>[1]!nefin_factors__1[[#This Row],[Rm_minus_Rf]]/B1294-1</f>
        <v>-2.5800583132127182</v>
      </c>
      <c r="D1295" s="5">
        <v>509130422063078</v>
      </c>
      <c r="E1295" s="5">
        <f>[1]!nefin_factors__1[[#This Row],[SMB]]/D1294-1</f>
        <v>10.14524725202538</v>
      </c>
      <c r="F1295" s="5">
        <v>549506076044872</v>
      </c>
      <c r="G1295" s="5">
        <f>[1]!nefin_factors__1[[#This Row],[HML]]/F1294-1</f>
        <v>10.149177453068209</v>
      </c>
      <c r="H1295" s="5">
        <v>246202489047498</v>
      </c>
      <c r="I1295" s="6">
        <f>[1]!nefin_factors__1[[#This Row],[Risk_Free]]/H1294-1</f>
        <v>-1.5128450848341801E-3</v>
      </c>
      <c r="J1295">
        <v>96929</v>
      </c>
      <c r="K1295">
        <v>97887</v>
      </c>
      <c r="L1295">
        <v>96929</v>
      </c>
      <c r="M1295">
        <v>97886</v>
      </c>
      <c r="N1295">
        <v>4426600</v>
      </c>
      <c r="O1295">
        <v>97886</v>
      </c>
      <c r="P1295">
        <v>9.8419510584739599E-3</v>
      </c>
      <c r="Q1295">
        <v>9.7938345077329594E-3</v>
      </c>
      <c r="R1295" s="8">
        <v>50.110725402832003</v>
      </c>
      <c r="S1295" s="8">
        <v>-1.76119266102868E-2</v>
      </c>
      <c r="T1295" s="9">
        <v>-1.7768861942153501E-2</v>
      </c>
      <c r="U1295" s="12">
        <v>2.462E-2</v>
      </c>
      <c r="V1295" s="16">
        <v>3.6741000000000001</v>
      </c>
      <c r="W1295" s="17">
        <f t="shared" si="20"/>
        <v>-4.0809663728369472E-4</v>
      </c>
    </row>
    <row r="1296" spans="1:23" x14ac:dyDescent="0.2">
      <c r="A1296" s="14">
        <v>43438</v>
      </c>
      <c r="B1296" s="3">
        <v>-12322141042333</v>
      </c>
      <c r="C1296" s="3">
        <f>[1]!nefin_factors__1[[#This Row],[Rm_minus_Rf]]/B1295-1</f>
        <v>-1.0552842191885277</v>
      </c>
      <c r="D1296" s="3">
        <v>-549789020604951</v>
      </c>
      <c r="E1296" s="3">
        <f>[1]!nefin_factors__1[[#This Row],[SMB]]/D1295-1</f>
        <v>-2.0798589060483126</v>
      </c>
      <c r="F1296" s="3">
        <v>-337924381072364</v>
      </c>
      <c r="G1296" s="3">
        <f>[1]!nefin_factors__1[[#This Row],[HML]]/F1295-1</f>
        <v>-1.6149602266541079</v>
      </c>
      <c r="H1296" s="3">
        <v>246948515258083</v>
      </c>
      <c r="I1296" s="4">
        <f>[1]!nefin_factors__1[[#This Row],[Risk_Free]]/H1295-1</f>
        <v>3.0301326906612136E-3</v>
      </c>
      <c r="J1296">
        <v>97881</v>
      </c>
      <c r="K1296">
        <v>98190</v>
      </c>
      <c r="L1296">
        <v>97087</v>
      </c>
      <c r="M1296">
        <v>97240</v>
      </c>
      <c r="N1296">
        <v>4360000</v>
      </c>
      <c r="O1296">
        <v>97240</v>
      </c>
      <c r="P1296">
        <v>-6.5995137200416396E-3</v>
      </c>
      <c r="Q1296">
        <v>-6.6213867982775603E-3</v>
      </c>
      <c r="R1296" s="8">
        <v>49.781051635742202</v>
      </c>
      <c r="S1296" s="8">
        <v>-6.5788532684717396E-3</v>
      </c>
      <c r="T1296" s="9">
        <v>-6.6005893082287598E-3</v>
      </c>
      <c r="U1296" s="12">
        <v>2.462E-2</v>
      </c>
      <c r="V1296" s="16">
        <v>3.7019000000000002</v>
      </c>
      <c r="W1296" s="17">
        <f t="shared" si="20"/>
        <v>7.5664788655724902E-3</v>
      </c>
    </row>
    <row r="1297" spans="1:23" x14ac:dyDescent="0.2">
      <c r="A1297" s="15">
        <v>43439</v>
      </c>
      <c r="B1297" s="5">
        <v>384223983462681</v>
      </c>
      <c r="C1297" s="5">
        <f>[1]!nefin_factors__1[[#This Row],[Rm_minus_Rf]]/B1296-1</f>
        <v>-32.181592723429361</v>
      </c>
      <c r="D1297" s="5">
        <v>251650191089352</v>
      </c>
      <c r="E1297" s="5">
        <f>[1]!nefin_factors__1[[#This Row],[SMB]]/D1296-1</f>
        <v>-1.4577213833998595</v>
      </c>
      <c r="F1297" s="5">
        <v>366783325729379</v>
      </c>
      <c r="G1297" s="5">
        <f>[1]!nefin_factors__1[[#This Row],[HML]]/F1296-1</f>
        <v>-2.0854005992862499</v>
      </c>
      <c r="H1297" s="5">
        <v>246575519610381</v>
      </c>
      <c r="I1297" s="6">
        <f>[1]!nefin_factors__1[[#This Row],[Risk_Free]]/H1296-1</f>
        <v>-1.5104186688961185E-3</v>
      </c>
      <c r="J1297">
        <v>97242</v>
      </c>
      <c r="K1297">
        <v>97904</v>
      </c>
      <c r="L1297">
        <v>97235</v>
      </c>
      <c r="M1297">
        <v>97603</v>
      </c>
      <c r="N1297">
        <v>3555100</v>
      </c>
      <c r="O1297">
        <v>97603</v>
      </c>
      <c r="P1297">
        <v>3.7330316742081298E-3</v>
      </c>
      <c r="Q1297">
        <v>3.7260812036486401E-3</v>
      </c>
      <c r="R1297" s="8">
        <v>49.426651000976598</v>
      </c>
      <c r="S1297" s="8">
        <v>-7.1192266493313996E-3</v>
      </c>
      <c r="T1297" s="9">
        <v>-7.1446892647635896E-3</v>
      </c>
      <c r="U1297" s="12">
        <v>2.462E-2</v>
      </c>
      <c r="V1297" s="16">
        <v>3.7193000000000001</v>
      </c>
      <c r="W1297" s="17">
        <f t="shared" si="20"/>
        <v>4.7002890407628062E-3</v>
      </c>
    </row>
    <row r="1298" spans="1:23" x14ac:dyDescent="0.2">
      <c r="A1298" s="14">
        <v>43440</v>
      </c>
      <c r="B1298" s="3">
        <v>-276507057576767</v>
      </c>
      <c r="C1298" s="3">
        <f>[1]!nefin_factors__1[[#This Row],[Rm_minus_Rf]]/B1297-1</f>
        <v>-1.719650697191899</v>
      </c>
      <c r="D1298" s="3">
        <v>13309983198193</v>
      </c>
      <c r="E1298" s="3">
        <f>[1]!nefin_factors__1[[#This Row],[SMB]]/D1297-1</f>
        <v>-0.94710918700050939</v>
      </c>
      <c r="F1298" s="3">
        <v>-100567507072188</v>
      </c>
      <c r="G1298" s="3">
        <f>[1]!nefin_factors__1[[#This Row],[HML]]/F1297-1</f>
        <v>-1.2741877834064599</v>
      </c>
      <c r="H1298" s="3">
        <v>246575519610381</v>
      </c>
      <c r="I1298" s="4">
        <f>[1]!nefin_factors__1[[#This Row],[Risk_Free]]/H1297-1</f>
        <v>0</v>
      </c>
      <c r="J1298">
        <v>97603</v>
      </c>
      <c r="K1298">
        <v>97782</v>
      </c>
      <c r="L1298">
        <v>96886</v>
      </c>
      <c r="M1298">
        <v>97307</v>
      </c>
      <c r="N1298">
        <v>3873500</v>
      </c>
      <c r="O1298">
        <v>97307</v>
      </c>
      <c r="P1298">
        <v>-3.0326936672028198E-3</v>
      </c>
      <c r="Q1298">
        <v>-3.03730160130235E-3</v>
      </c>
      <c r="R1298" s="8">
        <v>48.841476440429702</v>
      </c>
      <c r="S1298" s="8">
        <v>-1.1839176309672199E-2</v>
      </c>
      <c r="T1298" s="9">
        <v>-1.19098174665082E-2</v>
      </c>
      <c r="U1298" s="12">
        <v>2.462E-2</v>
      </c>
      <c r="V1298" s="16">
        <v>3.7183999999999999</v>
      </c>
      <c r="W1298" s="17">
        <f t="shared" si="20"/>
        <v>-2.4198101793349025E-4</v>
      </c>
    </row>
    <row r="1299" spans="1:23" x14ac:dyDescent="0.2">
      <c r="A1299" s="15">
        <v>43441</v>
      </c>
      <c r="B1299" s="5">
        <v>-755128291449686</v>
      </c>
      <c r="C1299" s="5">
        <f>[1]!nefin_factors__1[[#This Row],[Rm_minus_Rf]]/B1298-1</f>
        <v>1.7309548554291014</v>
      </c>
      <c r="D1299" s="5">
        <v>813569013532356</v>
      </c>
      <c r="E1299" s="5">
        <f>[1]!nefin_factors__1[[#This Row],[SMB]]/D1298-1</f>
        <v>60.124721302639088</v>
      </c>
      <c r="F1299" s="5">
        <v>534165773432184</v>
      </c>
      <c r="G1299" s="5">
        <f>[1]!nefin_factors__1[[#This Row],[HML]]/F1298-1</f>
        <v>-6.3115145138156441</v>
      </c>
      <c r="H1299" s="5">
        <v>246575519610381</v>
      </c>
      <c r="I1299" s="6">
        <f>[1]!nefin_factors__1[[#This Row],[Risk_Free]]/H1298-1</f>
        <v>0</v>
      </c>
      <c r="J1299">
        <v>97307</v>
      </c>
      <c r="K1299">
        <v>97528</v>
      </c>
      <c r="L1299">
        <v>95364</v>
      </c>
      <c r="M1299">
        <v>95584</v>
      </c>
      <c r="N1299">
        <v>5365700</v>
      </c>
      <c r="O1299">
        <v>95584</v>
      </c>
      <c r="P1299">
        <v>-1.77068453451448E-2</v>
      </c>
      <c r="Q1299">
        <v>-1.7865487016569599E-2</v>
      </c>
      <c r="R1299" s="8">
        <v>48.1326713562012</v>
      </c>
      <c r="S1299" s="8">
        <v>-1.4512440203769499E-2</v>
      </c>
      <c r="T1299" s="9">
        <v>-1.46187757097965E-2</v>
      </c>
      <c r="U1299" s="12">
        <v>2.462E-2</v>
      </c>
      <c r="V1299" s="16">
        <v>3.7391000000000001</v>
      </c>
      <c r="W1299" s="17">
        <f t="shared" si="20"/>
        <v>5.566910499139377E-3</v>
      </c>
    </row>
    <row r="1300" spans="1:23" x14ac:dyDescent="0.2">
      <c r="A1300" s="14">
        <v>43444</v>
      </c>
      <c r="B1300" s="3">
        <v>-236440486832694</v>
      </c>
      <c r="C1300" s="3">
        <f>[1]!nefin_factors__1[[#This Row],[Rm_minus_Rf]]/B1299-1</f>
        <v>-0.68688699720311308</v>
      </c>
      <c r="D1300" s="3">
        <v>423430886380739</v>
      </c>
      <c r="E1300" s="3">
        <f>[1]!nefin_factors__1[[#This Row],[SMB]]/D1299-1</f>
        <v>-0.47953906879726682</v>
      </c>
      <c r="F1300" s="3">
        <v>899365708898269</v>
      </c>
      <c r="G1300" s="3">
        <f>[1]!nefin_factors__1[[#This Row],[HML]]/F1299-1</f>
        <v>0.68368276971315467</v>
      </c>
      <c r="H1300" s="3">
        <v>246575519610381</v>
      </c>
      <c r="I1300" s="4">
        <f>[1]!nefin_factors__1[[#This Row],[Risk_Free]]/H1299-1</f>
        <v>0</v>
      </c>
      <c r="J1300">
        <v>95584</v>
      </c>
      <c r="K1300">
        <v>96113</v>
      </c>
      <c r="L1300">
        <v>94394</v>
      </c>
      <c r="M1300">
        <v>94604</v>
      </c>
      <c r="N1300">
        <v>4054700</v>
      </c>
      <c r="O1300">
        <v>94604</v>
      </c>
      <c r="P1300">
        <v>-1.02527619685303E-2</v>
      </c>
      <c r="Q1300">
        <v>-1.03056835716829E-2</v>
      </c>
      <c r="R1300" s="8">
        <v>47.720577239990199</v>
      </c>
      <c r="S1300" s="8">
        <v>-8.5616812605082693E-3</v>
      </c>
      <c r="T1300" s="9">
        <v>-8.5985430033099497E-3</v>
      </c>
      <c r="U1300" s="12">
        <v>2.462E-2</v>
      </c>
      <c r="V1300" s="16">
        <v>3.7296</v>
      </c>
      <c r="W1300" s="17">
        <f t="shared" si="20"/>
        <v>-2.5407183546842793E-3</v>
      </c>
    </row>
    <row r="1301" spans="1:23" x14ac:dyDescent="0.2">
      <c r="A1301" s="15">
        <v>43445</v>
      </c>
      <c r="B1301" s="5">
        <v>581139215211385</v>
      </c>
      <c r="C1301" s="5">
        <f>[1]!nefin_factors__1[[#This Row],[Rm_minus_Rf]]/B1300-1</f>
        <v>-3.4578667680658297</v>
      </c>
      <c r="D1301" s="5">
        <v>666044085294178</v>
      </c>
      <c r="E1301" s="5">
        <f>[1]!nefin_factors__1[[#This Row],[SMB]]/D1300-1</f>
        <v>0.57297000931407482</v>
      </c>
      <c r="F1301" s="5">
        <v>43583591126106</v>
      </c>
      <c r="G1301" s="5">
        <f>[1]!nefin_factors__1[[#This Row],[HML]]/F1300-1</f>
        <v>-0.9515396343279573</v>
      </c>
      <c r="H1301" s="5">
        <v>246575519610381</v>
      </c>
      <c r="I1301" s="6">
        <f>[1]!nefin_factors__1[[#This Row],[Risk_Free]]/H1300-1</f>
        <v>0</v>
      </c>
      <c r="J1301">
        <v>94604</v>
      </c>
      <c r="K1301">
        <v>94889</v>
      </c>
      <c r="L1301">
        <v>93945</v>
      </c>
      <c r="M1301">
        <v>94217</v>
      </c>
      <c r="N1301">
        <v>2715300</v>
      </c>
      <c r="O1301">
        <v>94217</v>
      </c>
      <c r="P1301">
        <v>-4.0907361210942303E-3</v>
      </c>
      <c r="Q1301">
        <v>-4.0991260706305004E-3</v>
      </c>
      <c r="R1301" s="8">
        <v>46.706825256347699</v>
      </c>
      <c r="S1301" s="8">
        <v>-2.1243429637150198E-2</v>
      </c>
      <c r="T1301" s="9">
        <v>-2.1472318685250499E-2</v>
      </c>
      <c r="U1301" s="12">
        <v>2.462E-2</v>
      </c>
      <c r="V1301" s="16">
        <v>3.7277</v>
      </c>
      <c r="W1301" s="17">
        <f t="shared" si="20"/>
        <v>-5.0943800943803463E-4</v>
      </c>
    </row>
    <row r="1302" spans="1:23" x14ac:dyDescent="0.2">
      <c r="A1302" s="14">
        <v>43446</v>
      </c>
      <c r="B1302" s="3">
        <v>643230069052669</v>
      </c>
      <c r="C1302" s="3">
        <f>[1]!nefin_factors__1[[#This Row],[Rm_minus_Rf]]/B1301-1</f>
        <v>0.10684333842227267</v>
      </c>
      <c r="D1302" s="3">
        <v>-149198430926928</v>
      </c>
      <c r="E1302" s="3">
        <f>[1]!nefin_factors__1[[#This Row],[SMB]]/D1301-1</f>
        <v>-1.2240068401193445</v>
      </c>
      <c r="F1302" s="3">
        <v>-343849250366376</v>
      </c>
      <c r="G1302" s="3">
        <f>[1]!nefin_factors__1[[#This Row],[HML]]/F1301-1</f>
        <v>-8.8894198821632848</v>
      </c>
      <c r="H1302" s="3">
        <v>246575519610381</v>
      </c>
      <c r="I1302" s="4">
        <f>[1]!nefin_factors__1[[#This Row],[Risk_Free]]/H1301-1</f>
        <v>0</v>
      </c>
      <c r="J1302">
        <v>94216</v>
      </c>
      <c r="K1302">
        <v>94532</v>
      </c>
      <c r="L1302">
        <v>93729</v>
      </c>
      <c r="M1302">
        <v>94340</v>
      </c>
      <c r="N1302">
        <v>4104300</v>
      </c>
      <c r="O1302">
        <v>94340</v>
      </c>
      <c r="P1302">
        <v>1.3054968848509299E-3</v>
      </c>
      <c r="Q1302">
        <v>1.30464546472974E-3</v>
      </c>
      <c r="R1302" s="8">
        <v>46.649131774902301</v>
      </c>
      <c r="S1302" s="8">
        <v>-1.23523668577052E-3</v>
      </c>
      <c r="T1302" s="9">
        <v>-1.2360002194334199E-3</v>
      </c>
      <c r="U1302" s="12">
        <v>2.462E-2</v>
      </c>
      <c r="V1302" s="16">
        <v>3.7755999999999998</v>
      </c>
      <c r="W1302" s="17">
        <f t="shared" si="20"/>
        <v>1.2849746492475278E-2</v>
      </c>
    </row>
    <row r="1303" spans="1:23" x14ac:dyDescent="0.2">
      <c r="A1303" s="15">
        <v>43447</v>
      </c>
      <c r="B1303" s="5">
        <v>961033178304371</v>
      </c>
      <c r="C1303" s="5">
        <f>[1]!nefin_factors__1[[#This Row],[Rm_minus_Rf]]/B1302-1</f>
        <v>0.49407377630799099</v>
      </c>
      <c r="D1303" s="5">
        <v>691644277596384</v>
      </c>
      <c r="E1303" s="5">
        <f>[1]!nefin_factors__1[[#This Row],[SMB]]/D1302-1</f>
        <v>-5.6357342587277364</v>
      </c>
      <c r="F1303" s="5">
        <v>106682729264832</v>
      </c>
      <c r="G1303" s="5">
        <f>[1]!nefin_factors__1[[#This Row],[HML]]/F1302-1</f>
        <v>-1.3102601769559192</v>
      </c>
      <c r="H1303" s="5">
        <v>246202489047498</v>
      </c>
      <c r="I1303" s="6">
        <f>[1]!nefin_factors__1[[#This Row],[Risk_Free]]/H1302-1</f>
        <v>-1.5128450848341801E-3</v>
      </c>
      <c r="J1303">
        <v>94340</v>
      </c>
      <c r="K1303">
        <v>95476</v>
      </c>
      <c r="L1303">
        <v>93305</v>
      </c>
      <c r="M1303">
        <v>95365</v>
      </c>
      <c r="N1303">
        <v>4054200</v>
      </c>
      <c r="O1303">
        <v>95365</v>
      </c>
      <c r="P1303">
        <v>1.0864956540173901E-2</v>
      </c>
      <c r="Q1303">
        <v>1.0806356972274399E-2</v>
      </c>
      <c r="R1303" s="8">
        <v>47.003532409667997</v>
      </c>
      <c r="S1303" s="8">
        <v>7.5971961166985099E-3</v>
      </c>
      <c r="T1303" s="9">
        <v>7.56848275792712E-3</v>
      </c>
      <c r="U1303" s="12">
        <v>2.462E-2</v>
      </c>
      <c r="V1303" s="16">
        <v>3.7155</v>
      </c>
      <c r="W1303" s="17">
        <f t="shared" si="20"/>
        <v>-1.5917999788113146E-2</v>
      </c>
    </row>
    <row r="1304" spans="1:23" x14ac:dyDescent="0.2">
      <c r="A1304" s="14">
        <v>43448</v>
      </c>
      <c r="B1304" s="3">
        <v>-469739706311556</v>
      </c>
      <c r="C1304" s="3">
        <f>[1]!nefin_factors__1[[#This Row],[Rm_minus_Rf]]/B1303-1</f>
        <v>-1.4887861490280241</v>
      </c>
      <c r="D1304" s="3">
        <v>-415532887508117</v>
      </c>
      <c r="E1304" s="3">
        <f>[1]!nefin_factors__1[[#This Row],[SMB]]/D1303-1</f>
        <v>-1.6007898871833151</v>
      </c>
      <c r="F1304" s="3">
        <v>-372163283746646</v>
      </c>
      <c r="G1304" s="3">
        <f>[1]!nefin_factors__1[[#This Row],[HML]]/F1303-1</f>
        <v>-4.4885054620488578</v>
      </c>
      <c r="H1304" s="3">
        <v>246202489047498</v>
      </c>
      <c r="I1304" s="4">
        <f>[1]!nefin_factors__1[[#This Row],[Risk_Free]]/H1303-1</f>
        <v>0</v>
      </c>
      <c r="J1304">
        <v>95384</v>
      </c>
      <c r="K1304">
        <v>98027</v>
      </c>
      <c r="L1304">
        <v>95384</v>
      </c>
      <c r="M1304">
        <v>98027</v>
      </c>
      <c r="N1304">
        <v>4251500</v>
      </c>
      <c r="O1304">
        <v>98027</v>
      </c>
      <c r="P1304">
        <v>2.7913804855030699E-2</v>
      </c>
      <c r="Q1304">
        <v>2.7531316100296899E-2</v>
      </c>
      <c r="R1304" s="8">
        <v>48.050254821777301</v>
      </c>
      <c r="S1304" s="8">
        <v>2.2268939391454998E-2</v>
      </c>
      <c r="T1304" s="9">
        <v>2.2024607253087199E-2</v>
      </c>
      <c r="U1304" s="12">
        <v>2.462E-2</v>
      </c>
      <c r="V1304" s="16">
        <v>3.7315999999999998</v>
      </c>
      <c r="W1304" s="17">
        <f t="shared" si="20"/>
        <v>4.3331987619430468E-3</v>
      </c>
    </row>
    <row r="1305" spans="1:23" x14ac:dyDescent="0.2">
      <c r="A1305" s="15">
        <v>43451</v>
      </c>
      <c r="B1305" s="5">
        <v>-114210676097652</v>
      </c>
      <c r="C1305" s="5">
        <f>[1]!nefin_factors__1[[#This Row],[Rm_minus_Rf]]/B1304-1</f>
        <v>-0.75686390874970766</v>
      </c>
      <c r="D1305" s="5">
        <v>333765923192202</v>
      </c>
      <c r="E1305" s="5">
        <f>[1]!nefin_factors__1[[#This Row],[SMB]]/D1304-1</f>
        <v>-1.8032238439506962</v>
      </c>
      <c r="F1305" s="5">
        <v>591554632510466</v>
      </c>
      <c r="G1305" s="5">
        <f>[1]!nefin_factors__1[[#This Row],[HML]]/F1304-1</f>
        <v>-2.5895029368699705</v>
      </c>
      <c r="H1305" s="5">
        <v>246575519610381</v>
      </c>
      <c r="I1305" s="6">
        <f>[1]!nefin_factors__1[[#This Row],[Risk_Free]]/H1304-1</f>
        <v>1.5151372527799634E-3</v>
      </c>
      <c r="J1305">
        <v>98038</v>
      </c>
      <c r="K1305">
        <v>98150</v>
      </c>
      <c r="L1305">
        <v>97267</v>
      </c>
      <c r="M1305">
        <v>97828</v>
      </c>
      <c r="N1305">
        <v>3832900</v>
      </c>
      <c r="O1305">
        <v>97828</v>
      </c>
      <c r="P1305">
        <v>-2.0300529445968999E-3</v>
      </c>
      <c r="Q1305">
        <v>-2.03211629502249E-3</v>
      </c>
      <c r="R1305" s="8">
        <v>47.4321098327637</v>
      </c>
      <c r="S1305" s="8">
        <v>-1.28644697175474E-2</v>
      </c>
      <c r="T1305" s="9">
        <v>-1.29479335931255E-2</v>
      </c>
      <c r="U1305" s="12">
        <v>2.462E-2</v>
      </c>
      <c r="V1305" s="16">
        <v>3.7206000000000001</v>
      </c>
      <c r="W1305" s="17">
        <f t="shared" si="20"/>
        <v>-2.9477971915531365E-3</v>
      </c>
    </row>
    <row r="1306" spans="1:23" x14ac:dyDescent="0.2">
      <c r="A1306" s="14">
        <v>43452</v>
      </c>
      <c r="B1306" s="3">
        <v>246354448981244</v>
      </c>
      <c r="C1306" s="3">
        <f>[1]!nefin_factors__1[[#This Row],[Rm_minus_Rf]]/B1305-1</f>
        <v>-3.1570176922042466</v>
      </c>
      <c r="D1306" s="3">
        <v>-654407918603014</v>
      </c>
      <c r="E1306" s="3">
        <f>[1]!nefin_factors__1[[#This Row],[SMB]]/D1305-1</f>
        <v>-2.9606792459341857</v>
      </c>
      <c r="F1306" s="3">
        <v>840173330206213</v>
      </c>
      <c r="G1306" s="3">
        <f>[1]!nefin_factors__1[[#This Row],[HML]]/F1305-1</f>
        <v>0.42028019735159172</v>
      </c>
      <c r="H1306" s="3">
        <v>246575519610381</v>
      </c>
      <c r="I1306" s="4">
        <f>[1]!nefin_factors__1[[#This Row],[Risk_Free]]/H1305-1</f>
        <v>0</v>
      </c>
      <c r="J1306">
        <v>97831</v>
      </c>
      <c r="K1306">
        <v>99267</v>
      </c>
      <c r="L1306">
        <v>97464</v>
      </c>
      <c r="M1306">
        <v>98904</v>
      </c>
      <c r="N1306">
        <v>4812100</v>
      </c>
      <c r="O1306">
        <v>98904</v>
      </c>
      <c r="P1306">
        <v>1.0998896021589001E-2</v>
      </c>
      <c r="Q1306">
        <v>1.0938848070961699E-2</v>
      </c>
      <c r="R1306" s="8">
        <v>46.154617309570298</v>
      </c>
      <c r="S1306" s="8">
        <v>-2.69331205671051E-2</v>
      </c>
      <c r="T1306" s="9">
        <v>-2.7302463872687199E-2</v>
      </c>
      <c r="U1306" s="12">
        <v>2.462E-2</v>
      </c>
      <c r="V1306" s="16">
        <v>3.71</v>
      </c>
      <c r="W1306" s="17">
        <f t="shared" si="20"/>
        <v>-2.8490028490029129E-3</v>
      </c>
    </row>
    <row r="1307" spans="1:23" x14ac:dyDescent="0.2">
      <c r="A1307" s="15">
        <v>43453</v>
      </c>
      <c r="B1307" s="5">
        <v>-923379633013382</v>
      </c>
      <c r="C1307" s="5">
        <f>[1]!nefin_factors__1[[#This Row],[Rm_minus_Rf]]/B1306-1</f>
        <v>-4.7481751875472842</v>
      </c>
      <c r="D1307" s="5">
        <v>-372794366027553</v>
      </c>
      <c r="E1307" s="5">
        <f>[1]!nefin_factors__1[[#This Row],[SMB]]/D1306-1</f>
        <v>-0.4303333510643188</v>
      </c>
      <c r="F1307" s="5">
        <v>-323213429231718</v>
      </c>
      <c r="G1307" s="5">
        <f>[1]!nefin_factors__1[[#This Row],[HML]]/F1306-1</f>
        <v>-1.3846985111422045</v>
      </c>
      <c r="H1307" s="5">
        <v>246575519610381</v>
      </c>
      <c r="I1307" s="6">
        <f>[1]!nefin_factors__1[[#This Row],[Risk_Free]]/H1306-1</f>
        <v>0</v>
      </c>
      <c r="J1307">
        <v>98905</v>
      </c>
      <c r="K1307">
        <v>99036</v>
      </c>
      <c r="L1307">
        <v>97776</v>
      </c>
      <c r="M1307">
        <v>98605</v>
      </c>
      <c r="N1307">
        <v>3584500</v>
      </c>
      <c r="O1307">
        <v>98605</v>
      </c>
      <c r="P1307">
        <v>-3.0231335436382602E-3</v>
      </c>
      <c r="Q1307">
        <v>-3.0277124425935899E-3</v>
      </c>
      <c r="R1307" s="8">
        <v>45.948570251464801</v>
      </c>
      <c r="S1307" s="8">
        <v>-4.4642216057304597E-3</v>
      </c>
      <c r="T1307" s="9">
        <v>-4.4742159988856002E-3</v>
      </c>
      <c r="U1307" s="12">
        <v>2.462E-2</v>
      </c>
      <c r="V1307" s="16">
        <v>3.7595000000000001</v>
      </c>
      <c r="W1307" s="17">
        <f t="shared" si="20"/>
        <v>1.3342318059299307E-2</v>
      </c>
    </row>
    <row r="1308" spans="1:23" x14ac:dyDescent="0.2">
      <c r="A1308" s="14">
        <v>43454</v>
      </c>
      <c r="B1308" s="3">
        <v>-459924832662852</v>
      </c>
      <c r="C1308" s="3">
        <f>[1]!nefin_factors__1[[#This Row],[Rm_minus_Rf]]/B1307-1</f>
        <v>-0.50191143900161528</v>
      </c>
      <c r="D1308" s="3">
        <v>239639425684348</v>
      </c>
      <c r="E1308" s="3">
        <f>[1]!nefin_factors__1[[#This Row],[SMB]]/D1307-1</f>
        <v>-1.6428193329151235</v>
      </c>
      <c r="F1308" s="3">
        <v>-367121133022634</v>
      </c>
      <c r="G1308" s="3">
        <f>[1]!nefin_factors__1[[#This Row],[HML]]/F1307-1</f>
        <v>0.13584739933388623</v>
      </c>
      <c r="H1308" s="3">
        <v>246575519610381</v>
      </c>
      <c r="I1308" s="4">
        <f>[1]!nefin_factors__1[[#This Row],[Risk_Free]]/H1307-1</f>
        <v>0</v>
      </c>
      <c r="J1308">
        <v>98605</v>
      </c>
      <c r="K1308">
        <v>99393</v>
      </c>
      <c r="L1308">
        <v>98597</v>
      </c>
      <c r="M1308">
        <v>99137</v>
      </c>
      <c r="N1308">
        <v>5136400</v>
      </c>
      <c r="O1308">
        <v>99137</v>
      </c>
      <c r="P1308">
        <v>5.3952639318492999E-3</v>
      </c>
      <c r="Q1308">
        <v>5.3807616344980899E-3</v>
      </c>
      <c r="R1308" s="8">
        <v>44.69580078125</v>
      </c>
      <c r="S1308" s="8">
        <v>-2.7264633576266701E-2</v>
      </c>
      <c r="T1308" s="9">
        <v>-2.7643210742596701E-2</v>
      </c>
      <c r="U1308" s="12">
        <v>2.462E-2</v>
      </c>
      <c r="V1308" s="16">
        <v>3.7429999999999999</v>
      </c>
      <c r="W1308" s="17">
        <f t="shared" si="20"/>
        <v>-4.3888815001995596E-3</v>
      </c>
    </row>
    <row r="1309" spans="1:23" x14ac:dyDescent="0.2">
      <c r="A1309" s="15">
        <v>43455</v>
      </c>
      <c r="B1309" s="5">
        <v>381612996735203</v>
      </c>
      <c r="C1309" s="5">
        <f>[1]!nefin_factors__1[[#This Row],[Rm_minus_Rf]]/B1308-1</f>
        <v>-1.8297290549104672</v>
      </c>
      <c r="D1309" s="5">
        <v>-114993719761794</v>
      </c>
      <c r="E1309" s="5">
        <f>[1]!nefin_factors__1[[#This Row],[SMB]]/D1308-1</f>
        <v>-1.4798614394664058</v>
      </c>
      <c r="F1309" s="5">
        <v>-914809876.82915998</v>
      </c>
      <c r="G1309" s="5">
        <f>[1]!nefin_factors__1[[#This Row],[HML]]/F1308-1</f>
        <v>-0.99999750815250188</v>
      </c>
      <c r="H1309" s="5">
        <v>246575519610381</v>
      </c>
      <c r="I1309" s="6">
        <f>[1]!nefin_factors__1[[#This Row],[Risk_Free]]/H1308-1</f>
        <v>0</v>
      </c>
      <c r="J1309">
        <v>99141</v>
      </c>
      <c r="K1309">
        <v>100038</v>
      </c>
      <c r="L1309">
        <v>99141</v>
      </c>
      <c r="M1309">
        <v>99994</v>
      </c>
      <c r="N1309">
        <v>4204100</v>
      </c>
      <c r="O1309">
        <v>99994</v>
      </c>
      <c r="P1309">
        <v>8.6446029232274402E-3</v>
      </c>
      <c r="Q1309">
        <v>8.6074522914889699E-3</v>
      </c>
      <c r="R1309" s="8">
        <v>46.682098388671903</v>
      </c>
      <c r="S1309" s="8">
        <v>4.4440329104217698E-2</v>
      </c>
      <c r="T1309" s="9">
        <v>4.3481171712610102E-2</v>
      </c>
      <c r="U1309" s="12">
        <v>2.462E-2</v>
      </c>
      <c r="V1309" s="16">
        <v>3.7284999999999999</v>
      </c>
      <c r="W1309" s="17">
        <f t="shared" si="20"/>
        <v>-3.8738979428265541E-3</v>
      </c>
    </row>
    <row r="1310" spans="1:23" x14ac:dyDescent="0.2">
      <c r="A1310" s="14">
        <v>43460</v>
      </c>
      <c r="B1310" s="3">
        <v>-425267272416441</v>
      </c>
      <c r="C1310" s="3">
        <f>[1]!nefin_factors__1[[#This Row],[Rm_minus_Rf]]/B1309-1</f>
        <v>-2.1143941009732674</v>
      </c>
      <c r="D1310" s="3">
        <v>276276324993798</v>
      </c>
      <c r="E1310" s="3">
        <f>[1]!nefin_factors__1[[#This Row],[SMB]]/D1309-1</f>
        <v>-3.4025340302591829</v>
      </c>
      <c r="F1310" s="3">
        <v>288664306293975</v>
      </c>
      <c r="G1310" s="3">
        <f>[1]!nefin_factors__1[[#This Row],[HML]]/F1309-1</f>
        <v>-315546.68179184932</v>
      </c>
      <c r="H1310" s="3">
        <v>246575519610381</v>
      </c>
      <c r="I1310" s="4">
        <f>[1]!nefin_factors__1[[#This Row],[Risk_Free]]/H1309-1</f>
        <v>0</v>
      </c>
      <c r="J1310">
        <v>99991</v>
      </c>
      <c r="K1310">
        <v>100439</v>
      </c>
      <c r="L1310">
        <v>99373</v>
      </c>
      <c r="M1310">
        <v>99588</v>
      </c>
      <c r="N1310">
        <v>5231100</v>
      </c>
      <c r="O1310">
        <v>99588</v>
      </c>
      <c r="P1310">
        <v>-4.0602436146168798E-3</v>
      </c>
      <c r="Q1310">
        <v>-4.0685087837081298E-3</v>
      </c>
      <c r="R1310" s="8">
        <v>47.844207763671903</v>
      </c>
      <c r="S1310" s="8">
        <v>2.4894139893912402E-2</v>
      </c>
      <c r="T1310" s="9">
        <v>2.4589329104535301E-2</v>
      </c>
      <c r="U1310" s="12">
        <v>2.462E-2</v>
      </c>
      <c r="V1310" s="16">
        <v>3.7595000000000001</v>
      </c>
      <c r="W1310" s="17">
        <f t="shared" si="20"/>
        <v>8.3143355236690031E-3</v>
      </c>
    </row>
    <row r="1311" spans="1:23" x14ac:dyDescent="0.2">
      <c r="A1311" s="15">
        <v>43461</v>
      </c>
      <c r="B1311" s="5">
        <v>377378864149334</v>
      </c>
      <c r="C1311" s="5">
        <f>[1]!nefin_factors__1[[#This Row],[Rm_minus_Rf]]/B1310-1</f>
        <v>-1.8873922086809152</v>
      </c>
      <c r="D1311" s="5">
        <v>-416841894715297</v>
      </c>
      <c r="E1311" s="5">
        <f>[1]!nefin_factors__1[[#This Row],[SMB]]/D1310-1</f>
        <v>-2.5087861572092884</v>
      </c>
      <c r="F1311" s="5">
        <v>7990685685.7390804</v>
      </c>
      <c r="G1311" s="5">
        <f>[1]!nefin_factors__1[[#This Row],[HML]]/F1310-1</f>
        <v>-0.99997231841446443</v>
      </c>
      <c r="H1311" s="5">
        <v>246575519610381</v>
      </c>
      <c r="I1311" s="6">
        <f>[1]!nefin_factors__1[[#This Row],[Risk_Free]]/H1310-1</f>
        <v>0</v>
      </c>
      <c r="J1311">
        <v>99588</v>
      </c>
      <c r="K1311">
        <v>99708</v>
      </c>
      <c r="L1311">
        <v>97981</v>
      </c>
      <c r="M1311">
        <v>98041</v>
      </c>
      <c r="N1311">
        <v>4633200</v>
      </c>
      <c r="O1311">
        <v>98041</v>
      </c>
      <c r="P1311">
        <v>-1.5534000080331E-2</v>
      </c>
      <c r="Q1311">
        <v>-1.5655916878017598E-2</v>
      </c>
      <c r="R1311" s="8">
        <v>47.588706970214801</v>
      </c>
      <c r="S1311" s="8">
        <v>-5.3403241469234296E-3</v>
      </c>
      <c r="T1311" s="9">
        <v>-5.3546346491391396E-3</v>
      </c>
      <c r="U1311" s="12">
        <v>2.462E-2</v>
      </c>
      <c r="V1311" s="16">
        <v>3.7351000000000001</v>
      </c>
      <c r="W1311" s="17">
        <f t="shared" si="20"/>
        <v>-6.4902247639313515E-3</v>
      </c>
    </row>
    <row r="1312" spans="1:23" x14ac:dyDescent="0.2">
      <c r="A1312" s="14">
        <v>43462</v>
      </c>
      <c r="B1312" s="3">
        <v>268835683439746</v>
      </c>
      <c r="C1312" s="3">
        <f>[1]!nefin_factors__1[[#This Row],[Rm_minus_Rf]]/B1311-1</f>
        <v>-0.28762390006727023</v>
      </c>
      <c r="D1312" s="3">
        <v>-839596129116552</v>
      </c>
      <c r="E1312" s="3">
        <f>[1]!nefin_factors__1[[#This Row],[SMB]]/D1311-1</f>
        <v>1.0141836503502031</v>
      </c>
      <c r="F1312" s="3">
        <v>739274969642797</v>
      </c>
      <c r="G1312" s="3">
        <f>[1]!nefin_factors__1[[#This Row],[HML]]/F1311-1</f>
        <v>92516.087859202846</v>
      </c>
      <c r="H1312" s="3">
        <v>246202489047498</v>
      </c>
      <c r="I1312" s="4">
        <f>[1]!nefin_factors__1[[#This Row],[Risk_Free]]/H1311-1</f>
        <v>-1.5128450848341801E-3</v>
      </c>
      <c r="J1312">
        <v>98041</v>
      </c>
      <c r="K1312">
        <v>98046</v>
      </c>
      <c r="L1312">
        <v>95456</v>
      </c>
      <c r="M1312">
        <v>96729</v>
      </c>
      <c r="N1312">
        <v>5321200</v>
      </c>
      <c r="O1312">
        <v>96729</v>
      </c>
      <c r="P1312">
        <v>-1.3382156444752699E-2</v>
      </c>
      <c r="Q1312">
        <v>-1.3472504439654301E-2</v>
      </c>
      <c r="R1312" s="8">
        <v>47.094192504882798</v>
      </c>
      <c r="S1312" s="8">
        <v>-1.0391422950428801E-2</v>
      </c>
      <c r="T1312" s="9">
        <v>-1.0445790753089001E-2</v>
      </c>
      <c r="U1312" s="12">
        <v>2.462E-2</v>
      </c>
      <c r="V1312" s="16">
        <v>3.7385000000000002</v>
      </c>
      <c r="W1312" s="17">
        <f t="shared" si="20"/>
        <v>9.1028352654554112E-4</v>
      </c>
    </row>
    <row r="1313" spans="1:23" x14ac:dyDescent="0.2">
      <c r="A1313" s="15">
        <v>43467</v>
      </c>
      <c r="B1313" s="5">
        <v>353658641611198</v>
      </c>
      <c r="C1313" s="5">
        <f>[1]!nefin_factors__1[[#This Row],[Rm_minus_Rf]]/B1312-1</f>
        <v>0.31551971481666552</v>
      </c>
      <c r="D1313" s="5">
        <v>-292892941769166</v>
      </c>
      <c r="E1313" s="5">
        <f>[1]!nefin_factors__1[[#This Row],[SMB]]/D1312-1</f>
        <v>-0.65115019994511325</v>
      </c>
      <c r="F1313" s="5">
        <v>108498940117888</v>
      </c>
      <c r="G1313" s="5">
        <f>[1]!nefin_factors__1[[#This Row],[HML]]/F1312-1</f>
        <v>-0.85323601559198936</v>
      </c>
      <c r="H1313" s="5">
        <v>246575519610381</v>
      </c>
      <c r="I1313" s="6">
        <f>[1]!nefin_factors__1[[#This Row],[Risk_Free]]/H1312-1</f>
        <v>1.5151372527799634E-3</v>
      </c>
      <c r="J1313">
        <v>96725</v>
      </c>
      <c r="K1313">
        <v>96725</v>
      </c>
      <c r="L1313">
        <v>93380</v>
      </c>
      <c r="M1313">
        <v>93735</v>
      </c>
      <c r="N1313">
        <v>6001100</v>
      </c>
      <c r="O1313">
        <v>93735</v>
      </c>
      <c r="P1313">
        <v>-3.0952454796389899E-2</v>
      </c>
      <c r="Q1313">
        <v>-3.1441602037484702E-2</v>
      </c>
      <c r="R1313" s="8">
        <v>44.844154357910199</v>
      </c>
      <c r="S1313" s="8">
        <v>-4.7777327379346E-2</v>
      </c>
      <c r="T1313" s="9">
        <v>-4.8956371729456598E-2</v>
      </c>
      <c r="U1313" s="12">
        <v>2.462E-2</v>
      </c>
      <c r="V1313" s="16">
        <v>3.7831999999999999</v>
      </c>
      <c r="W1313" s="17">
        <f t="shared" si="20"/>
        <v>1.1956667112478225E-2</v>
      </c>
    </row>
    <row r="1314" spans="1:23" x14ac:dyDescent="0.2">
      <c r="A1314" s="14">
        <v>43468</v>
      </c>
      <c r="B1314" s="3">
        <v>612594132389978</v>
      </c>
      <c r="C1314" s="3">
        <f>[1]!nefin_factors__1[[#This Row],[Rm_minus_Rf]]/B1313-1</f>
        <v>0.73216220477215455</v>
      </c>
      <c r="D1314" s="3">
        <v>220778306142579</v>
      </c>
      <c r="E1314" s="3">
        <f>[1]!nefin_factors__1[[#This Row],[SMB]]/D1313-1</f>
        <v>-1.7537850001062103</v>
      </c>
      <c r="F1314" s="3">
        <v>467927820897588</v>
      </c>
      <c r="G1314" s="3">
        <f>[1]!nefin_factors__1[[#This Row],[HML]]/F1313-1</f>
        <v>3.3127409391203972</v>
      </c>
      <c r="H1314" s="3">
        <v>246575519610381</v>
      </c>
      <c r="I1314" s="4">
        <f>[1]!nefin_factors__1[[#This Row],[Risk_Free]]/H1313-1</f>
        <v>0</v>
      </c>
      <c r="J1314">
        <v>93735</v>
      </c>
      <c r="K1314">
        <v>94384</v>
      </c>
      <c r="L1314">
        <v>93103</v>
      </c>
      <c r="M1314">
        <v>93662</v>
      </c>
      <c r="N1314">
        <v>4508400</v>
      </c>
      <c r="O1314">
        <v>93662</v>
      </c>
      <c r="P1314">
        <v>-7.7879127327040699E-4</v>
      </c>
      <c r="Q1314">
        <v>-7.7909468873584096E-4</v>
      </c>
      <c r="R1314" s="8">
        <v>44.530963897705099</v>
      </c>
      <c r="S1314" s="8">
        <v>-6.9839615074804903E-3</v>
      </c>
      <c r="T1314" s="9">
        <v>-7.0084635140061297E-3</v>
      </c>
      <c r="U1314" s="12">
        <v>2.462E-2</v>
      </c>
      <c r="V1314" s="16">
        <v>3.8302999999999998</v>
      </c>
      <c r="W1314" s="17">
        <f t="shared" si="20"/>
        <v>1.2449777965743314E-2</v>
      </c>
    </row>
    <row r="1315" spans="1:23" x14ac:dyDescent="0.2">
      <c r="A1315" s="15">
        <v>43469</v>
      </c>
      <c r="B1315" s="5">
        <v>240582238150305</v>
      </c>
      <c r="C1315" s="5">
        <f>[1]!nefin_factors__1[[#This Row],[Rm_minus_Rf]]/B1314-1</f>
        <v>-0.60727302886219925</v>
      </c>
      <c r="D1315" s="5">
        <v>110857253550004</v>
      </c>
      <c r="E1315" s="5">
        <f>[1]!nefin_factors__1[[#This Row],[SMB]]/D1314-1</f>
        <v>-0.49787977140103523</v>
      </c>
      <c r="F1315" s="5">
        <v>813354873562623</v>
      </c>
      <c r="G1315" s="5">
        <f>[1]!nefin_factors__1[[#This Row],[HML]]/F1314-1</f>
        <v>0.7382058455135887</v>
      </c>
      <c r="H1315" s="5">
        <v>246575519610381</v>
      </c>
      <c r="I1315" s="6">
        <f>[1]!nefin_factors__1[[#This Row],[Risk_Free]]/H1314-1</f>
        <v>0</v>
      </c>
      <c r="J1315">
        <v>93668</v>
      </c>
      <c r="K1315">
        <v>95525</v>
      </c>
      <c r="L1315">
        <v>93668</v>
      </c>
      <c r="M1315">
        <v>95307</v>
      </c>
      <c r="N1315">
        <v>4660700</v>
      </c>
      <c r="O1315">
        <v>95307</v>
      </c>
      <c r="P1315">
        <v>1.7563152612585699E-2</v>
      </c>
      <c r="Q1315">
        <v>1.74107028582863E-2</v>
      </c>
      <c r="R1315" s="8">
        <v>45.198558807372997</v>
      </c>
      <c r="S1315" s="8">
        <v>1.4991645540023401E-2</v>
      </c>
      <c r="T1315" s="9">
        <v>1.4880381464824999E-2</v>
      </c>
      <c r="U1315" s="12">
        <v>2.462E-2</v>
      </c>
      <c r="V1315" s="16">
        <v>3.8487</v>
      </c>
      <c r="W1315" s="17">
        <f t="shared" si="20"/>
        <v>4.8038012688300658E-3</v>
      </c>
    </row>
    <row r="1316" spans="1:23" x14ac:dyDescent="0.2">
      <c r="A1316" s="14">
        <v>43472</v>
      </c>
      <c r="B1316" s="3">
        <v>-290527692291588</v>
      </c>
      <c r="C1316" s="3">
        <f>[1]!nefin_factors__1[[#This Row],[Rm_minus_Rf]]/B1315-1</f>
        <v>-2.2076024170582338</v>
      </c>
      <c r="D1316" s="3">
        <v>129556398774397</v>
      </c>
      <c r="E1316" s="3">
        <f>[1]!nefin_factors__1[[#This Row],[SMB]]/D1315-1</f>
        <v>0.16867768797788618</v>
      </c>
      <c r="F1316" s="3">
        <v>819059810810552</v>
      </c>
      <c r="G1316" s="3">
        <f>[1]!nefin_factors__1[[#This Row],[HML]]/F1315-1</f>
        <v>7.0140813479613318E-3</v>
      </c>
      <c r="H1316" s="3">
        <v>246575519610381</v>
      </c>
      <c r="I1316" s="4">
        <f>[1]!nefin_factors__1[[#This Row],[Risk_Free]]/H1315-1</f>
        <v>0</v>
      </c>
      <c r="J1316">
        <v>95297</v>
      </c>
      <c r="K1316">
        <v>95297</v>
      </c>
      <c r="L1316">
        <v>91903</v>
      </c>
      <c r="M1316">
        <v>91903</v>
      </c>
      <c r="N1316">
        <v>5726900</v>
      </c>
      <c r="O1316">
        <v>91903</v>
      </c>
      <c r="P1316">
        <v>-3.5716159358704001E-2</v>
      </c>
      <c r="Q1316">
        <v>-3.6369587211418503E-2</v>
      </c>
      <c r="R1316" s="8">
        <v>43.418308258056598</v>
      </c>
      <c r="S1316" s="8">
        <v>-3.9387270289874501E-2</v>
      </c>
      <c r="T1316" s="9">
        <v>-4.0183938006898998E-2</v>
      </c>
      <c r="U1316" s="12">
        <v>2.462E-2</v>
      </c>
      <c r="V1316" s="16">
        <v>3.8677999999999999</v>
      </c>
      <c r="W1316" s="17">
        <f t="shared" si="20"/>
        <v>4.9627146828798985E-3</v>
      </c>
    </row>
    <row r="1317" spans="1:23" x14ac:dyDescent="0.2">
      <c r="A1317" s="15">
        <v>43473</v>
      </c>
      <c r="B1317" s="5">
        <v>136420502216747</v>
      </c>
      <c r="C1317" s="5">
        <f>[1]!nefin_factors__1[[#This Row],[Rm_minus_Rf]]/B1316-1</f>
        <v>-1.4695610980857157</v>
      </c>
      <c r="D1317" s="5">
        <v>-651161182479618</v>
      </c>
      <c r="E1317" s="5">
        <f>[1]!nefin_factors__1[[#This Row],[SMB]]/D1316-1</f>
        <v>-6.0260827611727414</v>
      </c>
      <c r="F1317" s="5">
        <v>32017738589799</v>
      </c>
      <c r="G1317" s="5">
        <f>[1]!nefin_factors__1[[#This Row],[HML]]/F1316-1</f>
        <v>-0.96090915685618383</v>
      </c>
      <c r="H1317" s="5">
        <v>246575519610381</v>
      </c>
      <c r="I1317" s="6">
        <f>[1]!nefin_factors__1[[#This Row],[Risk_Free]]/H1316-1</f>
        <v>0</v>
      </c>
      <c r="J1317">
        <v>91901</v>
      </c>
      <c r="K1317">
        <v>94854</v>
      </c>
      <c r="L1317">
        <v>91584</v>
      </c>
      <c r="M1317">
        <v>94389</v>
      </c>
      <c r="N1317">
        <v>5192300</v>
      </c>
      <c r="O1317">
        <v>94389</v>
      </c>
      <c r="P1317">
        <v>2.7050259512747098E-2</v>
      </c>
      <c r="Q1317">
        <v>2.66908679308249E-2</v>
      </c>
      <c r="R1317" s="8">
        <v>44.918331146240199</v>
      </c>
      <c r="S1317" s="8">
        <v>3.45481075826009E-2</v>
      </c>
      <c r="T1317" s="9">
        <v>3.3964720343679901E-2</v>
      </c>
      <c r="U1317" s="12">
        <v>2.462E-2</v>
      </c>
      <c r="V1317" s="16">
        <v>3.8460999999999999</v>
      </c>
      <c r="W1317" s="17">
        <f t="shared" si="20"/>
        <v>-5.6104245307410094E-3</v>
      </c>
    </row>
    <row r="1318" spans="1:23" x14ac:dyDescent="0.2">
      <c r="A1318" s="14">
        <v>43474</v>
      </c>
      <c r="B1318" s="3">
        <v>155973359053113</v>
      </c>
      <c r="C1318" s="3">
        <f>[1]!nefin_factors__1[[#This Row],[Rm_minus_Rf]]/B1317-1</f>
        <v>0.14332784675796106</v>
      </c>
      <c r="D1318" s="3">
        <v>-160192898711784</v>
      </c>
      <c r="E1318" s="3">
        <f>[1]!nefin_factors__1[[#This Row],[SMB]]/D1317-1</f>
        <v>-0.75398886938903453</v>
      </c>
      <c r="F1318" s="3">
        <v>-989712165285253</v>
      </c>
      <c r="G1318" s="3">
        <f>[1]!nefin_factors__1[[#This Row],[HML]]/F1317-1</f>
        <v>-31.911370036626504</v>
      </c>
      <c r="H1318" s="3">
        <v>246575519610381</v>
      </c>
      <c r="I1318" s="4">
        <f>[1]!nefin_factors__1[[#This Row],[Risk_Free]]/H1317-1</f>
        <v>0</v>
      </c>
      <c r="J1318">
        <v>94402</v>
      </c>
      <c r="K1318">
        <v>95863</v>
      </c>
      <c r="L1318">
        <v>94402</v>
      </c>
      <c r="M1318">
        <v>95415</v>
      </c>
      <c r="N1318">
        <v>4674600</v>
      </c>
      <c r="O1318">
        <v>95415</v>
      </c>
      <c r="P1318">
        <v>1.08699106887455E-2</v>
      </c>
      <c r="Q1318">
        <v>1.08112578607657E-2</v>
      </c>
      <c r="R1318" s="8">
        <v>45.124378204345703</v>
      </c>
      <c r="S1318" s="8">
        <v>4.5871760329983004E-3</v>
      </c>
      <c r="T1318" s="9">
        <v>4.5766870054647097E-3</v>
      </c>
      <c r="U1318" s="12">
        <v>2.462E-2</v>
      </c>
      <c r="V1318" s="16">
        <v>3.8129</v>
      </c>
      <c r="W1318" s="17">
        <f t="shared" si="20"/>
        <v>-8.6321208496918933E-3</v>
      </c>
    </row>
    <row r="1319" spans="1:23" x14ac:dyDescent="0.2">
      <c r="A1319" s="15">
        <v>43475</v>
      </c>
      <c r="B1319" s="5">
        <v>280615975697874</v>
      </c>
      <c r="C1319" s="5">
        <f>[1]!nefin_factors__1[[#This Row],[Rm_minus_Rf]]/B1318-1</f>
        <v>0.79912760359489932</v>
      </c>
      <c r="D1319" s="5">
        <v>-277661000175686</v>
      </c>
      <c r="E1319" s="5">
        <f>[1]!nefin_factors__1[[#This Row],[SMB]]/D1318-1</f>
        <v>0.73329156540982732</v>
      </c>
      <c r="F1319" s="5">
        <v>-766641262500844</v>
      </c>
      <c r="G1319" s="5">
        <f>[1]!nefin_factors__1[[#This Row],[HML]]/F1318-1</f>
        <v>-0.22538967450209724</v>
      </c>
      <c r="H1319" s="5">
        <v>246575519610381</v>
      </c>
      <c r="I1319" s="6">
        <f>[1]!nefin_factors__1[[#This Row],[Risk_Free]]/H1318-1</f>
        <v>0</v>
      </c>
      <c r="J1319">
        <v>95423</v>
      </c>
      <c r="K1319">
        <v>96752</v>
      </c>
      <c r="L1319">
        <v>95423</v>
      </c>
      <c r="M1319">
        <v>96054</v>
      </c>
      <c r="N1319">
        <v>3753500</v>
      </c>
      <c r="O1319">
        <v>96054</v>
      </c>
      <c r="P1319">
        <v>6.6970602106586298E-3</v>
      </c>
      <c r="Q1319">
        <v>6.6747345251350803E-3</v>
      </c>
      <c r="R1319" s="8">
        <v>44.769977569580099</v>
      </c>
      <c r="S1319" s="8">
        <v>-7.8539052363182406E-3</v>
      </c>
      <c r="T1319" s="9">
        <v>-7.8849095936002807E-3</v>
      </c>
      <c r="U1319" s="12">
        <v>2.462E-2</v>
      </c>
      <c r="V1319" s="16">
        <v>3.8264999999999998</v>
      </c>
      <c r="W1319" s="17">
        <f t="shared" si="20"/>
        <v>3.5668388890346403E-3</v>
      </c>
    </row>
    <row r="1320" spans="1:23" x14ac:dyDescent="0.2">
      <c r="A1320" s="14">
        <v>43476</v>
      </c>
      <c r="B1320" s="3">
        <v>-557446874914899</v>
      </c>
      <c r="C1320" s="3">
        <f>[1]!nefin_factors__1[[#This Row],[Rm_minus_Rf]]/B1319-1</f>
        <v>-2.9865115431456255</v>
      </c>
      <c r="D1320" s="3">
        <v>-179985363719889</v>
      </c>
      <c r="E1320" s="3">
        <f>[1]!nefin_factors__1[[#This Row],[SMB]]/D1319-1</f>
        <v>-0.35178017940580109</v>
      </c>
      <c r="F1320" s="3">
        <v>195707887328573</v>
      </c>
      <c r="G1320" s="3">
        <f>[1]!nefin_factors__1[[#This Row],[HML]]/F1319-1</f>
        <v>-1.2552796162968825</v>
      </c>
      <c r="H1320" s="3">
        <v>246575519610381</v>
      </c>
      <c r="I1320" s="4">
        <f>[1]!nefin_factors__1[[#This Row],[Risk_Free]]/H1319-1</f>
        <v>0</v>
      </c>
      <c r="J1320">
        <v>96062</v>
      </c>
      <c r="K1320">
        <v>96690</v>
      </c>
      <c r="L1320">
        <v>94825</v>
      </c>
      <c r="M1320">
        <v>95387</v>
      </c>
      <c r="N1320">
        <v>3713200</v>
      </c>
      <c r="O1320">
        <v>95387</v>
      </c>
      <c r="P1320">
        <v>-6.9440106606700703E-3</v>
      </c>
      <c r="Q1320">
        <v>-6.9682324989614099E-3</v>
      </c>
      <c r="R1320" s="8">
        <v>44.547447204589801</v>
      </c>
      <c r="S1320" s="8">
        <v>-4.9705081575964804E-3</v>
      </c>
      <c r="T1320" s="9">
        <v>-4.9829022201850603E-3</v>
      </c>
      <c r="U1320" s="12">
        <v>2.462E-2</v>
      </c>
      <c r="V1320" s="16">
        <v>3.8327</v>
      </c>
      <c r="W1320" s="17">
        <f t="shared" si="20"/>
        <v>1.6202796289037646E-3</v>
      </c>
    </row>
    <row r="1321" spans="1:23" x14ac:dyDescent="0.2">
      <c r="A1321" s="15">
        <v>43479</v>
      </c>
      <c r="B1321" s="5">
        <v>837926627485052</v>
      </c>
      <c r="C1321" s="5">
        <f>[1]!nefin_factors__1[[#This Row],[Rm_minus_Rf]]/B1320-1</f>
        <v>-2.5031506412390807</v>
      </c>
      <c r="D1321" s="5">
        <v>-254712216202342</v>
      </c>
      <c r="E1321" s="5">
        <f>[1]!nefin_factors__1[[#This Row],[SMB]]/D1320-1</f>
        <v>0.41518294009034151</v>
      </c>
      <c r="F1321" s="5">
        <v>207184444678537</v>
      </c>
      <c r="G1321" s="5">
        <f>[1]!nefin_factors__1[[#This Row],[HML]]/F1320-1</f>
        <v>5.8641261252266652E-2</v>
      </c>
      <c r="H1321" s="5">
        <v>246575519610381</v>
      </c>
      <c r="I1321" s="6">
        <f>[1]!nefin_factors__1[[#This Row],[Risk_Free]]/H1320-1</f>
        <v>0</v>
      </c>
      <c r="J1321">
        <v>95392</v>
      </c>
      <c r="K1321">
        <v>96442</v>
      </c>
      <c r="L1321">
        <v>94124</v>
      </c>
      <c r="M1321">
        <v>94491</v>
      </c>
      <c r="N1321">
        <v>4308900</v>
      </c>
      <c r="O1321">
        <v>94491</v>
      </c>
      <c r="P1321">
        <v>-9.3933135542578795E-3</v>
      </c>
      <c r="Q1321">
        <v>-9.4377089560273592E-3</v>
      </c>
      <c r="R1321" s="8">
        <v>43.517208099365199</v>
      </c>
      <c r="S1321" s="8">
        <v>-2.3126748428684899E-2</v>
      </c>
      <c r="T1321" s="9">
        <v>-2.33983676262292E-2</v>
      </c>
      <c r="U1321" s="12">
        <v>2.462E-2</v>
      </c>
      <c r="V1321" s="16">
        <v>3.8344</v>
      </c>
      <c r="W1321" s="17">
        <f t="shared" si="20"/>
        <v>4.4355154329855928E-4</v>
      </c>
    </row>
    <row r="1322" spans="1:23" x14ac:dyDescent="0.2">
      <c r="A1322" s="14">
        <v>43480</v>
      </c>
      <c r="B1322" s="3">
        <v>-368619979904941</v>
      </c>
      <c r="C1322" s="3">
        <f>[1]!nefin_factors__1[[#This Row],[Rm_minus_Rf]]/B1321-1</f>
        <v>-1.4399191621482597</v>
      </c>
      <c r="D1322" s="3">
        <v>305453005075727</v>
      </c>
      <c r="E1322" s="3">
        <f>[1]!nefin_factors__1[[#This Row],[SMB]]/D1321-1</f>
        <v>-2.1992083050821432</v>
      </c>
      <c r="F1322" s="3">
        <v>-607215322172092</v>
      </c>
      <c r="G1322" s="3">
        <f>[1]!nefin_factors__1[[#This Row],[HML]]/F1321-1</f>
        <v>-3.9307959056203976</v>
      </c>
      <c r="H1322" s="3">
        <v>246575519610381</v>
      </c>
      <c r="I1322" s="4">
        <f>[1]!nefin_factors__1[[#This Row],[Risk_Free]]/H1321-1</f>
        <v>0</v>
      </c>
      <c r="J1322">
        <v>94503</v>
      </c>
      <c r="K1322">
        <v>96394</v>
      </c>
      <c r="L1322">
        <v>94334</v>
      </c>
      <c r="M1322">
        <v>96313</v>
      </c>
      <c r="N1322">
        <v>4086200</v>
      </c>
      <c r="O1322">
        <v>96313</v>
      </c>
      <c r="P1322">
        <v>1.9282259686107701E-2</v>
      </c>
      <c r="Q1322">
        <v>1.90987126319692E-2</v>
      </c>
      <c r="R1322" s="8">
        <v>43.352371215820298</v>
      </c>
      <c r="S1322" s="8">
        <v>-3.7878244502404E-3</v>
      </c>
      <c r="T1322" s="9">
        <v>-3.7950164243077201E-3</v>
      </c>
      <c r="U1322" s="12">
        <v>2.462E-2</v>
      </c>
      <c r="V1322" s="16">
        <v>3.8111000000000002</v>
      </c>
      <c r="W1322" s="17">
        <f t="shared" si="20"/>
        <v>-6.0765699979136167E-3</v>
      </c>
    </row>
    <row r="1323" spans="1:23" x14ac:dyDescent="0.2">
      <c r="A1323" s="15">
        <v>43481</v>
      </c>
      <c r="B1323" s="5">
        <v>270367553783945</v>
      </c>
      <c r="C1323" s="5">
        <f>[1]!nefin_factors__1[[#This Row],[Rm_minus_Rf]]/B1322-1</f>
        <v>-1.7334587611167112</v>
      </c>
      <c r="D1323" s="5">
        <v>-177215464552365</v>
      </c>
      <c r="E1323" s="5">
        <f>[1]!nefin_factors__1[[#This Row],[SMB]]/D1322-1</f>
        <v>-1.580172601374245</v>
      </c>
      <c r="F1323" s="5">
        <v>260473992614164</v>
      </c>
      <c r="G1323" s="5">
        <f>[1]!nefin_factors__1[[#This Row],[HML]]/F1322-1</f>
        <v>-1.4289647891005335</v>
      </c>
      <c r="H1323" s="5">
        <v>246575519610381</v>
      </c>
      <c r="I1323" s="6">
        <f>[1]!nefin_factors__1[[#This Row],[Risk_Free]]/H1322-1</f>
        <v>0</v>
      </c>
      <c r="J1323">
        <v>96319</v>
      </c>
      <c r="K1323">
        <v>97493</v>
      </c>
      <c r="L1323">
        <v>96152</v>
      </c>
      <c r="M1323">
        <v>97108</v>
      </c>
      <c r="N1323">
        <v>3689000</v>
      </c>
      <c r="O1323">
        <v>97108</v>
      </c>
      <c r="P1323">
        <v>8.2543374207013596E-3</v>
      </c>
      <c r="Q1323">
        <v>8.2204566918678695E-3</v>
      </c>
      <c r="R1323" s="8">
        <v>43.780952453613303</v>
      </c>
      <c r="S1323" s="8">
        <v>9.8859136463633809E-3</v>
      </c>
      <c r="T1323" s="9">
        <v>9.8373676872910692E-3</v>
      </c>
      <c r="U1323" s="12">
        <v>2.462E-2</v>
      </c>
      <c r="V1323" s="16">
        <v>3.7761999999999998</v>
      </c>
      <c r="W1323" s="17">
        <f t="shared" si="20"/>
        <v>-9.157461100469777E-3</v>
      </c>
    </row>
    <row r="1324" spans="1:23" x14ac:dyDescent="0.2">
      <c r="A1324" s="14">
        <v>43482</v>
      </c>
      <c r="B1324" s="3">
        <v>825520174976795</v>
      </c>
      <c r="C1324" s="3">
        <f>[1]!nefin_factors__1[[#This Row],[Rm_minus_Rf]]/B1323-1</f>
        <v>2.053325605913797</v>
      </c>
      <c r="D1324" s="3">
        <v>841525271921445</v>
      </c>
      <c r="E1324" s="3">
        <f>[1]!nefin_factors__1[[#This Row],[SMB]]/D1323-1</f>
        <v>-5.7485995313506324</v>
      </c>
      <c r="F1324" s="3">
        <v>176951471524077</v>
      </c>
      <c r="G1324" s="3">
        <f>[1]!nefin_factors__1[[#This Row],[HML]]/F1323-1</f>
        <v>-0.32065589447852316</v>
      </c>
      <c r="H1324" s="3">
        <v>246575519610381</v>
      </c>
      <c r="I1324" s="4">
        <f>[1]!nefin_factors__1[[#This Row],[Risk_Free]]/H1323-1</f>
        <v>0</v>
      </c>
      <c r="J1324">
        <v>97110</v>
      </c>
      <c r="K1324">
        <v>97610</v>
      </c>
      <c r="L1324">
        <v>96743</v>
      </c>
      <c r="M1324">
        <v>97369</v>
      </c>
      <c r="N1324">
        <v>3430800</v>
      </c>
      <c r="O1324">
        <v>97369</v>
      </c>
      <c r="P1324">
        <v>2.68772912633364E-3</v>
      </c>
      <c r="Q1324">
        <v>2.6841236413384798E-3</v>
      </c>
      <c r="R1324" s="8">
        <v>42.610603332519503</v>
      </c>
      <c r="S1324" s="8">
        <v>-2.6731930527645699E-2</v>
      </c>
      <c r="T1324" s="9">
        <v>-2.7095726547964001E-2</v>
      </c>
      <c r="U1324" s="12">
        <v>2.462E-2</v>
      </c>
      <c r="V1324" s="16">
        <v>3.7896999999999998</v>
      </c>
      <c r="W1324" s="17">
        <f t="shared" si="20"/>
        <v>3.5750225094008936E-3</v>
      </c>
    </row>
    <row r="1325" spans="1:23" x14ac:dyDescent="0.2">
      <c r="A1325" s="15">
        <v>43483</v>
      </c>
      <c r="B1325" s="5">
        <v>710558324896561</v>
      </c>
      <c r="C1325" s="5">
        <f>[1]!nefin_factors__1[[#This Row],[Rm_minus_Rf]]/B1324-1</f>
        <v>-0.13925989159921559</v>
      </c>
      <c r="D1325" s="5">
        <v>-46785787755978</v>
      </c>
      <c r="E1325" s="5">
        <f>[1]!nefin_factors__1[[#This Row],[SMB]]/D1324-1</f>
        <v>-1.0555964144120742</v>
      </c>
      <c r="F1325" s="5">
        <v>-534371428110803</v>
      </c>
      <c r="G1325" s="5">
        <f>[1]!nefin_factors__1[[#This Row],[HML]]/F1324-1</f>
        <v>-4.0198755823180221</v>
      </c>
      <c r="H1325" s="5">
        <v>246575519610381</v>
      </c>
      <c r="I1325" s="6">
        <f>[1]!nefin_factors__1[[#This Row],[Risk_Free]]/H1324-1</f>
        <v>0</v>
      </c>
      <c r="J1325">
        <v>97366</v>
      </c>
      <c r="K1325">
        <v>97366</v>
      </c>
      <c r="L1325">
        <v>95488</v>
      </c>
      <c r="M1325">
        <v>96292</v>
      </c>
      <c r="N1325">
        <v>3733400</v>
      </c>
      <c r="O1325">
        <v>96292</v>
      </c>
      <c r="P1325">
        <v>-1.1061015312882E-2</v>
      </c>
      <c r="Q1325">
        <v>-1.11226432088659E-2</v>
      </c>
      <c r="R1325" s="8">
        <v>41.703994750976598</v>
      </c>
      <c r="S1325" s="8">
        <v>-2.1276561110279601E-2</v>
      </c>
      <c r="T1325" s="9">
        <v>-2.15061698336412E-2</v>
      </c>
      <c r="U1325" s="12">
        <v>2.462E-2</v>
      </c>
      <c r="V1325" s="16">
        <v>3.7967</v>
      </c>
      <c r="W1325" s="17">
        <f t="shared" si="20"/>
        <v>1.8471119085943233E-3</v>
      </c>
    </row>
    <row r="1326" spans="1:23" x14ac:dyDescent="0.2">
      <c r="A1326" s="14">
        <v>43486</v>
      </c>
      <c r="B1326" s="3">
        <v>-117966400603882</v>
      </c>
      <c r="C1326" s="3">
        <f>[1]!nefin_factors__1[[#This Row],[Rm_minus_Rf]]/B1325-1</f>
        <v>-1.1660193068894871</v>
      </c>
      <c r="D1326" s="3">
        <v>165317984045395</v>
      </c>
      <c r="E1326" s="3">
        <f>[1]!nefin_factors__1[[#This Row],[SMB]]/D1325-1</f>
        <v>-4.5335086139331207</v>
      </c>
      <c r="F1326" s="3">
        <v>-105493309256177</v>
      </c>
      <c r="G1326" s="3">
        <f>[1]!nefin_factors__1[[#This Row],[HML]]/F1325-1</f>
        <v>-0.80258430053205854</v>
      </c>
      <c r="H1326" s="3">
        <v>246948515258083</v>
      </c>
      <c r="I1326" s="4">
        <f>[1]!nefin_factors__1[[#This Row],[Risk_Free]]/H1325-1</f>
        <v>1.5127034844797382E-3</v>
      </c>
      <c r="J1326">
        <v>96292</v>
      </c>
      <c r="K1326">
        <v>96902</v>
      </c>
      <c r="L1326">
        <v>95670</v>
      </c>
      <c r="M1326">
        <v>95953</v>
      </c>
      <c r="N1326">
        <v>4574600</v>
      </c>
      <c r="O1326">
        <v>95953</v>
      </c>
      <c r="P1326">
        <v>-3.5205416857059199E-3</v>
      </c>
      <c r="Q1326">
        <v>-3.526753375881E-3</v>
      </c>
      <c r="R1326" s="8">
        <v>42.693019866943402</v>
      </c>
      <c r="S1326" s="8">
        <v>2.3715350376124301E-2</v>
      </c>
      <c r="T1326" s="9">
        <v>2.3438509825913001E-2</v>
      </c>
      <c r="U1326" s="12">
        <v>2.462E-2</v>
      </c>
      <c r="V1326" s="16">
        <v>3.8815</v>
      </c>
      <c r="W1326" s="17">
        <f t="shared" si="20"/>
        <v>2.2335185819264192E-2</v>
      </c>
    </row>
    <row r="1327" spans="1:23" x14ac:dyDescent="0.2">
      <c r="A1327" s="15">
        <v>43487</v>
      </c>
      <c r="B1327" s="5">
        <v>-930301492527054</v>
      </c>
      <c r="C1327" s="5">
        <f>[1]!nefin_factors__1[[#This Row],[Rm_minus_Rf]]/B1326-1</f>
        <v>6.8861564628974525</v>
      </c>
      <c r="D1327" s="5">
        <v>-764647840600327</v>
      </c>
      <c r="E1327" s="5">
        <f>[1]!nefin_factors__1[[#This Row],[SMB]]/D1326-1</f>
        <v>-5.6253155397198702</v>
      </c>
      <c r="F1327" s="5">
        <v>-156097047938389</v>
      </c>
      <c r="G1327" s="5">
        <f>[1]!nefin_factors__1[[#This Row],[HML]]/F1326-1</f>
        <v>0.47968671225705228</v>
      </c>
      <c r="H1327" s="5">
        <v>246575519610381</v>
      </c>
      <c r="I1327" s="6">
        <f>[1]!nefin_factors__1[[#This Row],[Risk_Free]]/H1326-1</f>
        <v>-1.5104186688961185E-3</v>
      </c>
      <c r="J1327">
        <v>95954</v>
      </c>
      <c r="K1327">
        <v>95954</v>
      </c>
      <c r="L1327">
        <v>94173</v>
      </c>
      <c r="M1327">
        <v>94755</v>
      </c>
      <c r="N1327">
        <v>3530500</v>
      </c>
      <c r="O1327">
        <v>94755</v>
      </c>
      <c r="P1327">
        <v>-1.24852792513002E-2</v>
      </c>
      <c r="Q1327">
        <v>-1.25638752306787E-2</v>
      </c>
      <c r="R1327" s="8">
        <v>42.8990669250488</v>
      </c>
      <c r="S1327" s="8">
        <v>4.8262758229584701E-3</v>
      </c>
      <c r="T1327" s="9">
        <v>4.8146666913952202E-3</v>
      </c>
      <c r="U1327" s="12">
        <v>2.462E-2</v>
      </c>
      <c r="V1327" s="16">
        <v>3.8769999999999998</v>
      </c>
      <c r="W1327" s="17">
        <f t="shared" si="20"/>
        <v>-1.1593456138091485E-3</v>
      </c>
    </row>
    <row r="1328" spans="1:23" x14ac:dyDescent="0.2">
      <c r="A1328" s="14">
        <v>43488</v>
      </c>
      <c r="B1328" s="3">
        <v>119688057523471</v>
      </c>
      <c r="C1328" s="3">
        <f>[1]!nefin_factors__1[[#This Row],[Rm_minus_Rf]]/B1327-1</f>
        <v>-1.1286551279181039</v>
      </c>
      <c r="D1328" s="3">
        <v>-971492642644494</v>
      </c>
      <c r="E1328" s="3">
        <f>[1]!nefin_factors__1[[#This Row],[SMB]]/D1327-1</f>
        <v>0.27050988842363388</v>
      </c>
      <c r="F1328" s="3">
        <v>312403288493664</v>
      </c>
      <c r="G1328" s="3">
        <f>[1]!nefin_factors__1[[#This Row],[HML]]/F1327-1</f>
        <v>-3.0013401446065049</v>
      </c>
      <c r="H1328" s="3">
        <v>246575519610381</v>
      </c>
      <c r="I1328" s="4">
        <f>[1]!nefin_factors__1[[#This Row],[Risk_Free]]/H1327-1</f>
        <v>0</v>
      </c>
      <c r="J1328">
        <v>94747</v>
      </c>
      <c r="K1328">
        <v>94768</v>
      </c>
      <c r="L1328">
        <v>92516</v>
      </c>
      <c r="M1328">
        <v>92875</v>
      </c>
      <c r="N1328">
        <v>6712200</v>
      </c>
      <c r="O1328">
        <v>92875</v>
      </c>
      <c r="P1328">
        <v>-1.9840641654793899E-2</v>
      </c>
      <c r="Q1328">
        <v>-2.00401099808502E-2</v>
      </c>
      <c r="R1328" s="8">
        <v>42.033668518066399</v>
      </c>
      <c r="S1328" s="8">
        <v>-2.0172890212487402E-2</v>
      </c>
      <c r="T1328" s="9">
        <v>-2.03791414652791E-2</v>
      </c>
      <c r="U1328" s="12">
        <v>2.462E-2</v>
      </c>
      <c r="V1328" s="16">
        <v>3.8645999999999998</v>
      </c>
      <c r="W1328" s="17">
        <f t="shared" si="20"/>
        <v>-3.1983492391023383E-3</v>
      </c>
    </row>
    <row r="1329" spans="1:23" x14ac:dyDescent="0.2">
      <c r="A1329" s="15">
        <v>43489</v>
      </c>
      <c r="B1329" s="5">
        <v>989252540385814</v>
      </c>
      <c r="C1329" s="5">
        <f>[1]!nefin_factors__1[[#This Row],[Rm_minus_Rf]]/B1328-1</f>
        <v>7.2652568757064184</v>
      </c>
      <c r="D1329" s="5">
        <v>-203159124992378</v>
      </c>
      <c r="E1329" s="5">
        <f>[1]!nefin_factors__1[[#This Row],[SMB]]/D1328-1</f>
        <v>-0.79087939931345252</v>
      </c>
      <c r="F1329" s="5">
        <v>226602281538841</v>
      </c>
      <c r="G1329" s="5">
        <f>[1]!nefin_factors__1[[#This Row],[HML]]/F1328-1</f>
        <v>-0.27464821951310281</v>
      </c>
      <c r="H1329" s="5">
        <v>246575519610381</v>
      </c>
      <c r="I1329" s="6">
        <f>[1]!nefin_factors__1[[#This Row],[Risk_Free]]/H1328-1</f>
        <v>0</v>
      </c>
      <c r="J1329">
        <v>92875</v>
      </c>
      <c r="K1329">
        <v>93723</v>
      </c>
      <c r="L1329">
        <v>92697</v>
      </c>
      <c r="M1329">
        <v>93083</v>
      </c>
      <c r="N1329">
        <v>4629800</v>
      </c>
      <c r="O1329">
        <v>93083</v>
      </c>
      <c r="P1329">
        <v>2.23956931359348E-3</v>
      </c>
      <c r="Q1329">
        <v>2.2370652162743698E-3</v>
      </c>
      <c r="R1329" s="8">
        <v>41.951248168945298</v>
      </c>
      <c r="S1329" s="8">
        <v>-1.9608477675681101E-3</v>
      </c>
      <c r="T1329" s="9">
        <v>-1.9627727463570901E-3</v>
      </c>
      <c r="U1329" s="12">
        <v>2.462E-2</v>
      </c>
      <c r="V1329" s="16">
        <v>3.9388999999999998</v>
      </c>
      <c r="W1329" s="17">
        <f t="shared" si="20"/>
        <v>1.9225793096310007E-2</v>
      </c>
    </row>
    <row r="1330" spans="1:23" x14ac:dyDescent="0.2">
      <c r="A1330" s="14">
        <v>43493</v>
      </c>
      <c r="B1330" s="3">
        <v>-155774206419053</v>
      </c>
      <c r="C1330" s="3">
        <f>[1]!nefin_factors__1[[#This Row],[Rm_minus_Rf]]/B1329-1</f>
        <v>-1.1574665720426658</v>
      </c>
      <c r="D1330" s="3">
        <v>820102178409367</v>
      </c>
      <c r="E1330" s="3">
        <f>[1]!nefin_factors__1[[#This Row],[SMB]]/D1329-1</f>
        <v>-5.0367479355905624</v>
      </c>
      <c r="F1330" s="3">
        <v>-102125060470291</v>
      </c>
      <c r="G1330" s="3">
        <f>[1]!nefin_factors__1[[#This Row],[HML]]/F1329-1</f>
        <v>-1.4506797538699368</v>
      </c>
      <c r="H1330" s="3">
        <v>246575519610381</v>
      </c>
      <c r="I1330" s="4">
        <f>[1]!nefin_factors__1[[#This Row],[Risk_Free]]/H1329-1</f>
        <v>0</v>
      </c>
      <c r="J1330">
        <v>93082</v>
      </c>
      <c r="K1330">
        <v>95062</v>
      </c>
      <c r="L1330">
        <v>92879</v>
      </c>
      <c r="M1330">
        <v>94333</v>
      </c>
      <c r="N1330">
        <v>4581600</v>
      </c>
      <c r="O1330">
        <v>94333</v>
      </c>
      <c r="P1330">
        <v>1.34288753048355E-2</v>
      </c>
      <c r="Q1330">
        <v>1.33395071457826E-2</v>
      </c>
      <c r="R1330" s="8">
        <v>41.143543243408203</v>
      </c>
      <c r="S1330" s="8">
        <v>-1.9253401046860401E-2</v>
      </c>
      <c r="T1330" s="9">
        <v>-1.94411617005378E-2</v>
      </c>
      <c r="U1330" s="12">
        <v>2.462E-2</v>
      </c>
      <c r="V1330" s="16">
        <v>3.9681999999999999</v>
      </c>
      <c r="W1330" s="17">
        <f t="shared" si="20"/>
        <v>7.4386249968265705E-3</v>
      </c>
    </row>
    <row r="1331" spans="1:23" x14ac:dyDescent="0.2">
      <c r="A1331" s="15">
        <v>43494</v>
      </c>
      <c r="B1331" s="5">
        <v>233704776108152</v>
      </c>
      <c r="C1331" s="5">
        <f>[1]!nefin_factors__1[[#This Row],[Rm_minus_Rf]]/B1330-1</f>
        <v>-2.5002790351533268</v>
      </c>
      <c r="D1331" s="5">
        <v>337591468108781</v>
      </c>
      <c r="E1331" s="5">
        <f>[1]!nefin_factors__1[[#This Row],[SMB]]/D1330-1</f>
        <v>-0.58835438193377554</v>
      </c>
      <c r="F1331" s="5">
        <v>-452770020614537</v>
      </c>
      <c r="G1331" s="5">
        <f>[1]!nefin_factors__1[[#This Row],[HML]]/F1330-1</f>
        <v>3.4334859487916916</v>
      </c>
      <c r="H1331" s="5">
        <v>246202489047498</v>
      </c>
      <c r="I1331" s="6">
        <f>[1]!nefin_factors__1[[#This Row],[Risk_Free]]/H1330-1</f>
        <v>-1.5128450848341801E-3</v>
      </c>
      <c r="J1331">
        <v>94337</v>
      </c>
      <c r="K1331">
        <v>95042</v>
      </c>
      <c r="L1331">
        <v>92338</v>
      </c>
      <c r="M1331">
        <v>93285</v>
      </c>
      <c r="N1331">
        <v>6458600</v>
      </c>
      <c r="O1331">
        <v>93285</v>
      </c>
      <c r="P1331">
        <v>-1.1109579892508501E-2</v>
      </c>
      <c r="Q1331">
        <v>-1.1171752176018001E-2</v>
      </c>
      <c r="R1331" s="8">
        <v>40.7149658203125</v>
      </c>
      <c r="S1331" s="8">
        <v>-1.0416648130011299E-2</v>
      </c>
      <c r="T1331" s="9">
        <v>-1.0471281135517501E-2</v>
      </c>
      <c r="U1331" s="12">
        <v>2.462E-2</v>
      </c>
      <c r="V1331" s="16">
        <v>3.8967000000000001</v>
      </c>
      <c r="W1331" s="17">
        <f t="shared" si="20"/>
        <v>-1.8018245048132653E-2</v>
      </c>
    </row>
    <row r="1332" spans="1:23" x14ac:dyDescent="0.2">
      <c r="A1332" s="14">
        <v>43495</v>
      </c>
      <c r="B1332" s="3">
        <v>122320549053089</v>
      </c>
      <c r="C1332" s="3">
        <f>[1]!nefin_factors__1[[#This Row],[Rm_minus_Rf]]/B1331-1</f>
        <v>-0.47660227107860864</v>
      </c>
      <c r="D1332" s="3">
        <v>-253373091970934</v>
      </c>
      <c r="E1332" s="3">
        <f>[1]!nefin_factors__1[[#This Row],[SMB]]/D1331-1</f>
        <v>-1.7505316807630056</v>
      </c>
      <c r="F1332" s="3">
        <v>149532763494945</v>
      </c>
      <c r="G1332" s="3">
        <f>[1]!nefin_factors__1[[#This Row],[HML]]/F1331-1</f>
        <v>-1.3302620683498141</v>
      </c>
      <c r="H1332" s="3">
        <v>246575519610381</v>
      </c>
      <c r="I1332" s="4">
        <f>[1]!nefin_factors__1[[#This Row],[Risk_Free]]/H1331-1</f>
        <v>1.5151372527799634E-3</v>
      </c>
      <c r="J1332">
        <v>93285</v>
      </c>
      <c r="K1332">
        <v>95140</v>
      </c>
      <c r="L1332">
        <v>93285</v>
      </c>
      <c r="M1332">
        <v>94578</v>
      </c>
      <c r="N1332">
        <v>4933300</v>
      </c>
      <c r="O1332">
        <v>94578</v>
      </c>
      <c r="P1332">
        <v>1.3860749316610301E-2</v>
      </c>
      <c r="Q1332">
        <v>1.3765567648497999E-2</v>
      </c>
      <c r="R1332" s="8">
        <v>43.121597290039098</v>
      </c>
      <c r="S1332" s="8">
        <v>5.9109256410101001E-2</v>
      </c>
      <c r="T1332" s="9">
        <v>5.7428230712308799E-2</v>
      </c>
      <c r="U1332" s="12">
        <v>2.462E-2</v>
      </c>
      <c r="V1332" s="16">
        <v>3.8681999999999999</v>
      </c>
      <c r="W1332" s="17">
        <f t="shared" si="20"/>
        <v>-7.3138809762106627E-3</v>
      </c>
    </row>
    <row r="1333" spans="1:23" x14ac:dyDescent="0.2">
      <c r="A1333" s="15">
        <v>43496</v>
      </c>
      <c r="B1333" s="5">
        <v>340586233065562</v>
      </c>
      <c r="C1333" s="5">
        <f>[1]!nefin_factors__1[[#This Row],[Rm_minus_Rf]]/B1332-1</f>
        <v>1.7843746263576885</v>
      </c>
      <c r="D1333" s="5">
        <v>220022731940309</v>
      </c>
      <c r="E1333" s="5">
        <f>[1]!nefin_factors__1[[#This Row],[SMB]]/D1332-1</f>
        <v>-1.8683744995524196</v>
      </c>
      <c r="F1333" s="5">
        <v>-257537151739342</v>
      </c>
      <c r="G1333" s="5">
        <f>[1]!nefin_factors__1[[#This Row],[HML]]/F1332-1</f>
        <v>-2.7222790893451796</v>
      </c>
      <c r="H1333" s="5">
        <v>246202489047498</v>
      </c>
      <c r="I1333" s="6">
        <f>[1]!nefin_factors__1[[#This Row],[Risk_Free]]/H1332-1</f>
        <v>-1.5128450848341801E-3</v>
      </c>
      <c r="J1333">
        <v>94578</v>
      </c>
      <c r="K1333">
        <v>95038</v>
      </c>
      <c r="L1333">
        <v>93721</v>
      </c>
      <c r="M1333">
        <v>94588</v>
      </c>
      <c r="N1333">
        <v>3176600</v>
      </c>
      <c r="O1333">
        <v>94588</v>
      </c>
      <c r="P1333">
        <v>1.05732834274397E-4</v>
      </c>
      <c r="Q1333">
        <v>1.05727244952255E-4</v>
      </c>
      <c r="R1333" s="8">
        <v>44.258979797363303</v>
      </c>
      <c r="S1333" s="8">
        <v>2.63760904249568E-2</v>
      </c>
      <c r="T1333" s="9">
        <v>2.6034239450301401E-2</v>
      </c>
      <c r="U1333" s="12">
        <v>2.462E-2</v>
      </c>
      <c r="V1333" s="16">
        <v>3.8660999999999999</v>
      </c>
      <c r="W1333" s="17">
        <f t="shared" si="20"/>
        <v>-5.4288816503800241E-4</v>
      </c>
    </row>
    <row r="1334" spans="1:23" x14ac:dyDescent="0.2">
      <c r="A1334" s="14">
        <v>43497</v>
      </c>
      <c r="B1334" s="3">
        <v>488242809794285</v>
      </c>
      <c r="C1334" s="3">
        <f>[1]!nefin_factors__1[[#This Row],[Rm_minus_Rf]]/B1333-1</f>
        <v>0.43353653904237377</v>
      </c>
      <c r="D1334" s="3">
        <v>-32469193679036</v>
      </c>
      <c r="E1334" s="3">
        <f>[1]!nefin_factors__1[[#This Row],[SMB]]/D1333-1</f>
        <v>-1.1475719958237984</v>
      </c>
      <c r="F1334" s="3">
        <v>-310457570845082</v>
      </c>
      <c r="G1334" s="3">
        <f>[1]!nefin_factors__1[[#This Row],[HML]]/F1333-1</f>
        <v>0.20548654339122963</v>
      </c>
      <c r="H1334" s="3">
        <v>246202489047498</v>
      </c>
      <c r="I1334" s="4">
        <f>[1]!nefin_factors__1[[#This Row],[Risk_Free]]/H1333-1</f>
        <v>0</v>
      </c>
      <c r="J1334">
        <v>94590</v>
      </c>
      <c r="K1334">
        <v>96315</v>
      </c>
      <c r="L1334">
        <v>94590</v>
      </c>
      <c r="M1334">
        <v>95923</v>
      </c>
      <c r="N1334">
        <v>4309100</v>
      </c>
      <c r="O1334">
        <v>95923</v>
      </c>
      <c r="P1334">
        <v>1.4113841079206799E-2</v>
      </c>
      <c r="Q1334">
        <v>1.4015168176146601E-2</v>
      </c>
      <c r="R1334" s="8">
        <v>45.033718109130902</v>
      </c>
      <c r="S1334" s="8">
        <v>1.7504736398526101E-2</v>
      </c>
      <c r="T1334" s="9">
        <v>1.7353293260905199E-2</v>
      </c>
      <c r="U1334" s="12">
        <v>2.462E-2</v>
      </c>
      <c r="V1334" s="16">
        <v>3.8435999999999999</v>
      </c>
      <c r="W1334" s="17">
        <f t="shared" si="20"/>
        <v>-5.8198184216652349E-3</v>
      </c>
    </row>
    <row r="1335" spans="1:23" x14ac:dyDescent="0.2">
      <c r="A1335" s="15">
        <v>43500</v>
      </c>
      <c r="B1335" s="5">
        <v>728125445046533</v>
      </c>
      <c r="C1335" s="5">
        <f>[1]!nefin_factors__1[[#This Row],[Rm_minus_Rf]]/B1334-1</f>
        <v>0.49131831629700717</v>
      </c>
      <c r="D1335" s="5">
        <v>-7405201538.0222902</v>
      </c>
      <c r="E1335" s="5">
        <f>[1]!nefin_factors__1[[#This Row],[SMB]]/D1334-1</f>
        <v>-0.9997719314618273</v>
      </c>
      <c r="F1335" s="5">
        <v>-102375082428004</v>
      </c>
      <c r="G1335" s="5">
        <f>[1]!nefin_factors__1[[#This Row],[HML]]/F1334-1</f>
        <v>-0.67024452923040789</v>
      </c>
      <c r="H1335" s="5">
        <v>246202489047498</v>
      </c>
      <c r="I1335" s="6">
        <f>[1]!nefin_factors__1[[#This Row],[Risk_Free]]/H1334-1</f>
        <v>0</v>
      </c>
      <c r="J1335">
        <v>95923</v>
      </c>
      <c r="K1335">
        <v>95923</v>
      </c>
      <c r="L1335">
        <v>94163</v>
      </c>
      <c r="M1335">
        <v>95045</v>
      </c>
      <c r="N1335">
        <v>4658800</v>
      </c>
      <c r="O1335">
        <v>95045</v>
      </c>
      <c r="P1335">
        <v>-9.1531749424017504E-3</v>
      </c>
      <c r="Q1335">
        <v>-9.1953226354423E-3</v>
      </c>
      <c r="R1335" s="8">
        <v>44.052932739257798</v>
      </c>
      <c r="S1335" s="8">
        <v>-2.17789289946555E-2</v>
      </c>
      <c r="T1335" s="9">
        <v>-2.2019590518664301E-2</v>
      </c>
      <c r="U1335" s="12">
        <v>2.462E-2</v>
      </c>
      <c r="V1335" s="16">
        <v>3.8713000000000002</v>
      </c>
      <c r="W1335" s="17">
        <f t="shared" si="20"/>
        <v>7.206785305442942E-3</v>
      </c>
    </row>
    <row r="1336" spans="1:23" x14ac:dyDescent="0.2">
      <c r="A1336" s="14">
        <v>43501</v>
      </c>
      <c r="B1336" s="3">
        <v>-309047736808071</v>
      </c>
      <c r="C1336" s="3">
        <f>[1]!nefin_factors__1[[#This Row],[Rm_minus_Rf]]/B1335-1</f>
        <v>-1.4244429842557149</v>
      </c>
      <c r="D1336" s="3">
        <v>-978456475375777</v>
      </c>
      <c r="E1336" s="3">
        <f>[1]!nefin_factors__1[[#This Row],[SMB]]/D1335-1</f>
        <v>132129.97177056625</v>
      </c>
      <c r="F1336" s="3">
        <v>-789837776716262</v>
      </c>
      <c r="G1336" s="3">
        <f>[1]!nefin_factors__1[[#This Row],[HML]]/F1335-1</f>
        <v>6.7151369062068493</v>
      </c>
      <c r="H1336" s="3">
        <v>246202489047498</v>
      </c>
      <c r="I1336" s="4">
        <f>[1]!nefin_factors__1[[#This Row],[Risk_Free]]/H1335-1</f>
        <v>0</v>
      </c>
      <c r="J1336">
        <v>95027</v>
      </c>
      <c r="K1336">
        <v>96552</v>
      </c>
      <c r="L1336">
        <v>94213</v>
      </c>
      <c r="M1336">
        <v>96552</v>
      </c>
      <c r="N1336">
        <v>4878200</v>
      </c>
      <c r="O1336">
        <v>96552</v>
      </c>
      <c r="P1336">
        <v>1.58556473249514E-2</v>
      </c>
      <c r="Q1336">
        <v>1.5731259657479998E-2</v>
      </c>
      <c r="R1336" s="8">
        <v>45.3304252624512</v>
      </c>
      <c r="S1336" s="8">
        <v>2.8999085903228299E-2</v>
      </c>
      <c r="T1336" s="9">
        <v>2.85865685164629E-2</v>
      </c>
      <c r="U1336" s="12">
        <v>2.462E-2</v>
      </c>
      <c r="V1336" s="16">
        <v>3.8622000000000001</v>
      </c>
      <c r="W1336" s="17">
        <f t="shared" si="20"/>
        <v>-2.3506315707901848E-3</v>
      </c>
    </row>
    <row r="1337" spans="1:23" x14ac:dyDescent="0.2">
      <c r="A1337" s="15">
        <v>43502</v>
      </c>
      <c r="B1337" s="5">
        <v>-34689278866018</v>
      </c>
      <c r="C1337" s="5">
        <f>[1]!nefin_factors__1[[#This Row],[Rm_minus_Rf]]/B1336-1</f>
        <v>-0.88775430221784413</v>
      </c>
      <c r="D1337" s="5">
        <v>126181553622977</v>
      </c>
      <c r="E1337" s="5">
        <f>[1]!nefin_factors__1[[#This Row],[SMB]]/D1336-1</f>
        <v>-1.1289598022993479</v>
      </c>
      <c r="F1337" s="5">
        <v>578661919821821</v>
      </c>
      <c r="G1337" s="5">
        <f>[1]!nefin_factors__1[[#This Row],[HML]]/F1336-1</f>
        <v>-1.7326338861982504</v>
      </c>
      <c r="H1337" s="5">
        <v>246202489047498</v>
      </c>
      <c r="I1337" s="6">
        <f>[1]!nefin_factors__1[[#This Row],[Risk_Free]]/H1336-1</f>
        <v>0</v>
      </c>
      <c r="J1337">
        <v>96552</v>
      </c>
      <c r="K1337">
        <v>96563</v>
      </c>
      <c r="L1337">
        <v>95620</v>
      </c>
      <c r="M1337">
        <v>96236</v>
      </c>
      <c r="N1337">
        <v>3767100</v>
      </c>
      <c r="O1337">
        <v>96236</v>
      </c>
      <c r="P1337">
        <v>-3.27284779186343E-3</v>
      </c>
      <c r="Q1337">
        <v>-3.27821527269601E-3</v>
      </c>
      <c r="R1337" s="8">
        <v>45.915603637695298</v>
      </c>
      <c r="S1337" s="8">
        <v>1.29091774783656E-2</v>
      </c>
      <c r="T1337" s="9">
        <v>1.28265642662361E-2</v>
      </c>
      <c r="U1337" s="12">
        <v>2.462E-2</v>
      </c>
      <c r="V1337" s="16">
        <v>3.8658000000000001</v>
      </c>
      <c r="W1337" s="17">
        <f t="shared" si="20"/>
        <v>9.3211123194025802E-4</v>
      </c>
    </row>
    <row r="1338" spans="1:23" x14ac:dyDescent="0.2">
      <c r="A1338" s="14">
        <v>43503</v>
      </c>
      <c r="B1338" s="3">
        <v>-108044100113279</v>
      </c>
      <c r="C1338" s="3">
        <f>[1]!nefin_factors__1[[#This Row],[Rm_minus_Rf]]/B1337-1</f>
        <v>2.1146251419806883</v>
      </c>
      <c r="D1338" s="3">
        <v>-117321728070196</v>
      </c>
      <c r="E1338" s="3">
        <f>[1]!nefin_factors__1[[#This Row],[SMB]]/D1337-1</f>
        <v>-1.9297850969623211</v>
      </c>
      <c r="F1338" s="3">
        <v>-798842475097065</v>
      </c>
      <c r="G1338" s="3">
        <f>[1]!nefin_factors__1[[#This Row],[HML]]/F1337-1</f>
        <v>-2.3804994725470117</v>
      </c>
      <c r="H1338" s="3">
        <v>246202489047498</v>
      </c>
      <c r="I1338" s="4">
        <f>[1]!nefin_factors__1[[#This Row],[Risk_Free]]/H1337-1</f>
        <v>0</v>
      </c>
      <c r="J1338">
        <v>96254</v>
      </c>
      <c r="K1338">
        <v>97123</v>
      </c>
      <c r="L1338">
        <v>96004</v>
      </c>
      <c r="M1338">
        <v>96188</v>
      </c>
      <c r="N1338">
        <v>3225400</v>
      </c>
      <c r="O1338">
        <v>96188</v>
      </c>
      <c r="P1338">
        <v>-4.9877384762464505E-4</v>
      </c>
      <c r="Q1338">
        <v>-4.9889827667653997E-4</v>
      </c>
      <c r="R1338" s="8">
        <v>46.352424621582003</v>
      </c>
      <c r="S1338" s="8">
        <v>9.5135491157807301E-3</v>
      </c>
      <c r="T1338" s="9">
        <v>9.4685802911672803E-3</v>
      </c>
      <c r="U1338" s="12">
        <v>2.462E-2</v>
      </c>
      <c r="V1338" s="16">
        <v>3.8563000000000001</v>
      </c>
      <c r="W1338" s="17">
        <f t="shared" si="20"/>
        <v>-2.4574473588907519E-3</v>
      </c>
    </row>
    <row r="1339" spans="1:23" x14ac:dyDescent="0.2">
      <c r="A1339" s="15">
        <v>43504</v>
      </c>
      <c r="B1339" s="5">
        <v>757547405431849</v>
      </c>
      <c r="C1339" s="5">
        <f>[1]!nefin_factors__1[[#This Row],[Rm_minus_Rf]]/B1338-1</f>
        <v>-8.011464805922742</v>
      </c>
      <c r="D1339" s="5">
        <v>6437247683.2360096</v>
      </c>
      <c r="E1339" s="5">
        <f>[1]!nefin_factors__1[[#This Row],[SMB]]/D1338-1</f>
        <v>-1.0000548683333355</v>
      </c>
      <c r="F1339" s="5">
        <v>117054146224459</v>
      </c>
      <c r="G1339" s="5">
        <f>[1]!nefin_factors__1[[#This Row],[HML]]/F1338-1</f>
        <v>-1.1465296974979156</v>
      </c>
      <c r="H1339" s="5">
        <v>246202489047498</v>
      </c>
      <c r="I1339" s="6">
        <f>[1]!nefin_factors__1[[#This Row],[Risk_Free]]/H1338-1</f>
        <v>0</v>
      </c>
      <c r="J1339">
        <v>96191</v>
      </c>
      <c r="K1339">
        <v>96707</v>
      </c>
      <c r="L1339">
        <v>95613</v>
      </c>
      <c r="M1339">
        <v>96353</v>
      </c>
      <c r="N1339">
        <v>4228600</v>
      </c>
      <c r="O1339">
        <v>96353</v>
      </c>
      <c r="P1339">
        <v>1.71539069322568E-3</v>
      </c>
      <c r="Q1339">
        <v>1.7139210909984401E-3</v>
      </c>
      <c r="R1339" s="8">
        <v>46.8057250976562</v>
      </c>
      <c r="S1339" s="8">
        <v>9.7794581913301908E-3</v>
      </c>
      <c r="T1339" s="9">
        <v>9.7319487831337807E-3</v>
      </c>
      <c r="U1339" s="12">
        <v>2.462E-2</v>
      </c>
      <c r="V1339" s="16">
        <v>3.8344999999999998</v>
      </c>
      <c r="W1339" s="17">
        <f t="shared" si="20"/>
        <v>-5.6530871560823703E-3</v>
      </c>
    </row>
    <row r="1340" spans="1:23" x14ac:dyDescent="0.2">
      <c r="A1340" s="14">
        <v>43507</v>
      </c>
      <c r="B1340" s="3">
        <v>-742391481585627</v>
      </c>
      <c r="C1340" s="3">
        <f>[1]!nefin_factors__1[[#This Row],[Rm_minus_Rf]]/B1339-1</f>
        <v>-1.9799934317805734</v>
      </c>
      <c r="D1340" s="3">
        <v>-785823848125297</v>
      </c>
      <c r="E1340" s="3">
        <f>[1]!nefin_factors__1[[#This Row],[SMB]]/D1339-1</f>
        <v>-122075.5086711131</v>
      </c>
      <c r="F1340" s="3">
        <v>-479370907327571</v>
      </c>
      <c r="G1340" s="3">
        <f>[1]!nefin_factors__1[[#This Row],[HML]]/F1339-1</f>
        <v>-5.0952919891307893</v>
      </c>
      <c r="H1340" s="3">
        <v>246202489047498</v>
      </c>
      <c r="I1340" s="4">
        <f>[1]!nefin_factors__1[[#This Row],[Risk_Free]]/H1339-1</f>
        <v>0</v>
      </c>
      <c r="J1340">
        <v>96339</v>
      </c>
      <c r="K1340">
        <v>96339</v>
      </c>
      <c r="L1340">
        <v>95312</v>
      </c>
      <c r="M1340">
        <v>95528</v>
      </c>
      <c r="N1340">
        <v>3863600</v>
      </c>
      <c r="O1340">
        <v>95528</v>
      </c>
      <c r="P1340">
        <v>-8.5622658350025197E-3</v>
      </c>
      <c r="Q1340">
        <v>-8.5991326261392696E-3</v>
      </c>
      <c r="R1340" s="8">
        <v>47.2672729492188</v>
      </c>
      <c r="S1340" s="8">
        <v>1.03251822347654E-2</v>
      </c>
      <c r="T1340" s="9">
        <v>1.02722416430082E-2</v>
      </c>
      <c r="U1340" s="12">
        <v>2.462E-2</v>
      </c>
      <c r="V1340" s="16">
        <v>3.8399000000000001</v>
      </c>
      <c r="W1340" s="17">
        <f t="shared" si="20"/>
        <v>1.4082670491590843E-3</v>
      </c>
    </row>
    <row r="1341" spans="1:23" x14ac:dyDescent="0.2">
      <c r="A1341" s="15">
        <v>43508</v>
      </c>
      <c r="B1341" s="5">
        <v>16256522247253</v>
      </c>
      <c r="C1341" s="5">
        <f>[1]!nefin_factors__1[[#This Row],[Rm_minus_Rf]]/B1340-1</f>
        <v>-1.0218975064376166</v>
      </c>
      <c r="D1341" s="5">
        <v>-145177573943989</v>
      </c>
      <c r="E1341" s="5">
        <f>[1]!nefin_factors__1[[#This Row],[SMB]]/D1340-1</f>
        <v>-0.81525430375989183</v>
      </c>
      <c r="F1341" s="5">
        <v>61921279272592</v>
      </c>
      <c r="G1341" s="5">
        <f>[1]!nefin_factors__1[[#This Row],[HML]]/F1340-1</f>
        <v>-1.1291719591783216</v>
      </c>
      <c r="H1341" s="5">
        <v>246202489047498</v>
      </c>
      <c r="I1341" s="6">
        <f>[1]!nefin_factors__1[[#This Row],[Risk_Free]]/H1340-1</f>
        <v>0</v>
      </c>
      <c r="J1341">
        <v>95521</v>
      </c>
      <c r="K1341">
        <v>96315</v>
      </c>
      <c r="L1341">
        <v>95521</v>
      </c>
      <c r="M1341">
        <v>96008</v>
      </c>
      <c r="N1341">
        <v>4014800</v>
      </c>
      <c r="O1341">
        <v>96008</v>
      </c>
      <c r="P1341">
        <v>5.0247047985931799E-3</v>
      </c>
      <c r="Q1341">
        <v>5.0121230980568303E-3</v>
      </c>
      <c r="R1341" s="8">
        <v>46.855178833007798</v>
      </c>
      <c r="S1341" s="8">
        <v>-8.7184197569817306E-3</v>
      </c>
      <c r="T1341" s="9">
        <v>-8.7566475312166898E-3</v>
      </c>
      <c r="U1341" s="12">
        <v>2.462E-2</v>
      </c>
      <c r="V1341" s="16">
        <v>3.8685</v>
      </c>
      <c r="W1341" s="17">
        <f t="shared" si="20"/>
        <v>7.4481106278809772E-3</v>
      </c>
    </row>
    <row r="1342" spans="1:23" x14ac:dyDescent="0.2">
      <c r="A1342" s="14">
        <v>43509</v>
      </c>
      <c r="B1342" s="3">
        <v>-422098394228702</v>
      </c>
      <c r="C1342" s="3">
        <f>[1]!nefin_factors__1[[#This Row],[Rm_minus_Rf]]/B1341-1</f>
        <v>-26.964864305465301</v>
      </c>
      <c r="D1342" s="3">
        <v>594530693535234</v>
      </c>
      <c r="E1342" s="3">
        <f>[1]!nefin_factors__1[[#This Row],[SMB]]/D1341-1</f>
        <v>-5.0951965057951032</v>
      </c>
      <c r="F1342" s="3">
        <v>29903773116898</v>
      </c>
      <c r="G1342" s="3">
        <f>[1]!nefin_factors__1[[#This Row],[HML]]/F1341-1</f>
        <v>-0.51706790511780976</v>
      </c>
      <c r="H1342" s="3">
        <v>246575519610381</v>
      </c>
      <c r="I1342" s="4">
        <f>[1]!nefin_factors__1[[#This Row],[Risk_Free]]/H1341-1</f>
        <v>1.5151372527799634E-3</v>
      </c>
      <c r="J1342">
        <v>95992</v>
      </c>
      <c r="K1342">
        <v>95992</v>
      </c>
      <c r="L1342">
        <v>94540</v>
      </c>
      <c r="M1342">
        <v>95009</v>
      </c>
      <c r="N1342">
        <v>3216000</v>
      </c>
      <c r="O1342">
        <v>95009</v>
      </c>
      <c r="P1342">
        <v>-1.04053828847596E-2</v>
      </c>
      <c r="Q1342">
        <v>-1.04598973737453E-2</v>
      </c>
      <c r="R1342" s="8">
        <v>46.344181060791001</v>
      </c>
      <c r="S1342" s="8">
        <v>-1.09058538609993E-2</v>
      </c>
      <c r="T1342" s="9">
        <v>-1.0965758625101499E-2</v>
      </c>
      <c r="U1342" s="12">
        <v>2.462E-2</v>
      </c>
      <c r="V1342" s="16">
        <v>3.8730000000000002</v>
      </c>
      <c r="W1342" s="17">
        <f t="shared" si="20"/>
        <v>1.1632415664986073E-3</v>
      </c>
    </row>
    <row r="1343" spans="1:23" x14ac:dyDescent="0.2">
      <c r="A1343" s="15">
        <v>43510</v>
      </c>
      <c r="B1343" s="5">
        <v>203494038811216</v>
      </c>
      <c r="C1343" s="5">
        <f>[1]!nefin_factors__1[[#This Row],[Rm_minus_Rf]]/B1342-1</f>
        <v>-1.4821009546436668</v>
      </c>
      <c r="D1343" s="5">
        <v>-103787369432369</v>
      </c>
      <c r="E1343" s="5">
        <f>[1]!nefin_factors__1[[#This Row],[SMB]]/D1342-1</f>
        <v>-1.1745702460124008</v>
      </c>
      <c r="F1343" s="5">
        <v>-7742093834448</v>
      </c>
      <c r="G1343" s="5">
        <f>[1]!nefin_factors__1[[#This Row],[HML]]/F1342-1</f>
        <v>-1.258900233230873</v>
      </c>
      <c r="H1343" s="5">
        <v>246202489047498</v>
      </c>
      <c r="I1343" s="6">
        <f>[1]!nefin_factors__1[[#This Row],[Risk_Free]]/H1342-1</f>
        <v>-1.5128450848341801E-3</v>
      </c>
      <c r="J1343">
        <v>95009</v>
      </c>
      <c r="K1343">
        <v>95009</v>
      </c>
      <c r="L1343">
        <v>92750</v>
      </c>
      <c r="M1343">
        <v>94389</v>
      </c>
      <c r="N1343">
        <v>4907400</v>
      </c>
      <c r="O1343">
        <v>94389</v>
      </c>
      <c r="P1343">
        <v>-6.5256975654938197E-3</v>
      </c>
      <c r="Q1343">
        <v>-6.5470830172833401E-3</v>
      </c>
      <c r="R1343" s="8">
        <v>46.649131774902301</v>
      </c>
      <c r="S1343" s="8">
        <v>6.5801070878705997E-3</v>
      </c>
      <c r="T1343" s="9">
        <v>6.5585526850792299E-3</v>
      </c>
      <c r="U1343" s="12">
        <v>2.462E-2</v>
      </c>
      <c r="V1343" s="16">
        <v>3.8913000000000002</v>
      </c>
      <c r="W1343" s="17">
        <f t="shared" si="20"/>
        <v>4.7250193648333827E-3</v>
      </c>
    </row>
    <row r="1344" spans="1:23" x14ac:dyDescent="0.2">
      <c r="A1344" s="14">
        <v>43511</v>
      </c>
      <c r="B1344" s="3">
        <v>-468068460034014</v>
      </c>
      <c r="C1344" s="3">
        <f>[1]!nefin_factors__1[[#This Row],[Rm_minus_Rf]]/B1343-1</f>
        <v>-3.3001580919441431</v>
      </c>
      <c r="D1344" s="3">
        <v>945499191961547</v>
      </c>
      <c r="E1344" s="3">
        <f>[1]!nefin_factors__1[[#This Row],[SMB]]/D1343-1</f>
        <v>-10.109963930415088</v>
      </c>
      <c r="F1344" s="3">
        <v>352851831205543</v>
      </c>
      <c r="G1344" s="3">
        <f>[1]!nefin_factors__1[[#This Row],[HML]]/F1343-1</f>
        <v>-46.575762674891529</v>
      </c>
      <c r="H1344" s="3">
        <v>246202489047498</v>
      </c>
      <c r="I1344" s="4">
        <f>[1]!nefin_factors__1[[#This Row],[Risk_Free]]/H1343-1</f>
        <v>0</v>
      </c>
      <c r="J1344">
        <v>94389</v>
      </c>
      <c r="K1344">
        <v>96312</v>
      </c>
      <c r="L1344">
        <v>94389</v>
      </c>
      <c r="M1344">
        <v>95597</v>
      </c>
      <c r="N1344">
        <v>4916500</v>
      </c>
      <c r="O1344">
        <v>95597</v>
      </c>
      <c r="P1344">
        <v>1.27981014736887E-2</v>
      </c>
      <c r="Q1344">
        <v>1.2716897873719799E-2</v>
      </c>
      <c r="R1344" s="8">
        <v>48.338718414306598</v>
      </c>
      <c r="S1344" s="8">
        <v>3.6219007165841498E-2</v>
      </c>
      <c r="T1344" s="9">
        <v>3.55785183743451E-2</v>
      </c>
      <c r="U1344" s="12">
        <v>2.462E-2</v>
      </c>
      <c r="V1344" s="16">
        <v>3.9224999999999999</v>
      </c>
      <c r="W1344" s="17">
        <f t="shared" si="20"/>
        <v>8.0178860535038421E-3</v>
      </c>
    </row>
    <row r="1345" spans="1:23" x14ac:dyDescent="0.2">
      <c r="A1345" s="15">
        <v>43514</v>
      </c>
      <c r="B1345" s="5">
        <v>-874714464952187</v>
      </c>
      <c r="C1345" s="5">
        <f>[1]!nefin_factors__1[[#This Row],[Rm_minus_Rf]]/B1344-1</f>
        <v>0.86877463371196284</v>
      </c>
      <c r="D1345" s="5">
        <v>-128375644297687</v>
      </c>
      <c r="E1345" s="5">
        <f>[1]!nefin_factors__1[[#This Row],[SMB]]/D1344-1</f>
        <v>-1.1357755198408546</v>
      </c>
      <c r="F1345" s="5">
        <v>18243131438618</v>
      </c>
      <c r="G1345" s="5">
        <f>[1]!nefin_factors__1[[#This Row],[HML]]/F1344-1</f>
        <v>-0.94829803950205083</v>
      </c>
      <c r="H1345" s="5">
        <v>246202489047498</v>
      </c>
      <c r="I1345" s="6">
        <f>[1]!nefin_factors__1[[#This Row],[Risk_Free]]/H1344-1</f>
        <v>0</v>
      </c>
      <c r="J1345">
        <v>95597</v>
      </c>
      <c r="K1345">
        <v>95597</v>
      </c>
      <c r="L1345">
        <v>93883</v>
      </c>
      <c r="M1345">
        <v>94808</v>
      </c>
      <c r="N1345">
        <v>4152200</v>
      </c>
      <c r="O1345">
        <v>94808</v>
      </c>
      <c r="P1345">
        <v>-8.2533970731298902E-3</v>
      </c>
      <c r="Q1345">
        <v>-8.2876449256838701E-3</v>
      </c>
      <c r="R1345" s="8">
        <v>48.338718414306598</v>
      </c>
      <c r="S1345" s="8">
        <v>0</v>
      </c>
      <c r="T1345" s="9">
        <v>0</v>
      </c>
      <c r="U1345" s="12">
        <v>2.462E-2</v>
      </c>
      <c r="V1345" s="16">
        <v>3.9369999999999998</v>
      </c>
      <c r="W1345" s="17">
        <f t="shared" si="20"/>
        <v>3.6966220522625104E-3</v>
      </c>
    </row>
    <row r="1346" spans="1:23" x14ac:dyDescent="0.2">
      <c r="A1346" s="14">
        <v>43515</v>
      </c>
      <c r="B1346" s="3">
        <v>107205192074302</v>
      </c>
      <c r="C1346" s="3">
        <f>[1]!nefin_factors__1[[#This Row],[Rm_minus_Rf]]/B1345-1</f>
        <v>-1.1225602140695843</v>
      </c>
      <c r="D1346" s="3">
        <v>536815811656851</v>
      </c>
      <c r="E1346" s="3">
        <f>[1]!nefin_factors__1[[#This Row],[SMB]]/D1345-1</f>
        <v>-5.1816016939478216</v>
      </c>
      <c r="F1346" s="3">
        <v>-524468449075546</v>
      </c>
      <c r="G1346" s="3">
        <f>[1]!nefin_factors__1[[#This Row],[HML]]/F1345-1</f>
        <v>-29.74881710084729</v>
      </c>
      <c r="H1346" s="3">
        <v>246202489047498</v>
      </c>
      <c r="I1346" s="4">
        <f>[1]!nefin_factors__1[[#This Row],[Risk_Free]]/H1345-1</f>
        <v>0</v>
      </c>
      <c r="J1346">
        <v>94809</v>
      </c>
      <c r="K1346">
        <v>94848</v>
      </c>
      <c r="L1346">
        <v>93234</v>
      </c>
      <c r="M1346">
        <v>94258</v>
      </c>
      <c r="N1346">
        <v>4097900</v>
      </c>
      <c r="O1346">
        <v>94258</v>
      </c>
      <c r="P1346">
        <v>-5.8011982111214602E-3</v>
      </c>
      <c r="Q1346">
        <v>-5.8180905235800202E-3</v>
      </c>
      <c r="R1346" s="8">
        <v>44.193046569824197</v>
      </c>
      <c r="S1346" s="8">
        <v>-8.5762966385123707E-2</v>
      </c>
      <c r="T1346" s="9">
        <v>-8.9665404590953998E-2</v>
      </c>
      <c r="U1346" s="12">
        <v>2.462E-2</v>
      </c>
      <c r="V1346" s="16">
        <v>3.923</v>
      </c>
      <c r="W1346" s="17">
        <f t="shared" si="20"/>
        <v>-3.5560071120142034E-3</v>
      </c>
    </row>
    <row r="1347" spans="1:23" x14ac:dyDescent="0.2">
      <c r="A1347" s="15">
        <v>43516</v>
      </c>
      <c r="B1347" s="5">
        <v>-118739464268784</v>
      </c>
      <c r="C1347" s="5">
        <f>[1]!nefin_factors__1[[#This Row],[Rm_minus_Rf]]/B1346-1</f>
        <v>-2.1075906117167142</v>
      </c>
      <c r="D1347" s="5">
        <v>7922433293.3738899</v>
      </c>
      <c r="E1347" s="5">
        <f>[1]!nefin_factors__1[[#This Row],[SMB]]/D1346-1</f>
        <v>-0.99998524180338699</v>
      </c>
      <c r="F1347" s="5">
        <v>395918184873477</v>
      </c>
      <c r="G1347" s="5">
        <f>[1]!nefin_factors__1[[#This Row],[HML]]/F1346-1</f>
        <v>-1.7548941896721184</v>
      </c>
      <c r="H1347" s="5">
        <v>246202489047498</v>
      </c>
      <c r="I1347" s="6">
        <f>[1]!nefin_factors__1[[#This Row],[Risk_Free]]/H1346-1</f>
        <v>0</v>
      </c>
      <c r="J1347">
        <v>94252</v>
      </c>
      <c r="K1347">
        <v>94252</v>
      </c>
      <c r="L1347">
        <v>91600</v>
      </c>
      <c r="M1347">
        <v>91727</v>
      </c>
      <c r="N1347">
        <v>4662600</v>
      </c>
      <c r="O1347">
        <v>91727</v>
      </c>
      <c r="P1347">
        <v>-2.6851832205223899E-2</v>
      </c>
      <c r="Q1347">
        <v>-2.7218929052581699E-2</v>
      </c>
      <c r="R1347" s="8">
        <v>40.797386169433601</v>
      </c>
      <c r="S1347" s="8">
        <v>-7.6836966822248803E-2</v>
      </c>
      <c r="T1347" s="9">
        <v>-7.9949426081835598E-2</v>
      </c>
      <c r="U1347" s="12">
        <v>2.462E-2</v>
      </c>
      <c r="V1347" s="16">
        <v>3.9436</v>
      </c>
      <c r="W1347" s="17">
        <f t="shared" si="20"/>
        <v>5.2510833545755808E-3</v>
      </c>
    </row>
    <row r="1348" spans="1:23" x14ac:dyDescent="0.2">
      <c r="A1348" s="14">
        <v>43517</v>
      </c>
      <c r="B1348" s="3">
        <v>494177477032247</v>
      </c>
      <c r="C1348" s="3">
        <f>[1]!nefin_factors__1[[#This Row],[Rm_minus_Rf]]/B1347-1</f>
        <v>-5.1618637920885728</v>
      </c>
      <c r="D1348" s="3">
        <v>-169873291235963</v>
      </c>
      <c r="E1348" s="3">
        <f>[1]!nefin_factors__1[[#This Row],[SMB]]/D1347-1</f>
        <v>-21443.060153165374</v>
      </c>
      <c r="F1348" s="3">
        <v>-102832011368292</v>
      </c>
      <c r="G1348" s="3">
        <f>[1]!nefin_factors__1[[#This Row],[HML]]/F1347-1</f>
        <v>-1.2597304576983599</v>
      </c>
      <c r="H1348" s="3">
        <v>246202489047498</v>
      </c>
      <c r="I1348" s="4">
        <f>[1]!nefin_factors__1[[#This Row],[Risk_Free]]/H1347-1</f>
        <v>0</v>
      </c>
      <c r="J1348">
        <v>91736</v>
      </c>
      <c r="K1348">
        <v>92529</v>
      </c>
      <c r="L1348">
        <v>91562</v>
      </c>
      <c r="M1348">
        <v>92092</v>
      </c>
      <c r="N1348">
        <v>4045400</v>
      </c>
      <c r="O1348">
        <v>92092</v>
      </c>
      <c r="P1348">
        <v>3.9791991452897699E-3</v>
      </c>
      <c r="Q1348">
        <v>3.9713030721379699E-3</v>
      </c>
      <c r="R1348" s="8">
        <v>42.173782348632798</v>
      </c>
      <c r="S1348" s="8">
        <v>3.3737377361198202E-2</v>
      </c>
      <c r="T1348" s="9">
        <v>3.3180756747912002E-2</v>
      </c>
      <c r="U1348" s="12">
        <v>2.462E-2</v>
      </c>
      <c r="V1348" s="16">
        <v>3.9630000000000001</v>
      </c>
      <c r="W1348" s="17">
        <f t="shared" ref="W1348:W1411" si="21">V1348/V1347-1</f>
        <v>4.9193630185617732E-3</v>
      </c>
    </row>
    <row r="1349" spans="1:23" x14ac:dyDescent="0.2">
      <c r="A1349" s="15">
        <v>43518</v>
      </c>
      <c r="B1349" s="5">
        <v>926140566628427</v>
      </c>
      <c r="C1349" s="5">
        <f>[1]!nefin_factors__1[[#This Row],[Rm_minus_Rf]]/B1348-1</f>
        <v>0.87410517409718524</v>
      </c>
      <c r="D1349" s="5">
        <v>-354166112498703</v>
      </c>
      <c r="E1349" s="5">
        <f>[1]!nefin_factors__1[[#This Row],[SMB]]/D1348-1</f>
        <v>1.0848840328097693</v>
      </c>
      <c r="F1349" s="5">
        <v>3431494331794</v>
      </c>
      <c r="G1349" s="5">
        <f>[1]!nefin_factors__1[[#This Row],[HML]]/F1348-1</f>
        <v>-1.0333699038473938</v>
      </c>
      <c r="H1349" s="5">
        <v>246575519610381</v>
      </c>
      <c r="I1349" s="6">
        <f>[1]!nefin_factors__1[[#This Row],[Risk_Free]]/H1348-1</f>
        <v>1.5151372527799634E-3</v>
      </c>
      <c r="J1349">
        <v>92088</v>
      </c>
      <c r="K1349">
        <v>92088</v>
      </c>
      <c r="L1349">
        <v>90295</v>
      </c>
      <c r="M1349">
        <v>91623</v>
      </c>
      <c r="N1349">
        <v>4791900</v>
      </c>
      <c r="O1349">
        <v>91623</v>
      </c>
      <c r="P1349">
        <v>-5.0927333536029398E-3</v>
      </c>
      <c r="Q1349">
        <v>-5.1057455172283097E-3</v>
      </c>
      <c r="R1349" s="8">
        <v>41.209480285644503</v>
      </c>
      <c r="S1349" s="8">
        <v>-2.28649366099365E-2</v>
      </c>
      <c r="T1349" s="9">
        <v>-2.3130393515463699E-2</v>
      </c>
      <c r="U1349" s="12">
        <v>2.462E-2</v>
      </c>
      <c r="V1349" s="16">
        <v>3.9725000000000001</v>
      </c>
      <c r="W1349" s="17">
        <f t="shared" si="21"/>
        <v>2.3971738581882729E-3</v>
      </c>
    </row>
    <row r="1350" spans="1:23" x14ac:dyDescent="0.2">
      <c r="A1350" s="14">
        <v>43521</v>
      </c>
      <c r="B1350" s="3">
        <v>-516853310150233</v>
      </c>
      <c r="C1350" s="3">
        <f>[1]!nefin_factors__1[[#This Row],[Rm_minus_Rf]]/B1349-1</f>
        <v>-1.5580722071508153</v>
      </c>
      <c r="D1350" s="3">
        <v>73046924503566</v>
      </c>
      <c r="E1350" s="3">
        <f>[1]!nefin_factors__1[[#This Row],[SMB]]/D1349-1</f>
        <v>-1.2062504624968418</v>
      </c>
      <c r="F1350" s="3">
        <v>145224400597777</v>
      </c>
      <c r="G1350" s="3">
        <f>[1]!nefin_factors__1[[#This Row],[HML]]/F1349-1</f>
        <v>41.32103758768357</v>
      </c>
      <c r="H1350" s="3">
        <v>246575519610381</v>
      </c>
      <c r="I1350" s="4">
        <f>[1]!nefin_factors__1[[#This Row],[Risk_Free]]/H1349-1</f>
        <v>0</v>
      </c>
      <c r="J1350">
        <v>91622</v>
      </c>
      <c r="K1350">
        <v>91622</v>
      </c>
      <c r="L1350">
        <v>89778</v>
      </c>
      <c r="M1350">
        <v>90024</v>
      </c>
      <c r="N1350">
        <v>5570000</v>
      </c>
      <c r="O1350">
        <v>90024</v>
      </c>
      <c r="P1350">
        <v>-1.7451949837922798E-2</v>
      </c>
      <c r="Q1350">
        <v>-1.7606030417199599E-2</v>
      </c>
      <c r="R1350" s="8">
        <v>39.478679656982401</v>
      </c>
      <c r="S1350" s="8">
        <v>-4.2000095148447901E-2</v>
      </c>
      <c r="T1350" s="9">
        <v>-4.2907600331164503E-2</v>
      </c>
      <c r="U1350" s="12">
        <v>2.462E-2</v>
      </c>
      <c r="V1350" s="16">
        <v>3.9352999999999998</v>
      </c>
      <c r="W1350" s="17">
        <f t="shared" si="21"/>
        <v>-9.3643801132788917E-3</v>
      </c>
    </row>
    <row r="1351" spans="1:23" x14ac:dyDescent="0.2">
      <c r="A1351" s="15">
        <v>43522</v>
      </c>
      <c r="B1351" s="5">
        <v>322665386056846</v>
      </c>
      <c r="C1351" s="5">
        <f>[1]!nefin_factors__1[[#This Row],[Rm_minus_Rf]]/B1350-1</f>
        <v>-1.6242881291851594</v>
      </c>
      <c r="D1351" s="5">
        <v>-972256769425534</v>
      </c>
      <c r="E1351" s="5">
        <f>[1]!nefin_factors__1[[#This Row],[SMB]]/D1350-1</f>
        <v>-14.310030176261158</v>
      </c>
      <c r="F1351" s="5">
        <v>-709007286574346</v>
      </c>
      <c r="G1351" s="5">
        <f>[1]!nefin_factors__1[[#This Row],[HML]]/F1350-1</f>
        <v>-5.88214985674521</v>
      </c>
      <c r="H1351" s="5">
        <v>246575519610381</v>
      </c>
      <c r="I1351" s="6">
        <f>[1]!nefin_factors__1[[#This Row],[Risk_Free]]/H1350-1</f>
        <v>0</v>
      </c>
      <c r="J1351">
        <v>90023</v>
      </c>
      <c r="K1351">
        <v>91321</v>
      </c>
      <c r="L1351">
        <v>89409</v>
      </c>
      <c r="M1351">
        <v>89993</v>
      </c>
      <c r="N1351">
        <v>5342700</v>
      </c>
      <c r="O1351">
        <v>89993</v>
      </c>
      <c r="P1351">
        <v>-3.4435261707987897E-4</v>
      </c>
      <c r="Q1351">
        <v>-3.4441192005680497E-4</v>
      </c>
      <c r="R1351" s="8">
        <v>38.267124176025398</v>
      </c>
      <c r="S1351" s="8">
        <v>-3.0688871264540299E-2</v>
      </c>
      <c r="T1351" s="9">
        <v>-3.1169636340920799E-2</v>
      </c>
      <c r="U1351" s="12">
        <v>2.462E-2</v>
      </c>
      <c r="V1351" s="16">
        <v>3.9363999999999999</v>
      </c>
      <c r="W1351" s="17">
        <f t="shared" si="21"/>
        <v>2.7952125632091374E-4</v>
      </c>
    </row>
    <row r="1352" spans="1:23" x14ac:dyDescent="0.2">
      <c r="A1352" s="14">
        <v>43523</v>
      </c>
      <c r="B1352" s="3">
        <v>-280573043373083</v>
      </c>
      <c r="C1352" s="3">
        <f>[1]!nefin_factors__1[[#This Row],[Rm_minus_Rf]]/B1351-1</f>
        <v>-1.8695480069983481</v>
      </c>
      <c r="D1352" s="3">
        <v>154703969268481</v>
      </c>
      <c r="E1352" s="3">
        <f>[1]!nefin_factors__1[[#This Row],[SMB]]/D1351-1</f>
        <v>-1.1591184285195455</v>
      </c>
      <c r="F1352" s="3">
        <v>632977926513811</v>
      </c>
      <c r="G1352" s="3">
        <f>[1]!nefin_factors__1[[#This Row],[HML]]/F1351-1</f>
        <v>-1.8927664616426159</v>
      </c>
      <c r="H1352" s="3">
        <v>246202489047498</v>
      </c>
      <c r="I1352" s="4">
        <f>[1]!nefin_factors__1[[#This Row],[Risk_Free]]/H1351-1</f>
        <v>-1.5128450848341801E-3</v>
      </c>
      <c r="J1352">
        <v>90006</v>
      </c>
      <c r="K1352">
        <v>92117</v>
      </c>
      <c r="L1352">
        <v>89822</v>
      </c>
      <c r="M1352">
        <v>91946</v>
      </c>
      <c r="N1352">
        <v>4620000</v>
      </c>
      <c r="O1352">
        <v>91946</v>
      </c>
      <c r="P1352">
        <v>2.17016879090597E-2</v>
      </c>
      <c r="Q1352">
        <v>2.14695586732476E-2</v>
      </c>
      <c r="R1352" s="8">
        <v>38.984169006347699</v>
      </c>
      <c r="S1352" s="8">
        <v>1.8737902179099899E-2</v>
      </c>
      <c r="T1352" s="9">
        <v>1.8564510340805401E-2</v>
      </c>
      <c r="U1352" s="12">
        <v>2.462E-2</v>
      </c>
      <c r="V1352" s="16">
        <v>3.9453</v>
      </c>
      <c r="W1352" s="17">
        <f t="shared" si="21"/>
        <v>2.2609490905396434E-3</v>
      </c>
    </row>
    <row r="1353" spans="1:23" x14ac:dyDescent="0.2">
      <c r="A1353" s="15">
        <v>43524</v>
      </c>
      <c r="B1353" s="5">
        <v>-168463233033111</v>
      </c>
      <c r="C1353" s="5">
        <f>[1]!nefin_factors__1[[#This Row],[Rm_minus_Rf]]/B1352-1</f>
        <v>-0.39957441738584121</v>
      </c>
      <c r="D1353" s="5">
        <v>986945462089487</v>
      </c>
      <c r="E1353" s="5">
        <f>[1]!nefin_factors__1[[#This Row],[SMB]]/D1352-1</f>
        <v>5.3795742717931985</v>
      </c>
      <c r="F1353" s="5">
        <v>-609345103380889</v>
      </c>
      <c r="G1353" s="5">
        <f>[1]!nefin_factors__1[[#This Row],[HML]]/F1352-1</f>
        <v>-1.9626640643488438</v>
      </c>
      <c r="H1353" s="5">
        <v>246202489047498</v>
      </c>
      <c r="I1353" s="6">
        <f>[1]!nefin_factors__1[[#This Row],[Risk_Free]]/H1352-1</f>
        <v>0</v>
      </c>
      <c r="J1353">
        <v>91946</v>
      </c>
      <c r="K1353">
        <v>94573</v>
      </c>
      <c r="L1353">
        <v>91946</v>
      </c>
      <c r="M1353">
        <v>94485</v>
      </c>
      <c r="N1353">
        <v>5397000</v>
      </c>
      <c r="O1353">
        <v>94485</v>
      </c>
      <c r="P1353">
        <v>2.7614034324494802E-2</v>
      </c>
      <c r="Q1353">
        <v>2.72396435411154E-2</v>
      </c>
      <c r="R1353" s="8">
        <v>41.456737518310497</v>
      </c>
      <c r="S1353" s="8">
        <v>6.3424922497764796E-2</v>
      </c>
      <c r="T1353" s="9">
        <v>6.1494758429759697E-2</v>
      </c>
      <c r="U1353" s="12">
        <v>2.462E-2</v>
      </c>
      <c r="V1353" s="16">
        <v>3.9649999999999999</v>
      </c>
      <c r="W1353" s="17">
        <f t="shared" si="21"/>
        <v>4.9932831470356209E-3</v>
      </c>
    </row>
    <row r="1354" spans="1:23" x14ac:dyDescent="0.2">
      <c r="A1354" s="14">
        <v>43525</v>
      </c>
      <c r="B1354" s="3">
        <v>-852694029544187</v>
      </c>
      <c r="C1354" s="3">
        <f>[1]!nefin_factors__1[[#This Row],[Rm_minus_Rf]]/B1353-1</f>
        <v>4.0616031414794955</v>
      </c>
      <c r="D1354" s="3">
        <v>845036171036865</v>
      </c>
      <c r="E1354" s="3">
        <f>[1]!nefin_factors__1[[#This Row],[SMB]]/D1353-1</f>
        <v>-0.14378635548126673</v>
      </c>
      <c r="F1354" s="3">
        <v>619856500827731</v>
      </c>
      <c r="G1354" s="3">
        <f>[1]!nefin_factors__1[[#This Row],[HML]]/F1353-1</f>
        <v>-2.0172503190532272</v>
      </c>
      <c r="H1354" s="3">
        <v>246575519610381</v>
      </c>
      <c r="I1354" s="4">
        <f>[1]!nefin_factors__1[[#This Row],[Risk_Free]]/H1353-1</f>
        <v>1.5151372527799634E-3</v>
      </c>
      <c r="J1354">
        <v>94485</v>
      </c>
      <c r="K1354">
        <v>95212</v>
      </c>
      <c r="L1354">
        <v>93883</v>
      </c>
      <c r="M1354">
        <v>94361</v>
      </c>
      <c r="N1354">
        <v>4232500</v>
      </c>
      <c r="O1354">
        <v>94361</v>
      </c>
      <c r="P1354">
        <v>-1.31237762607816E-3</v>
      </c>
      <c r="Q1354">
        <v>-1.31323954778859E-3</v>
      </c>
      <c r="R1354" s="8">
        <v>40.879802703857401</v>
      </c>
      <c r="S1354" s="8">
        <v>-1.3916502102289599E-2</v>
      </c>
      <c r="T1354" s="9">
        <v>-1.40142444987062E-2</v>
      </c>
      <c r="U1354" s="12">
        <v>2.462E-2</v>
      </c>
      <c r="V1354" s="16">
        <v>3.9388000000000001</v>
      </c>
      <c r="W1354" s="17">
        <f t="shared" si="21"/>
        <v>-6.6078184110970328E-3</v>
      </c>
    </row>
    <row r="1355" spans="1:23" x14ac:dyDescent="0.2">
      <c r="A1355" s="15">
        <v>43530</v>
      </c>
      <c r="B1355" s="5">
        <v>-571171106794528</v>
      </c>
      <c r="C1355" s="5">
        <f>[1]!nefin_factors__1[[#This Row],[Rm_minus_Rf]]/B1354-1</f>
        <v>-0.33015702349897869</v>
      </c>
      <c r="D1355" s="5">
        <v>-581455770136231</v>
      </c>
      <c r="E1355" s="5">
        <f>[1]!nefin_factors__1[[#This Row],[SMB]]/D1354-1</f>
        <v>-1.688083883347598</v>
      </c>
      <c r="F1355" s="5">
        <v>-838442550449641</v>
      </c>
      <c r="G1355" s="5">
        <f>[1]!nefin_factors__1[[#This Row],[HML]]/F1354-1</f>
        <v>-2.3526397631226246</v>
      </c>
      <c r="H1355" s="5">
        <v>246202489047498</v>
      </c>
      <c r="I1355" s="6">
        <f>[1]!nefin_factors__1[[#This Row],[Risk_Free]]/H1354-1</f>
        <v>-1.5128450848341801E-3</v>
      </c>
      <c r="J1355">
        <v>94360</v>
      </c>
      <c r="K1355">
        <v>94547</v>
      </c>
      <c r="L1355">
        <v>93300</v>
      </c>
      <c r="M1355">
        <v>93910</v>
      </c>
      <c r="N1355">
        <v>3787800</v>
      </c>
      <c r="O1355">
        <v>93910</v>
      </c>
      <c r="P1355">
        <v>-4.77951696145651E-3</v>
      </c>
      <c r="Q1355">
        <v>-4.7909753776911503E-3</v>
      </c>
      <c r="R1355" s="8">
        <v>39.561100006103501</v>
      </c>
      <c r="S1355" s="8">
        <v>-3.22581344211577E-2</v>
      </c>
      <c r="T1355" s="9">
        <v>-3.2789895058189703E-2</v>
      </c>
      <c r="U1355" s="12">
        <v>2.462E-2</v>
      </c>
      <c r="V1355" s="16">
        <v>3.9624000000000001</v>
      </c>
      <c r="W1355" s="17">
        <f t="shared" si="21"/>
        <v>5.9916725906368207E-3</v>
      </c>
    </row>
    <row r="1356" spans="1:23" x14ac:dyDescent="0.2">
      <c r="A1356" s="14">
        <v>43531</v>
      </c>
      <c r="B1356" s="3">
        <v>13654554597737</v>
      </c>
      <c r="C1356" s="3">
        <f>[1]!nefin_factors__1[[#This Row],[Rm_minus_Rf]]/B1355-1</f>
        <v>-1.0239062418166909</v>
      </c>
      <c r="D1356" s="3">
        <v>126497450611303</v>
      </c>
      <c r="E1356" s="3">
        <f>[1]!nefin_factors__1[[#This Row],[SMB]]/D1355-1</f>
        <v>-1.2175530059348547</v>
      </c>
      <c r="F1356" s="3">
        <v>177061727993042</v>
      </c>
      <c r="G1356" s="3">
        <f>[1]!nefin_factors__1[[#This Row],[HML]]/F1355-1</f>
        <v>-1.2111793203936121</v>
      </c>
      <c r="H1356" s="3">
        <v>246575519610381</v>
      </c>
      <c r="I1356" s="4">
        <f>[1]!nefin_factors__1[[#This Row],[Risk_Free]]/H1355-1</f>
        <v>1.5151372527799634E-3</v>
      </c>
      <c r="J1356">
        <v>93912</v>
      </c>
      <c r="K1356">
        <v>94900</v>
      </c>
      <c r="L1356">
        <v>93545</v>
      </c>
      <c r="M1356">
        <v>93628</v>
      </c>
      <c r="N1356">
        <v>3484700</v>
      </c>
      <c r="O1356">
        <v>93628</v>
      </c>
      <c r="P1356">
        <v>-3.0028750931743202E-3</v>
      </c>
      <c r="Q1356">
        <v>-3.0073927688642598E-3</v>
      </c>
      <c r="R1356" s="8">
        <v>38.984169006347699</v>
      </c>
      <c r="S1356" s="8">
        <v>-1.45832382040222E-2</v>
      </c>
      <c r="T1356" s="9">
        <v>-1.4690618872863799E-2</v>
      </c>
      <c r="U1356" s="12">
        <v>2.462E-2</v>
      </c>
      <c r="V1356" s="16">
        <v>3.988</v>
      </c>
      <c r="W1356" s="17">
        <f t="shared" si="21"/>
        <v>6.4607308701796207E-3</v>
      </c>
    </row>
    <row r="1357" spans="1:23" x14ac:dyDescent="0.2">
      <c r="A1357" s="15">
        <v>43532</v>
      </c>
      <c r="B1357" s="5">
        <v>100835932675266</v>
      </c>
      <c r="C1357" s="5">
        <f>[1]!nefin_factors__1[[#This Row],[Rm_minus_Rf]]/B1356-1</f>
        <v>6.3847837330393604</v>
      </c>
      <c r="D1357" s="5">
        <v>-990967853314552</v>
      </c>
      <c r="E1357" s="5">
        <f>[1]!nefin_factors__1[[#This Row],[SMB]]/D1356-1</f>
        <v>-8.8338958494868312</v>
      </c>
      <c r="F1357" s="5">
        <v>-516332742031899</v>
      </c>
      <c r="G1357" s="5">
        <f>[1]!nefin_factors__1[[#This Row],[HML]]/F1356-1</f>
        <v>-3.9161171523876086</v>
      </c>
      <c r="H1357" s="5">
        <v>246575519610381</v>
      </c>
      <c r="I1357" s="6">
        <f>[1]!nefin_factors__1[[#This Row],[Risk_Free]]/H1356-1</f>
        <v>0</v>
      </c>
      <c r="J1357">
        <v>93626</v>
      </c>
      <c r="K1357">
        <v>95444</v>
      </c>
      <c r="L1357">
        <v>93626</v>
      </c>
      <c r="M1357">
        <v>94864</v>
      </c>
      <c r="N1357">
        <v>2544800</v>
      </c>
      <c r="O1357">
        <v>94864</v>
      </c>
      <c r="P1357">
        <v>1.32011791344468E-2</v>
      </c>
      <c r="Q1357">
        <v>1.3114802917353801E-2</v>
      </c>
      <c r="R1357" s="8">
        <v>39.3138427734375</v>
      </c>
      <c r="S1357" s="8">
        <v>8.4566036389914796E-3</v>
      </c>
      <c r="T1357" s="9">
        <v>8.4210468853856794E-3</v>
      </c>
      <c r="U1357" s="12">
        <v>2.462E-2</v>
      </c>
      <c r="V1357" s="16">
        <v>3.9344000000000001</v>
      </c>
      <c r="W1357" s="17">
        <f t="shared" si="21"/>
        <v>-1.3440320962888608E-2</v>
      </c>
    </row>
    <row r="1358" spans="1:23" x14ac:dyDescent="0.2">
      <c r="A1358" s="14">
        <v>43535</v>
      </c>
      <c r="B1358" s="3">
        <v>24328384925868</v>
      </c>
      <c r="C1358" s="3">
        <f>[1]!nefin_factors__1[[#This Row],[Rm_minus_Rf]]/B1357-1</f>
        <v>-0.75873298059119854</v>
      </c>
      <c r="D1358" s="3">
        <v>-342824136449852</v>
      </c>
      <c r="E1358" s="3">
        <f>[1]!nefin_factors__1[[#This Row],[SMB]]/D1357-1</f>
        <v>-0.65405120327245059</v>
      </c>
      <c r="F1358" s="3">
        <v>384785710535446</v>
      </c>
      <c r="G1358" s="3">
        <f>[1]!nefin_factors__1[[#This Row],[HML]]/F1357-1</f>
        <v>-1.7452281817752204</v>
      </c>
      <c r="H1358" s="3">
        <v>246575519610381</v>
      </c>
      <c r="I1358" s="4">
        <f>[1]!nefin_factors__1[[#This Row],[Risk_Free]]/H1357-1</f>
        <v>0</v>
      </c>
      <c r="J1358">
        <v>94863</v>
      </c>
      <c r="K1358">
        <v>96552</v>
      </c>
      <c r="L1358">
        <v>94707</v>
      </c>
      <c r="M1358">
        <v>96393</v>
      </c>
      <c r="N1358">
        <v>6383100</v>
      </c>
      <c r="O1358">
        <v>96393</v>
      </c>
      <c r="P1358">
        <v>1.61178107606679E-2</v>
      </c>
      <c r="Q1358">
        <v>1.5989297907072202E-2</v>
      </c>
      <c r="R1358" s="8">
        <v>40.220451354980497</v>
      </c>
      <c r="S1358" s="8">
        <v>2.30607432433294E-2</v>
      </c>
      <c r="T1358" s="9">
        <v>2.27988627661737E-2</v>
      </c>
      <c r="U1358" s="12">
        <v>2.462E-2</v>
      </c>
      <c r="V1358" s="16">
        <v>3.9672999999999998</v>
      </c>
      <c r="W1358" s="17">
        <f t="shared" si="21"/>
        <v>8.3621390809272E-3</v>
      </c>
    </row>
    <row r="1359" spans="1:23" x14ac:dyDescent="0.2">
      <c r="A1359" s="15">
        <v>43536</v>
      </c>
      <c r="B1359" s="5">
        <v>-221281695166526</v>
      </c>
      <c r="C1359" s="5">
        <f>[1]!nefin_factors__1[[#This Row],[Rm_minus_Rf]]/B1358-1</f>
        <v>-10.095617972208281</v>
      </c>
      <c r="D1359" s="5">
        <v>-255666725647462</v>
      </c>
      <c r="E1359" s="5">
        <f>[1]!nefin_factors__1[[#This Row],[SMB]]/D1358-1</f>
        <v>-0.25423358957440068</v>
      </c>
      <c r="F1359" s="5">
        <v>191834246073652</v>
      </c>
      <c r="G1359" s="5">
        <f>[1]!nefin_factors__1[[#This Row],[HML]]/F1358-1</f>
        <v>-0.50145174100486645</v>
      </c>
      <c r="H1359" s="5">
        <v>246575519610381</v>
      </c>
      <c r="I1359" s="6">
        <f>[1]!nefin_factors__1[[#This Row],[Risk_Free]]/H1358-1</f>
        <v>0</v>
      </c>
      <c r="J1359">
        <v>96389</v>
      </c>
      <c r="K1359">
        <v>96986</v>
      </c>
      <c r="L1359">
        <v>95690</v>
      </c>
      <c r="M1359">
        <v>96567</v>
      </c>
      <c r="N1359">
        <v>4559100</v>
      </c>
      <c r="O1359">
        <v>96567</v>
      </c>
      <c r="P1359">
        <v>1.80511032958819E-3</v>
      </c>
      <c r="Q1359">
        <v>1.80348307589121E-3</v>
      </c>
      <c r="R1359" s="8">
        <v>40.261661529541001</v>
      </c>
      <c r="S1359" s="8">
        <v>1.02467925623984E-3</v>
      </c>
      <c r="T1359" s="9">
        <v>1.02415463080203E-3</v>
      </c>
      <c r="U1359" s="12">
        <v>2.462E-2</v>
      </c>
      <c r="V1359" s="16">
        <v>3.9578000000000002</v>
      </c>
      <c r="W1359" s="17">
        <f t="shared" si="21"/>
        <v>-2.394575655987552E-3</v>
      </c>
    </row>
    <row r="1360" spans="1:23" x14ac:dyDescent="0.2">
      <c r="A1360" s="14">
        <v>43537</v>
      </c>
      <c r="B1360" s="3">
        <v>896413646553318</v>
      </c>
      <c r="C1360" s="3">
        <f>[1]!nefin_factors__1[[#This Row],[Rm_minus_Rf]]/B1359-1</f>
        <v>-5.0510067761308504</v>
      </c>
      <c r="D1360" s="3">
        <v>-228808350074844</v>
      </c>
      <c r="E1360" s="3">
        <f>[1]!nefin_factors__1[[#This Row],[SMB]]/D1359-1</f>
        <v>-0.10505229221597234</v>
      </c>
      <c r="F1360" s="3">
        <v>853240003468858</v>
      </c>
      <c r="G1360" s="3">
        <f>[1]!nefin_factors__1[[#This Row],[HML]]/F1359-1</f>
        <v>3.4477981430972902</v>
      </c>
      <c r="H1360" s="3">
        <v>246575519610381</v>
      </c>
      <c r="I1360" s="4">
        <f>[1]!nefin_factors__1[[#This Row],[Risk_Free]]/H1359-1</f>
        <v>0</v>
      </c>
      <c r="J1360">
        <v>96566</v>
      </c>
      <c r="K1360">
        <v>97939</v>
      </c>
      <c r="L1360">
        <v>96511</v>
      </c>
      <c r="M1360">
        <v>97457</v>
      </c>
      <c r="N1360">
        <v>4398200</v>
      </c>
      <c r="O1360">
        <v>97457</v>
      </c>
      <c r="P1360">
        <v>9.2163989768760998E-3</v>
      </c>
      <c r="Q1360">
        <v>9.1741871343891893E-3</v>
      </c>
      <c r="R1360" s="8">
        <v>42.470489501953097</v>
      </c>
      <c r="S1360" s="8">
        <v>5.4861804160952099E-2</v>
      </c>
      <c r="T1360" s="9">
        <v>5.3409767031284902E-2</v>
      </c>
      <c r="U1360" s="12">
        <v>2.462E-2</v>
      </c>
      <c r="V1360" s="16">
        <v>3.9889999999999999</v>
      </c>
      <c r="W1360" s="17">
        <f t="shared" si="21"/>
        <v>7.8831674162411769E-3</v>
      </c>
    </row>
    <row r="1361" spans="1:23" x14ac:dyDescent="0.2">
      <c r="A1361" s="15">
        <v>43538</v>
      </c>
      <c r="B1361" s="5">
        <v>-37689076784412</v>
      </c>
      <c r="C1361" s="5">
        <f>[1]!nefin_factors__1[[#This Row],[Rm_minus_Rf]]/B1360-1</f>
        <v>-1.0420442916384922</v>
      </c>
      <c r="D1361" s="5">
        <v>141925600392339</v>
      </c>
      <c r="E1361" s="5">
        <f>[1]!nefin_factors__1[[#This Row],[SMB]]/D1360-1</f>
        <v>-1.6202815602923348</v>
      </c>
      <c r="F1361" s="5">
        <v>191858393759502</v>
      </c>
      <c r="G1361" s="5">
        <f>[1]!nefin_factors__1[[#This Row],[HML]]/F1360-1</f>
        <v>-0.77514135181250376</v>
      </c>
      <c r="H1361" s="5">
        <v>246202489047498</v>
      </c>
      <c r="I1361" s="6">
        <f>[1]!nefin_factors__1[[#This Row],[Risk_Free]]/H1360-1</f>
        <v>-1.5128450848341801E-3</v>
      </c>
      <c r="J1361">
        <v>97420</v>
      </c>
      <c r="K1361">
        <v>97992</v>
      </c>
      <c r="L1361">
        <v>96792</v>
      </c>
      <c r="M1361">
        <v>97030</v>
      </c>
      <c r="N1361">
        <v>5089500</v>
      </c>
      <c r="O1361">
        <v>97030</v>
      </c>
      <c r="P1361">
        <v>-4.3814194978297697E-3</v>
      </c>
      <c r="Q1361">
        <v>-4.39104604515654E-3</v>
      </c>
      <c r="R1361" s="8">
        <v>42.544666290283203</v>
      </c>
      <c r="S1361" s="8">
        <v>1.74652576683254E-3</v>
      </c>
      <c r="T1361" s="9">
        <v>1.74500236422212E-3</v>
      </c>
      <c r="U1361" s="12">
        <v>2.462E-2</v>
      </c>
      <c r="V1361" s="16">
        <v>3.9788000000000001</v>
      </c>
      <c r="W1361" s="17">
        <f t="shared" si="21"/>
        <v>-2.5570318375531809E-3</v>
      </c>
    </row>
    <row r="1362" spans="1:23" x14ac:dyDescent="0.2">
      <c r="A1362" s="14">
        <v>43539</v>
      </c>
      <c r="B1362" s="3">
        <v>439580594167602</v>
      </c>
      <c r="C1362" s="3">
        <f>[1]!nefin_factors__1[[#This Row],[Rm_minus_Rf]]/B1361-1</f>
        <v>-12.663342052183411</v>
      </c>
      <c r="D1362" s="3">
        <v>138755303964791</v>
      </c>
      <c r="E1362" s="3">
        <f>[1]!nefin_factors__1[[#This Row],[SMB]]/D1361-1</f>
        <v>-2.2337734832785894E-2</v>
      </c>
      <c r="F1362" s="3">
        <v>907837029048771</v>
      </c>
      <c r="G1362" s="3">
        <f>[1]!nefin_factors__1[[#This Row],[HML]]/F1361-1</f>
        <v>3.7318077216197345</v>
      </c>
      <c r="H1362" s="3">
        <v>246202489047498</v>
      </c>
      <c r="I1362" s="4">
        <f>[1]!nefin_factors__1[[#This Row],[Risk_Free]]/H1361-1</f>
        <v>0</v>
      </c>
      <c r="J1362">
        <v>97036</v>
      </c>
      <c r="K1362">
        <v>97757</v>
      </c>
      <c r="L1362">
        <v>96430</v>
      </c>
      <c r="M1362">
        <v>97020</v>
      </c>
      <c r="N1362">
        <v>4547900</v>
      </c>
      <c r="O1362">
        <v>97020</v>
      </c>
      <c r="P1362">
        <v>-1.03060908997255E-4</v>
      </c>
      <c r="Q1362">
        <v>-1.03066220137653E-4</v>
      </c>
      <c r="R1362" s="8">
        <v>42.1985054016113</v>
      </c>
      <c r="S1362" s="8">
        <v>-8.1363641301789302E-3</v>
      </c>
      <c r="T1362" s="9">
        <v>-8.1696449871901597E-3</v>
      </c>
      <c r="U1362" s="12">
        <v>2.462E-2</v>
      </c>
      <c r="V1362" s="16">
        <v>4.0030999999999999</v>
      </c>
      <c r="W1362" s="17">
        <f t="shared" si="21"/>
        <v>6.1073690559967364E-3</v>
      </c>
    </row>
    <row r="1363" spans="1:23" x14ac:dyDescent="0.2">
      <c r="A1363" s="15">
        <v>43542</v>
      </c>
      <c r="B1363" s="5">
        <v>852466384158583</v>
      </c>
      <c r="C1363" s="5">
        <f>[1]!nefin_factors__1[[#This Row],[Rm_minus_Rf]]/B1362-1</f>
        <v>0.93927210497731184</v>
      </c>
      <c r="D1363" s="5">
        <v>414996150727647</v>
      </c>
      <c r="E1363" s="5">
        <f>[1]!nefin_factors__1[[#This Row],[SMB]]/D1362-1</f>
        <v>1.9908489179840778</v>
      </c>
      <c r="F1363" s="5">
        <v>336767689147056</v>
      </c>
      <c r="G1363" s="5">
        <f>[1]!nefin_factors__1[[#This Row],[HML]]/F1362-1</f>
        <v>-0.62904389403468131</v>
      </c>
      <c r="H1363" s="5">
        <v>246202489047498</v>
      </c>
      <c r="I1363" s="6">
        <f>[1]!nefin_factors__1[[#This Row],[Risk_Free]]/H1362-1</f>
        <v>0</v>
      </c>
      <c r="J1363">
        <v>97020</v>
      </c>
      <c r="K1363">
        <v>97723</v>
      </c>
      <c r="L1363">
        <v>96593</v>
      </c>
      <c r="M1363">
        <v>97380</v>
      </c>
      <c r="N1363">
        <v>4293300</v>
      </c>
      <c r="O1363">
        <v>97380</v>
      </c>
      <c r="P1363">
        <v>3.7105751391466298E-3</v>
      </c>
      <c r="Q1363">
        <v>3.70370793748443E-3</v>
      </c>
      <c r="R1363" s="8">
        <v>41.390800476074197</v>
      </c>
      <c r="S1363" s="8">
        <v>-1.9140645251741299E-2</v>
      </c>
      <c r="T1363" s="9">
        <v>-1.9326198962959899E-2</v>
      </c>
      <c r="U1363" s="12">
        <v>2.462E-2</v>
      </c>
      <c r="V1363" s="16">
        <v>4.0137999999999998</v>
      </c>
      <c r="W1363" s="17">
        <f t="shared" si="21"/>
        <v>2.672928480427661E-3</v>
      </c>
    </row>
    <row r="1364" spans="1:23" x14ac:dyDescent="0.2">
      <c r="A1364" s="14">
        <v>43543</v>
      </c>
      <c r="B1364" s="3">
        <v>-2881042067378</v>
      </c>
      <c r="C1364" s="3">
        <f>[1]!nefin_factors__1[[#This Row],[Rm_minus_Rf]]/B1363-1</f>
        <v>-1.0033796547534501</v>
      </c>
      <c r="D1364" s="3">
        <v>351968336252743</v>
      </c>
      <c r="E1364" s="3">
        <f>[1]!nefin_factors__1[[#This Row],[SMB]]/D1363-1</f>
        <v>-0.15187566044743339</v>
      </c>
      <c r="F1364" s="3">
        <v>247869465965745</v>
      </c>
      <c r="G1364" s="3">
        <f>[1]!nefin_factors__1[[#This Row],[HML]]/F1363-1</f>
        <v>-0.26397491815936036</v>
      </c>
      <c r="H1364" s="3">
        <v>246575519610381</v>
      </c>
      <c r="I1364" s="4">
        <f>[1]!nefin_factors__1[[#This Row],[Risk_Free]]/H1363-1</f>
        <v>1.5151372527799634E-3</v>
      </c>
      <c r="J1364">
        <v>97381</v>
      </c>
      <c r="K1364">
        <v>97686</v>
      </c>
      <c r="L1364">
        <v>95686</v>
      </c>
      <c r="M1364">
        <v>95999</v>
      </c>
      <c r="N1364">
        <v>3769100</v>
      </c>
      <c r="O1364">
        <v>95999</v>
      </c>
      <c r="P1364">
        <v>-1.41815567878415E-2</v>
      </c>
      <c r="Q1364">
        <v>-1.42830760076392E-2</v>
      </c>
      <c r="R1364" s="8">
        <v>40.203968048095703</v>
      </c>
      <c r="S1364" s="8">
        <v>-2.8673814779736E-2</v>
      </c>
      <c r="T1364" s="9">
        <v>-2.9092939995341498E-2</v>
      </c>
      <c r="U1364" s="12">
        <v>2.462E-2</v>
      </c>
      <c r="V1364" s="16">
        <v>4.0843999999999996</v>
      </c>
      <c r="W1364" s="17">
        <f t="shared" si="21"/>
        <v>1.7589316856843729E-2</v>
      </c>
    </row>
    <row r="1365" spans="1:23" x14ac:dyDescent="0.2">
      <c r="A1365" s="15">
        <v>43544</v>
      </c>
      <c r="B1365" s="5">
        <v>-15702860261003</v>
      </c>
      <c r="C1365" s="5">
        <f>[1]!nefin_factors__1[[#This Row],[Rm_minus_Rf]]/B1364-1</f>
        <v>4.450409918968651</v>
      </c>
      <c r="D1365" s="5">
        <v>166072624490637</v>
      </c>
      <c r="E1365" s="5">
        <f>[1]!nefin_factors__1[[#This Row],[SMB]]/D1364-1</f>
        <v>-0.52816032754894515</v>
      </c>
      <c r="F1365" s="5">
        <v>-190213059365619</v>
      </c>
      <c r="G1365" s="5">
        <f>[1]!nefin_factors__1[[#This Row],[HML]]/F1364-1</f>
        <v>-1.7673920570430648</v>
      </c>
      <c r="H1365" s="5">
        <v>246202489047498</v>
      </c>
      <c r="I1365" s="6">
        <f>[1]!nefin_factors__1[[#This Row],[Risk_Free]]/H1364-1</f>
        <v>-1.5128450848341801E-3</v>
      </c>
      <c r="J1365">
        <v>96002</v>
      </c>
      <c r="K1365">
        <v>97462</v>
      </c>
      <c r="L1365">
        <v>96002</v>
      </c>
      <c r="M1365">
        <v>97205</v>
      </c>
      <c r="N1365">
        <v>4054900</v>
      </c>
      <c r="O1365">
        <v>97205</v>
      </c>
      <c r="P1365">
        <v>1.2562630860738101E-2</v>
      </c>
      <c r="Q1365">
        <v>1.2484375725687301E-2</v>
      </c>
      <c r="R1365" s="8">
        <v>40.385288238525398</v>
      </c>
      <c r="S1365" s="8">
        <v>4.5100537813087503E-3</v>
      </c>
      <c r="T1365" s="9">
        <v>4.4999139647348202E-3</v>
      </c>
      <c r="U1365" s="12">
        <v>2.462E-2</v>
      </c>
      <c r="V1365" s="16">
        <v>4.1055999999999999</v>
      </c>
      <c r="W1365" s="17">
        <f t="shared" si="21"/>
        <v>5.1904808539811054E-3</v>
      </c>
    </row>
    <row r="1366" spans="1:23" x14ac:dyDescent="0.2">
      <c r="A1366" s="14">
        <v>43545</v>
      </c>
      <c r="B1366" s="3">
        <v>-123911391351492</v>
      </c>
      <c r="C1366" s="3">
        <f>[1]!nefin_factors__1[[#This Row],[Rm_minus_Rf]]/B1365-1</f>
        <v>6.8910077076351257</v>
      </c>
      <c r="D1366" s="3">
        <v>-13830024467271</v>
      </c>
      <c r="E1366" s="3">
        <f>[1]!nefin_factors__1[[#This Row],[SMB]]/D1365-1</f>
        <v>-1.0832769669877211</v>
      </c>
      <c r="F1366" s="3">
        <v>-231387489563055</v>
      </c>
      <c r="G1366" s="3">
        <f>[1]!nefin_factors__1[[#This Row],[HML]]/F1365-1</f>
        <v>0.2164647912964397</v>
      </c>
      <c r="H1366" s="3">
        <v>246202489047498</v>
      </c>
      <c r="I1366" s="4">
        <f>[1]!nefin_factors__1[[#This Row],[Risk_Free]]/H1365-1</f>
        <v>0</v>
      </c>
      <c r="J1366">
        <v>97205</v>
      </c>
      <c r="K1366">
        <v>98326</v>
      </c>
      <c r="L1366">
        <v>97205</v>
      </c>
      <c r="M1366">
        <v>97821</v>
      </c>
      <c r="N1366">
        <v>3718500</v>
      </c>
      <c r="O1366">
        <v>97821</v>
      </c>
      <c r="P1366">
        <v>6.33712257599917E-3</v>
      </c>
      <c r="Q1366">
        <v>6.31712744466611E-3</v>
      </c>
      <c r="R1366" s="8">
        <v>40.591335296630902</v>
      </c>
      <c r="S1366" s="8">
        <v>5.1020072409495602E-3</v>
      </c>
      <c r="T1366" s="9">
        <v>5.0890361025271299E-3</v>
      </c>
      <c r="U1366" s="12">
        <v>2.462E-2</v>
      </c>
      <c r="V1366" s="16">
        <v>4.0810000000000004</v>
      </c>
      <c r="W1366" s="17">
        <f t="shared" si="21"/>
        <v>-5.9918160561183154E-3</v>
      </c>
    </row>
    <row r="1367" spans="1:23" x14ac:dyDescent="0.2">
      <c r="A1367" s="15">
        <v>43546</v>
      </c>
      <c r="B1367" s="5">
        <v>-295880155078681</v>
      </c>
      <c r="C1367" s="5">
        <f>[1]!nefin_factors__1[[#This Row],[Rm_minus_Rf]]/B1366-1</f>
        <v>1.3878365971969076</v>
      </c>
      <c r="D1367" s="5">
        <v>258928945302489</v>
      </c>
      <c r="E1367" s="5">
        <f>[1]!nefin_factors__1[[#This Row],[SMB]]/D1366-1</f>
        <v>-19.722233349279243</v>
      </c>
      <c r="F1367" s="5">
        <v>-825617551998672</v>
      </c>
      <c r="G1367" s="5">
        <f>[1]!nefin_factors__1[[#This Row],[HML]]/F1366-1</f>
        <v>2.5681166408682801</v>
      </c>
      <c r="H1367" s="5">
        <v>246575519610381</v>
      </c>
      <c r="I1367" s="6">
        <f>[1]!nefin_factors__1[[#This Row],[Risk_Free]]/H1366-1</f>
        <v>1.5151372527799634E-3</v>
      </c>
      <c r="J1367">
        <v>97828</v>
      </c>
      <c r="K1367">
        <v>97856</v>
      </c>
      <c r="L1367">
        <v>96782</v>
      </c>
      <c r="M1367">
        <v>97467</v>
      </c>
      <c r="N1367">
        <v>3584000</v>
      </c>
      <c r="O1367">
        <v>97467</v>
      </c>
      <c r="P1367">
        <v>-3.61885484711877E-3</v>
      </c>
      <c r="Q1367">
        <v>-3.62541874296343E-3</v>
      </c>
      <c r="R1367" s="8">
        <v>40.063854217529297</v>
      </c>
      <c r="S1367" s="8">
        <v>-1.29949146868308E-2</v>
      </c>
      <c r="T1367" s="9">
        <v>-1.30800872689506E-2</v>
      </c>
      <c r="U1367" s="12">
        <v>2.462E-2</v>
      </c>
      <c r="V1367" s="16">
        <v>4.0228000000000002</v>
      </c>
      <c r="W1367" s="17">
        <f t="shared" si="21"/>
        <v>-1.4261210487625631E-2</v>
      </c>
    </row>
    <row r="1368" spans="1:23" x14ac:dyDescent="0.2">
      <c r="A1368" s="14">
        <v>43549</v>
      </c>
      <c r="B1368" s="3">
        <v>-2229801301</v>
      </c>
      <c r="C1368" s="3">
        <f>[1]!nefin_factors__1[[#This Row],[Rm_minus_Rf]]/B1367-1</f>
        <v>-0.99999246383624341</v>
      </c>
      <c r="D1368" s="3">
        <v>352730405748678</v>
      </c>
      <c r="E1368" s="3">
        <f>[1]!nefin_factors__1[[#This Row],[SMB]]/D1367-1</f>
        <v>0.36226718622210097</v>
      </c>
      <c r="F1368" s="3">
        <v>734433357282806</v>
      </c>
      <c r="G1368" s="3">
        <f>[1]!nefin_factors__1[[#This Row],[HML]]/F1367-1</f>
        <v>-1.8895563757152141</v>
      </c>
      <c r="H1368" s="3">
        <v>246575519610381</v>
      </c>
      <c r="I1368" s="4">
        <f>[1]!nefin_factors__1[[#This Row],[Risk_Free]]/H1367-1</f>
        <v>0</v>
      </c>
      <c r="J1368">
        <v>97467</v>
      </c>
      <c r="K1368">
        <v>98985</v>
      </c>
      <c r="L1368">
        <v>97467</v>
      </c>
      <c r="M1368">
        <v>98960</v>
      </c>
      <c r="N1368">
        <v>4922400</v>
      </c>
      <c r="O1368">
        <v>98960</v>
      </c>
      <c r="P1368">
        <v>1.5318005068382099E-2</v>
      </c>
      <c r="Q1368">
        <v>1.52018689099266E-2</v>
      </c>
      <c r="R1368" s="8">
        <v>40.467708587646499</v>
      </c>
      <c r="S1368" s="8">
        <v>1.00802412235921E-2</v>
      </c>
      <c r="T1368" s="9">
        <v>1.00297744534735E-2</v>
      </c>
      <c r="U1368" s="12">
        <v>2.462E-2</v>
      </c>
      <c r="V1368" s="16">
        <v>4.0513000000000003</v>
      </c>
      <c r="W1368" s="17">
        <f t="shared" si="21"/>
        <v>7.084617679228522E-3</v>
      </c>
    </row>
    <row r="1369" spans="1:23" x14ac:dyDescent="0.2">
      <c r="A1369" s="15">
        <v>43550</v>
      </c>
      <c r="B1369" s="5">
        <v>17806271151504</v>
      </c>
      <c r="C1369" s="5">
        <f>[1]!nefin_factors__1[[#This Row],[Rm_minus_Rf]]/B1368-1</f>
        <v>-7986.5864930738062</v>
      </c>
      <c r="D1369" s="5">
        <v>-280511956960876</v>
      </c>
      <c r="E1369" s="5">
        <f>[1]!nefin_factors__1[[#This Row],[SMB]]/D1368-1</f>
        <v>-1.7952587936542732</v>
      </c>
      <c r="F1369" s="5">
        <v>158057120839081</v>
      </c>
      <c r="G1369" s="5">
        <f>[1]!nefin_factors__1[[#This Row],[HML]]/F1368-1</f>
        <v>-0.78479038394464096</v>
      </c>
      <c r="H1369" s="5">
        <v>246575519610381</v>
      </c>
      <c r="I1369" s="6">
        <f>[1]!nefin_factors__1[[#This Row],[Risk_Free]]/H1368-1</f>
        <v>0</v>
      </c>
      <c r="J1369">
        <v>98960</v>
      </c>
      <c r="K1369">
        <v>99240</v>
      </c>
      <c r="L1369">
        <v>97831</v>
      </c>
      <c r="M1369">
        <v>98321</v>
      </c>
      <c r="N1369">
        <v>4948800</v>
      </c>
      <c r="O1369">
        <v>98321</v>
      </c>
      <c r="P1369">
        <v>-6.4571544058205097E-3</v>
      </c>
      <c r="Q1369">
        <v>-6.4780920075494797E-3</v>
      </c>
      <c r="R1369" s="8">
        <v>40.113307952880902</v>
      </c>
      <c r="S1369" s="8">
        <v>-8.7576370674612401E-3</v>
      </c>
      <c r="T1369" s="9">
        <v>-8.79621054443489E-3</v>
      </c>
      <c r="U1369" s="12">
        <v>2.462E-2</v>
      </c>
      <c r="V1369" s="16">
        <v>4.0321999999999996</v>
      </c>
      <c r="W1369" s="17">
        <f t="shared" si="21"/>
        <v>-4.714536074840403E-3</v>
      </c>
    </row>
    <row r="1370" spans="1:23" x14ac:dyDescent="0.2">
      <c r="A1370" s="14">
        <v>43551</v>
      </c>
      <c r="B1370" s="3">
        <v>-346290048235542</v>
      </c>
      <c r="C1370" s="3">
        <f>[1]!nefin_factors__1[[#This Row],[Rm_minus_Rf]]/B1369-1</f>
        <v>-20.447645455308745</v>
      </c>
      <c r="D1370" s="3">
        <v>247569829012827</v>
      </c>
      <c r="E1370" s="3">
        <f>[1]!nefin_factors__1[[#This Row],[SMB]]/D1369-1</f>
        <v>-1.8825642646219052</v>
      </c>
      <c r="F1370" s="3">
        <v>-130093545411901</v>
      </c>
      <c r="G1370" s="3">
        <f>[1]!nefin_factors__1[[#This Row],[HML]]/F1369-1</f>
        <v>-1.8230793065271009</v>
      </c>
      <c r="H1370" s="3">
        <v>246948515258083</v>
      </c>
      <c r="I1370" s="4">
        <f>[1]!nefin_factors__1[[#This Row],[Risk_Free]]/H1369-1</f>
        <v>1.5127034844797382E-3</v>
      </c>
      <c r="J1370">
        <v>98321</v>
      </c>
      <c r="K1370">
        <v>99364</v>
      </c>
      <c r="L1370">
        <v>98321</v>
      </c>
      <c r="M1370">
        <v>98774</v>
      </c>
      <c r="N1370">
        <v>5594000</v>
      </c>
      <c r="O1370">
        <v>98774</v>
      </c>
      <c r="P1370">
        <v>4.6073575329788098E-3</v>
      </c>
      <c r="Q1370">
        <v>4.5967761502877097E-3</v>
      </c>
      <c r="R1370" s="8">
        <v>41.201236724853501</v>
      </c>
      <c r="S1370" s="8">
        <v>2.7121386339685999E-2</v>
      </c>
      <c r="T1370" s="9">
        <v>2.6760119034656402E-2</v>
      </c>
      <c r="U1370" s="12">
        <v>2.462E-2</v>
      </c>
      <c r="V1370" s="16">
        <v>4.0209999999999999</v>
      </c>
      <c r="W1370" s="17">
        <f t="shared" si="21"/>
        <v>-2.7776399980158351E-3</v>
      </c>
    </row>
    <row r="1371" spans="1:23" x14ac:dyDescent="0.2">
      <c r="A1371" s="15">
        <v>43552</v>
      </c>
      <c r="B1371" s="5">
        <v>248948346211015</v>
      </c>
      <c r="C1371" s="5">
        <f>[1]!nefin_factors__1[[#This Row],[Rm_minus_Rf]]/B1370-1</f>
        <v>-1.7189012432770912</v>
      </c>
      <c r="D1371" s="5">
        <v>-125877704150551</v>
      </c>
      <c r="E1371" s="5">
        <f>[1]!nefin_factors__1[[#This Row],[SMB]]/D1370-1</f>
        <v>-1.5084533307329184</v>
      </c>
      <c r="F1371" s="5">
        <v>184237146859727</v>
      </c>
      <c r="G1371" s="5">
        <f>[1]!nefin_factors__1[[#This Row],[HML]]/F1370-1</f>
        <v>-2.4161897600407229</v>
      </c>
      <c r="H1371" s="5">
        <v>246575519610381</v>
      </c>
      <c r="I1371" s="6">
        <f>[1]!nefin_factors__1[[#This Row],[Risk_Free]]/H1370-1</f>
        <v>-1.5104186688961185E-3</v>
      </c>
      <c r="J1371">
        <v>98776</v>
      </c>
      <c r="K1371">
        <v>98981</v>
      </c>
      <c r="L1371">
        <v>97601</v>
      </c>
      <c r="M1371">
        <v>98040</v>
      </c>
      <c r="N1371">
        <v>9184900</v>
      </c>
      <c r="O1371">
        <v>98040</v>
      </c>
      <c r="P1371">
        <v>-7.4311053516107296E-3</v>
      </c>
      <c r="Q1371">
        <v>-7.4588535670587304E-3</v>
      </c>
      <c r="R1371" s="8">
        <v>41.662784576416001</v>
      </c>
      <c r="S1371" s="8">
        <v>1.12022795325388E-2</v>
      </c>
      <c r="T1371" s="9">
        <v>1.11399986924669E-2</v>
      </c>
      <c r="U1371" s="12">
        <v>2.462E-2</v>
      </c>
      <c r="V1371" s="16">
        <v>4.0274999999999999</v>
      </c>
      <c r="W1371" s="17">
        <f t="shared" si="21"/>
        <v>1.6165133051480041E-3</v>
      </c>
    </row>
    <row r="1372" spans="1:23" x14ac:dyDescent="0.2">
      <c r="A1372" s="14">
        <v>43553</v>
      </c>
      <c r="B1372" s="3">
        <v>968799797836757</v>
      </c>
      <c r="C1372" s="3">
        <f>[1]!nefin_factors__1[[#This Row],[Rm_minus_Rf]]/B1371-1</f>
        <v>2.891569526698432</v>
      </c>
      <c r="D1372" s="3">
        <v>-610248718511757</v>
      </c>
      <c r="E1372" s="3">
        <f>[1]!nefin_factors__1[[#This Row],[SMB]]/D1371-1</f>
        <v>3.8479492268296651</v>
      </c>
      <c r="F1372" s="3">
        <v>252143745005964</v>
      </c>
      <c r="G1372" s="3">
        <f>[1]!nefin_factors__1[[#This Row],[HML]]/F1371-1</f>
        <v>0.36858255408144802</v>
      </c>
      <c r="H1372" s="3">
        <v>246948515258083</v>
      </c>
      <c r="I1372" s="4">
        <f>[1]!nefin_factors__1[[#This Row],[Risk_Free]]/H1371-1</f>
        <v>1.5127034844797382E-3</v>
      </c>
      <c r="J1372">
        <v>98038</v>
      </c>
      <c r="K1372">
        <v>98439</v>
      </c>
      <c r="L1372">
        <v>97623</v>
      </c>
      <c r="M1372">
        <v>97623</v>
      </c>
      <c r="N1372">
        <v>3926300</v>
      </c>
      <c r="O1372">
        <v>97623</v>
      </c>
      <c r="P1372">
        <v>-4.2533659730722402E-3</v>
      </c>
      <c r="Q1372">
        <v>-4.2624372656119899E-3</v>
      </c>
      <c r="R1372" s="8">
        <v>42.074878692627003</v>
      </c>
      <c r="S1372" s="8">
        <v>9.8912243592350606E-3</v>
      </c>
      <c r="T1372" s="9">
        <v>9.8426263990288795E-3</v>
      </c>
      <c r="U1372" s="12">
        <v>2.462E-2</v>
      </c>
      <c r="V1372" s="16">
        <v>3.9965000000000002</v>
      </c>
      <c r="W1372" s="17">
        <f t="shared" si="21"/>
        <v>-7.6970825574176338E-3</v>
      </c>
    </row>
    <row r="1373" spans="1:23" x14ac:dyDescent="0.2">
      <c r="A1373" s="15">
        <v>43556</v>
      </c>
      <c r="B1373" s="5">
        <v>572945669035693</v>
      </c>
      <c r="C1373" s="5">
        <f>[1]!nefin_factors__1[[#This Row],[Rm_minus_Rf]]/B1372-1</f>
        <v>-0.40860261292887423</v>
      </c>
      <c r="D1373" s="5">
        <v>645557905621621</v>
      </c>
      <c r="E1373" s="5">
        <f>[1]!nefin_factors__1[[#This Row],[SMB]]/D1372-1</f>
        <v>-2.0578603216012876</v>
      </c>
      <c r="F1373" s="5">
        <v>119973012601735</v>
      </c>
      <c r="G1373" s="5">
        <f>[1]!nefin_factors__1[[#This Row],[HML]]/F1372-1</f>
        <v>-0.52418802775021345</v>
      </c>
      <c r="H1373" s="5">
        <v>246948515258083</v>
      </c>
      <c r="I1373" s="6">
        <f>[1]!nefin_factors__1[[#This Row],[Risk_Free]]/H1372-1</f>
        <v>0</v>
      </c>
      <c r="J1373">
        <v>97633</v>
      </c>
      <c r="K1373">
        <v>99412</v>
      </c>
      <c r="L1373">
        <v>97633</v>
      </c>
      <c r="M1373">
        <v>99404</v>
      </c>
      <c r="N1373">
        <v>4524500</v>
      </c>
      <c r="O1373">
        <v>99404</v>
      </c>
      <c r="P1373">
        <v>1.8243651598496301E-2</v>
      </c>
      <c r="Q1373">
        <v>1.8079232907255299E-2</v>
      </c>
      <c r="R1373" s="8">
        <v>41.860588073730497</v>
      </c>
      <c r="S1373" s="8">
        <v>-5.0931223166841297E-3</v>
      </c>
      <c r="T1373" s="9">
        <v>-5.1061364714109396E-3</v>
      </c>
      <c r="U1373" s="12">
        <v>2.462E-2</v>
      </c>
      <c r="V1373" s="16">
        <v>3.972</v>
      </c>
      <c r="W1373" s="17">
        <f t="shared" si="21"/>
        <v>-6.1303640685600458E-3</v>
      </c>
    </row>
    <row r="1374" spans="1:23" x14ac:dyDescent="0.2">
      <c r="A1374" s="14">
        <v>43557</v>
      </c>
      <c r="B1374" s="3">
        <v>-668033823025303</v>
      </c>
      <c r="C1374" s="3">
        <f>[1]!nefin_factors__1[[#This Row],[Rm_minus_Rf]]/B1373-1</f>
        <v>-2.1659636491356151</v>
      </c>
      <c r="D1374" s="3">
        <v>107671925169836</v>
      </c>
      <c r="E1374" s="3">
        <f>[1]!nefin_factors__1[[#This Row],[SMB]]/D1373-1</f>
        <v>-0.83321105011307006</v>
      </c>
      <c r="F1374" s="3">
        <v>-371472515739208</v>
      </c>
      <c r="G1374" s="3">
        <f>[1]!nefin_factors__1[[#This Row],[HML]]/F1373-1</f>
        <v>-4.0963006403144693</v>
      </c>
      <c r="H1374" s="3">
        <v>246575519610381</v>
      </c>
      <c r="I1374" s="4">
        <f>[1]!nefin_factors__1[[#This Row],[Risk_Free]]/H1373-1</f>
        <v>-1.5104186688961185E-3</v>
      </c>
      <c r="J1374">
        <v>99403</v>
      </c>
      <c r="K1374">
        <v>100327</v>
      </c>
      <c r="L1374">
        <v>98978</v>
      </c>
      <c r="M1374">
        <v>100303</v>
      </c>
      <c r="N1374">
        <v>4411300</v>
      </c>
      <c r="O1374">
        <v>100303</v>
      </c>
      <c r="P1374">
        <v>9.0439016538570397E-3</v>
      </c>
      <c r="Q1374">
        <v>9.0032504882240107E-3</v>
      </c>
      <c r="R1374" s="8">
        <v>42.816650390625</v>
      </c>
      <c r="S1374" s="8">
        <v>2.2839195205424299E-2</v>
      </c>
      <c r="T1374" s="9">
        <v>2.25822851764221E-2</v>
      </c>
      <c r="U1374" s="12">
        <v>2.462E-2</v>
      </c>
      <c r="V1374" s="16">
        <v>3.9407000000000001</v>
      </c>
      <c r="W1374" s="17">
        <f t="shared" si="21"/>
        <v>-7.8801611278952466E-3</v>
      </c>
    </row>
    <row r="1375" spans="1:23" x14ac:dyDescent="0.2">
      <c r="A1375" s="15">
        <v>43558</v>
      </c>
      <c r="B1375" s="5">
        <v>-714715458937599</v>
      </c>
      <c r="C1375" s="5">
        <f>[1]!nefin_factors__1[[#This Row],[Rm_minus_Rf]]/B1374-1</f>
        <v>6.9879150281478841E-2</v>
      </c>
      <c r="D1375" s="5">
        <v>135825431151171</v>
      </c>
      <c r="E1375" s="5">
        <f>[1]!nefin_factors__1[[#This Row],[SMB]]/D1374-1</f>
        <v>0.26147490106568783</v>
      </c>
      <c r="F1375" s="5">
        <v>-189847491933328</v>
      </c>
      <c r="G1375" s="5">
        <f>[1]!nefin_factors__1[[#This Row],[HML]]/F1374-1</f>
        <v>-0.4889326023069489</v>
      </c>
      <c r="H1375" s="5">
        <v>246575519610381</v>
      </c>
      <c r="I1375" s="6">
        <f>[1]!nefin_factors__1[[#This Row],[Risk_Free]]/H1374-1</f>
        <v>0</v>
      </c>
      <c r="J1375">
        <v>100305</v>
      </c>
      <c r="K1375">
        <v>102100</v>
      </c>
      <c r="L1375">
        <v>100305</v>
      </c>
      <c r="M1375">
        <v>102013</v>
      </c>
      <c r="N1375">
        <v>5490800</v>
      </c>
      <c r="O1375">
        <v>102013</v>
      </c>
      <c r="P1375">
        <v>1.7048343519137098E-2</v>
      </c>
      <c r="Q1375">
        <v>1.6904651353698001E-2</v>
      </c>
      <c r="R1375" s="8">
        <v>43.904579162597699</v>
      </c>
      <c r="S1375" s="8">
        <v>2.5409006242525602E-2</v>
      </c>
      <c r="T1375" s="9">
        <v>2.50915634793944E-2</v>
      </c>
      <c r="U1375" s="12">
        <v>2.462E-2</v>
      </c>
      <c r="V1375" s="16">
        <v>3.9003000000000001</v>
      </c>
      <c r="W1375" s="17">
        <f t="shared" si="21"/>
        <v>-1.025198568782193E-2</v>
      </c>
    </row>
    <row r="1376" spans="1:23" x14ac:dyDescent="0.2">
      <c r="A1376" s="14">
        <v>43559</v>
      </c>
      <c r="B1376" s="3">
        <v>166912618140319</v>
      </c>
      <c r="C1376" s="3">
        <f>[1]!nefin_factors__1[[#This Row],[Rm_minus_Rf]]/B1375-1</f>
        <v>-1.2335371595130027</v>
      </c>
      <c r="D1376" s="3">
        <v>-902947692478227</v>
      </c>
      <c r="E1376" s="3">
        <f>[1]!nefin_factors__1[[#This Row],[SMB]]/D1375-1</f>
        <v>-7.6478544174342744</v>
      </c>
      <c r="F1376" s="3">
        <v>-45913539646989</v>
      </c>
      <c r="G1376" s="3">
        <f>[1]!nefin_factors__1[[#This Row],[HML]]/F1375-1</f>
        <v>-0.75815566916673705</v>
      </c>
      <c r="H1376" s="3">
        <v>246575519610381</v>
      </c>
      <c r="I1376" s="4">
        <f>[1]!nefin_factors__1[[#This Row],[Risk_Free]]/H1375-1</f>
        <v>0</v>
      </c>
      <c r="J1376">
        <v>102018</v>
      </c>
      <c r="K1376">
        <v>102617</v>
      </c>
      <c r="L1376">
        <v>101589</v>
      </c>
      <c r="M1376">
        <v>102062</v>
      </c>
      <c r="N1376">
        <v>3559800</v>
      </c>
      <c r="O1376">
        <v>102062</v>
      </c>
      <c r="P1376">
        <v>4.8033093821375799E-4</v>
      </c>
      <c r="Q1376">
        <v>4.8021561623565298E-4</v>
      </c>
      <c r="R1376" s="8">
        <v>44.127109527587898</v>
      </c>
      <c r="S1376" s="8">
        <v>5.0685208753316101E-3</v>
      </c>
      <c r="T1376" s="9">
        <v>5.05571916234452E-3</v>
      </c>
      <c r="U1376" s="12">
        <v>2.462E-2</v>
      </c>
      <c r="V1376" s="16">
        <v>3.871</v>
      </c>
      <c r="W1376" s="17">
        <f t="shared" si="21"/>
        <v>-7.5122426480014326E-3</v>
      </c>
    </row>
    <row r="1377" spans="1:23" x14ac:dyDescent="0.2">
      <c r="A1377" s="15">
        <v>43560</v>
      </c>
      <c r="B1377" s="5">
        <v>721451073783299</v>
      </c>
      <c r="C1377" s="5">
        <f>[1]!nefin_factors__1[[#This Row],[Rm_minus_Rf]]/B1376-1</f>
        <v>3.3223279451335088</v>
      </c>
      <c r="D1377" s="5">
        <v>-301340582279177</v>
      </c>
      <c r="E1377" s="5">
        <f>[1]!nefin_factors__1[[#This Row],[SMB]]/D1376-1</f>
        <v>-0.66627016737578815</v>
      </c>
      <c r="F1377" s="5">
        <v>-173218123796863</v>
      </c>
      <c r="G1377" s="5">
        <f>[1]!nefin_factors__1[[#This Row],[HML]]/F1376-1</f>
        <v>2.7727024561527704</v>
      </c>
      <c r="H1377" s="5">
        <v>246575519610381</v>
      </c>
      <c r="I1377" s="6">
        <f>[1]!nefin_factors__1[[#This Row],[Risk_Free]]/H1376-1</f>
        <v>0</v>
      </c>
      <c r="J1377">
        <v>102061</v>
      </c>
      <c r="K1377">
        <v>102061</v>
      </c>
      <c r="L1377">
        <v>99890</v>
      </c>
      <c r="M1377">
        <v>100093</v>
      </c>
      <c r="N1377">
        <v>4469200</v>
      </c>
      <c r="O1377">
        <v>100093</v>
      </c>
      <c r="P1377">
        <v>-1.9292194940330399E-2</v>
      </c>
      <c r="Q1377">
        <v>-1.9480717953689199E-2</v>
      </c>
      <c r="R1377" s="8">
        <v>42.454006195068402</v>
      </c>
      <c r="S1377" s="8">
        <v>-3.7915556531609301E-2</v>
      </c>
      <c r="T1377" s="9">
        <v>-3.8653053095616702E-2</v>
      </c>
      <c r="U1377" s="12">
        <v>2.462E-2</v>
      </c>
      <c r="V1377" s="16">
        <v>3.8611</v>
      </c>
      <c r="W1377" s="17">
        <f t="shared" si="21"/>
        <v>-2.557478687677639E-3</v>
      </c>
    </row>
    <row r="1378" spans="1:23" x14ac:dyDescent="0.2">
      <c r="A1378" s="14">
        <v>43563</v>
      </c>
      <c r="B1378" s="3">
        <v>692828027408914</v>
      </c>
      <c r="C1378" s="3">
        <f>[1]!nefin_factors__1[[#This Row],[Rm_minus_Rf]]/B1377-1</f>
        <v>-3.9674272330464944E-2</v>
      </c>
      <c r="D1378" s="3">
        <v>376375918779597</v>
      </c>
      <c r="E1378" s="3">
        <f>[1]!nefin_factors__1[[#This Row],[SMB]]/D1377-1</f>
        <v>-2.2490050823320686</v>
      </c>
      <c r="F1378" s="3">
        <v>770123333545425</v>
      </c>
      <c r="G1378" s="3">
        <f>[1]!nefin_factors__1[[#This Row],[HML]]/F1377-1</f>
        <v>-5.4459743395475577</v>
      </c>
      <c r="H1378" s="3">
        <v>246575519610381</v>
      </c>
      <c r="I1378" s="4">
        <f>[1]!nefin_factors__1[[#This Row],[Risk_Free]]/H1377-1</f>
        <v>0</v>
      </c>
      <c r="J1378">
        <v>100095</v>
      </c>
      <c r="K1378">
        <v>101126</v>
      </c>
      <c r="L1378">
        <v>100095</v>
      </c>
      <c r="M1378">
        <v>100689</v>
      </c>
      <c r="N1378">
        <v>5013800</v>
      </c>
      <c r="O1378">
        <v>100689</v>
      </c>
      <c r="P1378">
        <v>5.9544623500145102E-3</v>
      </c>
      <c r="Q1378">
        <v>5.9368045993452301E-3</v>
      </c>
      <c r="R1378" s="8">
        <v>41.827621459960902</v>
      </c>
      <c r="S1378" s="8">
        <v>-1.4754428841766601E-2</v>
      </c>
      <c r="T1378" s="9">
        <v>-1.48643580622848E-2</v>
      </c>
      <c r="U1378" s="12">
        <v>2.462E-2</v>
      </c>
      <c r="V1378" s="16">
        <v>3.8725999999999998</v>
      </c>
      <c r="W1378" s="17">
        <f t="shared" si="21"/>
        <v>2.9784258371965411E-3</v>
      </c>
    </row>
    <row r="1379" spans="1:23" x14ac:dyDescent="0.2">
      <c r="A1379" s="15">
        <v>43564</v>
      </c>
      <c r="B1379" s="5">
        <v>-979945823166145</v>
      </c>
      <c r="C1379" s="5">
        <f>[1]!nefin_factors__1[[#This Row],[Rm_minus_Rf]]/B1378-1</f>
        <v>-2.4144142332564318</v>
      </c>
      <c r="D1379" s="5">
        <v>590273850323534</v>
      </c>
      <c r="E1379" s="5">
        <f>[1]!nefin_factors__1[[#This Row],[SMB]]/D1378-1</f>
        <v>0.56830929098095151</v>
      </c>
      <c r="F1379" s="5">
        <v>-344038807101517</v>
      </c>
      <c r="G1379" s="5">
        <f>[1]!nefin_factors__1[[#This Row],[HML]]/F1378-1</f>
        <v>-1.4467320909725743</v>
      </c>
      <c r="H1379" s="5">
        <v>246575519610381</v>
      </c>
      <c r="I1379" s="6">
        <f>[1]!nefin_factors__1[[#This Row],[Risk_Free]]/H1378-1</f>
        <v>0</v>
      </c>
      <c r="J1379">
        <v>100689</v>
      </c>
      <c r="K1379">
        <v>101025</v>
      </c>
      <c r="L1379">
        <v>99421</v>
      </c>
      <c r="M1379">
        <v>100724</v>
      </c>
      <c r="N1379">
        <v>4154700</v>
      </c>
      <c r="O1379">
        <v>100724</v>
      </c>
      <c r="P1379">
        <v>3.47605001539408E-4</v>
      </c>
      <c r="Q1379">
        <v>3.4754460091749402E-4</v>
      </c>
      <c r="R1379" s="8">
        <v>41.41552734375</v>
      </c>
      <c r="S1379" s="8">
        <v>-9.8521523347732103E-3</v>
      </c>
      <c r="T1379" s="9">
        <v>-9.9010059277831602E-3</v>
      </c>
      <c r="U1379" s="12">
        <v>2.462E-2</v>
      </c>
      <c r="V1379" s="16">
        <v>3.8571</v>
      </c>
      <c r="W1379" s="17">
        <f t="shared" si="21"/>
        <v>-4.0024789547074002E-3</v>
      </c>
    </row>
    <row r="1380" spans="1:23" x14ac:dyDescent="0.2">
      <c r="A1380" s="14">
        <v>43565</v>
      </c>
      <c r="B1380" s="3">
        <v>-411273197025462</v>
      </c>
      <c r="C1380" s="3">
        <f>[1]!nefin_factors__1[[#This Row],[Rm_minus_Rf]]/B1379-1</f>
        <v>-0.58031027093246501</v>
      </c>
      <c r="D1380" s="3">
        <v>541377299503452</v>
      </c>
      <c r="E1380" s="3">
        <f>[1]!nefin_factors__1[[#This Row],[SMB]]/D1379-1</f>
        <v>-8.2837060786754124E-2</v>
      </c>
      <c r="F1380" s="3">
        <v>797994998441509</v>
      </c>
      <c r="G1380" s="3">
        <f>[1]!nefin_factors__1[[#This Row],[HML]]/F1379-1</f>
        <v>-3.3194912375278678</v>
      </c>
      <c r="H1380" s="3">
        <v>246575519610381</v>
      </c>
      <c r="I1380" s="4">
        <f>[1]!nefin_factors__1[[#This Row],[Risk_Free]]/H1379-1</f>
        <v>0</v>
      </c>
      <c r="J1380">
        <v>100726</v>
      </c>
      <c r="K1380">
        <v>101563</v>
      </c>
      <c r="L1380">
        <v>100726</v>
      </c>
      <c r="M1380">
        <v>100967</v>
      </c>
      <c r="N1380">
        <v>4079900</v>
      </c>
      <c r="O1380">
        <v>100967</v>
      </c>
      <c r="P1380">
        <v>2.41253325920332E-3</v>
      </c>
      <c r="Q1380">
        <v>2.4096277729564598E-3</v>
      </c>
      <c r="R1380" s="8">
        <v>41.044643402099602</v>
      </c>
      <c r="S1380" s="8">
        <v>-8.9551647485818196E-3</v>
      </c>
      <c r="T1380" s="9">
        <v>-8.9955032422390398E-3</v>
      </c>
      <c r="U1380" s="12">
        <v>2.462E-2</v>
      </c>
      <c r="V1380" s="16">
        <v>3.879</v>
      </c>
      <c r="W1380" s="17">
        <f t="shared" si="21"/>
        <v>5.6778408648985312E-3</v>
      </c>
    </row>
    <row r="1381" spans="1:23" x14ac:dyDescent="0.2">
      <c r="A1381" s="15">
        <v>43566</v>
      </c>
      <c r="B1381" s="5">
        <v>-123953515044456</v>
      </c>
      <c r="C1381" s="5">
        <f>[1]!nefin_factors__1[[#This Row],[Rm_minus_Rf]]/B1380-1</f>
        <v>-0.69861027671885456</v>
      </c>
      <c r="D1381" s="5">
        <v>10981500273488</v>
      </c>
      <c r="E1381" s="5">
        <f>[1]!nefin_factors__1[[#This Row],[SMB]]/D1380-1</f>
        <v>-0.97971562478966112</v>
      </c>
      <c r="F1381" s="5">
        <v>-83689047057893</v>
      </c>
      <c r="G1381" s="5">
        <f>[1]!nefin_factors__1[[#This Row],[HML]]/F1380-1</f>
        <v>-1.1048741498647716</v>
      </c>
      <c r="H1381" s="5">
        <v>246575519610381</v>
      </c>
      <c r="I1381" s="6">
        <f>[1]!nefin_factors__1[[#This Row],[Risk_Free]]/H1380-1</f>
        <v>0</v>
      </c>
      <c r="J1381">
        <v>100973</v>
      </c>
      <c r="K1381">
        <v>102432</v>
      </c>
      <c r="L1381">
        <v>100973</v>
      </c>
      <c r="M1381">
        <v>101340</v>
      </c>
      <c r="N1381">
        <v>411600</v>
      </c>
      <c r="O1381">
        <v>101340</v>
      </c>
      <c r="P1381">
        <v>3.6942763477174601E-3</v>
      </c>
      <c r="Q1381">
        <v>3.68746926852091E-3</v>
      </c>
      <c r="R1381" s="8">
        <v>40.4841918945312</v>
      </c>
      <c r="S1381" s="8">
        <v>-1.3654677642985001E-2</v>
      </c>
      <c r="T1381" s="9">
        <v>-1.37487601799275E-2</v>
      </c>
      <c r="U1381" s="12">
        <v>2.462E-2</v>
      </c>
      <c r="V1381" s="16">
        <v>3.8664000000000001</v>
      </c>
      <c r="W1381" s="17">
        <f t="shared" si="21"/>
        <v>-3.2482598607888047E-3</v>
      </c>
    </row>
    <row r="1382" spans="1:23" x14ac:dyDescent="0.2">
      <c r="A1382" s="14">
        <v>43567</v>
      </c>
      <c r="B1382" s="3">
        <v>-185895074913093</v>
      </c>
      <c r="C1382" s="3">
        <f>[1]!nefin_factors__1[[#This Row],[Rm_minus_Rf]]/B1381-1</f>
        <v>0.49971604150492732</v>
      </c>
      <c r="D1382" s="3">
        <v>-604728719554942</v>
      </c>
      <c r="E1382" s="3">
        <f>[1]!nefin_factors__1[[#This Row],[SMB]]/D1381-1</f>
        <v>-56.067951053546253</v>
      </c>
      <c r="F1382" s="3">
        <v>-112566010207484</v>
      </c>
      <c r="G1382" s="3">
        <f>[1]!nefin_factors__1[[#This Row],[HML]]/F1381-1</f>
        <v>0.34505068661631411</v>
      </c>
      <c r="H1382" s="3">
        <v>246575519610381</v>
      </c>
      <c r="I1382" s="4">
        <f>[1]!nefin_factors__1[[#This Row],[Risk_Free]]/H1381-1</f>
        <v>0</v>
      </c>
      <c r="J1382">
        <v>101342</v>
      </c>
      <c r="K1382">
        <v>101565</v>
      </c>
      <c r="L1382">
        <v>100073</v>
      </c>
      <c r="M1382">
        <v>100605</v>
      </c>
      <c r="N1382">
        <v>4951600</v>
      </c>
      <c r="O1382">
        <v>100605</v>
      </c>
      <c r="P1382">
        <v>-7.2528123149793204E-3</v>
      </c>
      <c r="Q1382">
        <v>-7.2792418279534997E-3</v>
      </c>
      <c r="R1382" s="8">
        <v>40.302871704101598</v>
      </c>
      <c r="S1382" s="8">
        <v>-4.4788358451861602E-3</v>
      </c>
      <c r="T1382" s="9">
        <v>-4.4888958798509904E-3</v>
      </c>
      <c r="U1382" s="12">
        <v>2.462E-2</v>
      </c>
      <c r="V1382" s="16">
        <v>3.8437000000000001</v>
      </c>
      <c r="W1382" s="17">
        <f t="shared" si="21"/>
        <v>-5.8710945582454155E-3</v>
      </c>
    </row>
    <row r="1383" spans="1:23" x14ac:dyDescent="0.2">
      <c r="A1383" s="15">
        <v>43570</v>
      </c>
      <c r="B1383" s="5">
        <v>273264342359675</v>
      </c>
      <c r="C1383" s="5">
        <f>[1]!nefin_factors__1[[#This Row],[Rm_minus_Rf]]/B1382-1</f>
        <v>-2.4699923733182692</v>
      </c>
      <c r="D1383" s="5">
        <v>-476166859298562</v>
      </c>
      <c r="E1383" s="5">
        <f>[1]!nefin_factors__1[[#This Row],[SMB]]/D1382-1</f>
        <v>-0.21259426929648184</v>
      </c>
      <c r="F1383" s="5">
        <v>362951948020459</v>
      </c>
      <c r="G1383" s="5">
        <f>[1]!nefin_factors__1[[#This Row],[HML]]/F1382-1</f>
        <v>-4.2243476281291166</v>
      </c>
      <c r="H1383" s="5">
        <v>246575519610381</v>
      </c>
      <c r="I1383" s="6">
        <f>[1]!nefin_factors__1[[#This Row],[Risk_Free]]/H1382-1</f>
        <v>0</v>
      </c>
      <c r="J1383">
        <v>100576</v>
      </c>
      <c r="K1383">
        <v>102177</v>
      </c>
      <c r="L1383">
        <v>100451</v>
      </c>
      <c r="M1383">
        <v>102043</v>
      </c>
      <c r="N1383">
        <v>4801200</v>
      </c>
      <c r="O1383">
        <v>102043</v>
      </c>
      <c r="P1383">
        <v>1.42935241787188E-2</v>
      </c>
      <c r="Q1383">
        <v>1.4192334856823899E-2</v>
      </c>
      <c r="R1383" s="8">
        <v>40.1710014343262</v>
      </c>
      <c r="S1383" s="8">
        <v>-3.2719811775787601E-3</v>
      </c>
      <c r="T1383" s="9">
        <v>-3.2773458131794202E-3</v>
      </c>
      <c r="U1383" s="12">
        <v>2.462E-2</v>
      </c>
      <c r="V1383" s="16">
        <v>3.8429000000000002</v>
      </c>
      <c r="W1383" s="17">
        <f t="shared" si="21"/>
        <v>-2.0813278871922858E-4</v>
      </c>
    </row>
    <row r="1384" spans="1:23" x14ac:dyDescent="0.2">
      <c r="A1384" s="14">
        <v>43571</v>
      </c>
      <c r="B1384" s="3">
        <v>109528530284811</v>
      </c>
      <c r="C1384" s="3">
        <f>[1]!nefin_factors__1[[#This Row],[Rm_minus_Rf]]/B1383-1</f>
        <v>-0.59918469662372642</v>
      </c>
      <c r="D1384" s="3">
        <v>-543438591654218</v>
      </c>
      <c r="E1384" s="3">
        <f>[1]!nefin_factors__1[[#This Row],[SMB]]/D1383-1</f>
        <v>0.14127764467849246</v>
      </c>
      <c r="F1384" s="3">
        <v>104418971080154</v>
      </c>
      <c r="G1384" s="3">
        <f>[1]!nefin_factors__1[[#This Row],[HML]]/F1383-1</f>
        <v>-0.71230634895430267</v>
      </c>
      <c r="H1384" s="3">
        <v>246575519610381</v>
      </c>
      <c r="I1384" s="4">
        <f>[1]!nefin_factors__1[[#This Row],[Risk_Free]]/H1383-1</f>
        <v>0</v>
      </c>
      <c r="J1384">
        <v>102047</v>
      </c>
      <c r="K1384">
        <v>104022</v>
      </c>
      <c r="L1384">
        <v>102047</v>
      </c>
      <c r="M1384">
        <v>103636</v>
      </c>
      <c r="N1384">
        <v>3978700</v>
      </c>
      <c r="O1384">
        <v>103636</v>
      </c>
      <c r="P1384">
        <v>1.5611065923189201E-2</v>
      </c>
      <c r="Q1384">
        <v>1.5490466735450899E-2</v>
      </c>
      <c r="R1384" s="8">
        <v>39.725936889648402</v>
      </c>
      <c r="S1384" s="8">
        <v>-1.1079295234439001E-2</v>
      </c>
      <c r="T1384" s="9">
        <v>-1.11411277572441E-2</v>
      </c>
      <c r="U1384" s="12">
        <v>2.462E-2</v>
      </c>
      <c r="V1384" s="16">
        <v>3.8813</v>
      </c>
      <c r="W1384" s="17">
        <f t="shared" si="21"/>
        <v>9.9924536157589561E-3</v>
      </c>
    </row>
    <row r="1385" spans="1:23" x14ac:dyDescent="0.2">
      <c r="A1385" s="15">
        <v>43572</v>
      </c>
      <c r="B1385" s="5">
        <v>-119892367318629</v>
      </c>
      <c r="C1385" s="5">
        <f>[1]!nefin_factors__1[[#This Row],[Rm_minus_Rf]]/B1384-1</f>
        <v>-2.094622259669408</v>
      </c>
      <c r="D1385" s="5">
        <v>495899739661644</v>
      </c>
      <c r="E1385" s="5">
        <f>[1]!nefin_factors__1[[#This Row],[SMB]]/D1384-1</f>
        <v>-1.9125221272050876</v>
      </c>
      <c r="F1385" s="5">
        <v>444649445756904</v>
      </c>
      <c r="G1385" s="5">
        <f>[1]!nefin_factors__1[[#This Row],[HML]]/F1384-1</f>
        <v>3.2583205059124989</v>
      </c>
      <c r="H1385" s="5">
        <v>246202489047498</v>
      </c>
      <c r="I1385" s="6">
        <f>[1]!nefin_factors__1[[#This Row],[Risk_Free]]/H1384-1</f>
        <v>-1.5128450848341801E-3</v>
      </c>
      <c r="J1385">
        <v>103628</v>
      </c>
      <c r="K1385">
        <v>104176</v>
      </c>
      <c r="L1385">
        <v>102622</v>
      </c>
      <c r="M1385">
        <v>104089</v>
      </c>
      <c r="N1385">
        <v>4208400</v>
      </c>
      <c r="O1385">
        <v>104089</v>
      </c>
      <c r="P1385">
        <v>4.3710679686594896E-3</v>
      </c>
      <c r="Q1385">
        <v>4.3615425983396299E-3</v>
      </c>
      <c r="R1385" s="8">
        <v>40.113307952880902</v>
      </c>
      <c r="S1385" s="8">
        <v>9.7511097399307599E-3</v>
      </c>
      <c r="T1385" s="9">
        <v>9.7038744852237201E-3</v>
      </c>
      <c r="U1385" s="12">
        <v>2.462E-2</v>
      </c>
      <c r="V1385" s="16">
        <v>3.8895</v>
      </c>
      <c r="W1385" s="17">
        <f t="shared" si="21"/>
        <v>2.1126942003968363E-3</v>
      </c>
    </row>
    <row r="1386" spans="1:23" x14ac:dyDescent="0.2">
      <c r="A1386" s="14">
        <v>43573</v>
      </c>
      <c r="B1386" s="3">
        <v>123136952815124</v>
      </c>
      <c r="C1386" s="3">
        <f>[1]!nefin_factors__1[[#This Row],[Rm_minus_Rf]]/B1385-1</f>
        <v>-2.0270624858701147</v>
      </c>
      <c r="D1386" s="3">
        <v>-467374046204038</v>
      </c>
      <c r="E1386" s="3">
        <f>[1]!nefin_factors__1[[#This Row],[SMB]]/D1385-1</f>
        <v>-1.9424768936618735</v>
      </c>
      <c r="F1386" s="3">
        <v>-153876507696649</v>
      </c>
      <c r="G1386" s="3">
        <f>[1]!nefin_factors__1[[#This Row],[HML]]/F1385-1</f>
        <v>-1.346062519958195</v>
      </c>
      <c r="H1386" s="3">
        <v>246575519610381</v>
      </c>
      <c r="I1386" s="4">
        <f>[1]!nefin_factors__1[[#This Row],[Risk_Free]]/H1385-1</f>
        <v>1.5151372527799634E-3</v>
      </c>
      <c r="J1386">
        <v>104090</v>
      </c>
      <c r="K1386">
        <v>104679</v>
      </c>
      <c r="L1386">
        <v>103988</v>
      </c>
      <c r="M1386">
        <v>104530</v>
      </c>
      <c r="N1386">
        <v>3500300</v>
      </c>
      <c r="O1386">
        <v>104530</v>
      </c>
      <c r="P1386">
        <v>4.2367589274563402E-3</v>
      </c>
      <c r="Q1386">
        <v>4.2278091341911104E-3</v>
      </c>
      <c r="R1386" s="8">
        <v>40.451225280761697</v>
      </c>
      <c r="S1386" s="8">
        <v>8.4241404391482994E-3</v>
      </c>
      <c r="T1386" s="9">
        <v>8.3888553937059695E-3</v>
      </c>
      <c r="U1386" s="12">
        <v>2.462E-2</v>
      </c>
      <c r="V1386" s="16">
        <v>3.8607999999999998</v>
      </c>
      <c r="W1386" s="17">
        <f t="shared" si="21"/>
        <v>-7.378840467926473E-3</v>
      </c>
    </row>
    <row r="1387" spans="1:23" x14ac:dyDescent="0.2">
      <c r="A1387" s="15">
        <v>43577</v>
      </c>
      <c r="B1387" s="5">
        <v>14563525698738</v>
      </c>
      <c r="C1387" s="5">
        <f>[1]!nefin_factors__1[[#This Row],[Rm_minus_Rf]]/B1386-1</f>
        <v>-0.88172903936803226</v>
      </c>
      <c r="D1387" s="5">
        <v>430081422571047</v>
      </c>
      <c r="E1387" s="5">
        <f>[1]!nefin_factors__1[[#This Row],[SMB]]/D1386-1</f>
        <v>-1.9202081845667776</v>
      </c>
      <c r="F1387" s="5">
        <v>229381682664539</v>
      </c>
      <c r="G1387" s="5">
        <f>[1]!nefin_factors__1[[#This Row],[HML]]/F1386-1</f>
        <v>-2.4906868247669118</v>
      </c>
      <c r="H1387" s="5">
        <v>246202489047498</v>
      </c>
      <c r="I1387" s="6">
        <f>[1]!nefin_factors__1[[#This Row],[Risk_Free]]/H1386-1</f>
        <v>-1.5128450848341801E-3</v>
      </c>
      <c r="J1387">
        <v>104537</v>
      </c>
      <c r="K1387">
        <v>106650</v>
      </c>
      <c r="L1387">
        <v>104537</v>
      </c>
      <c r="M1387">
        <v>105817</v>
      </c>
      <c r="N1387">
        <v>6815700</v>
      </c>
      <c r="O1387">
        <v>105817</v>
      </c>
      <c r="P1387">
        <v>1.23122548550656E-2</v>
      </c>
      <c r="Q1387">
        <v>1.22370755011503E-2</v>
      </c>
      <c r="R1387" s="8">
        <v>43.105113983154297</v>
      </c>
      <c r="S1387" s="8">
        <v>6.5607060915190404E-2</v>
      </c>
      <c r="T1387" s="9">
        <v>6.3544647016259503E-2</v>
      </c>
      <c r="U1387" s="12">
        <v>2.462E-2</v>
      </c>
      <c r="V1387" s="16">
        <v>3.8723000000000001</v>
      </c>
      <c r="W1387" s="17">
        <f t="shared" si="21"/>
        <v>2.9786572731040906E-3</v>
      </c>
    </row>
    <row r="1388" spans="1:23" x14ac:dyDescent="0.2">
      <c r="A1388" s="14">
        <v>43578</v>
      </c>
      <c r="B1388" s="3">
        <v>132989237247074</v>
      </c>
      <c r="C1388" s="3">
        <f>[1]!nefin_factors__1[[#This Row],[Rm_minus_Rf]]/B1387-1</f>
        <v>8.1316649551830817</v>
      </c>
      <c r="D1388" s="3">
        <v>286101987382823</v>
      </c>
      <c r="E1388" s="3">
        <f>[1]!nefin_factors__1[[#This Row],[SMB]]/D1387-1</f>
        <v>-0.33477250500035127</v>
      </c>
      <c r="F1388" s="3">
        <v>64501243902222</v>
      </c>
      <c r="G1388" s="3">
        <f>[1]!nefin_factors__1[[#This Row],[HML]]/F1387-1</f>
        <v>-0.71880385934498381</v>
      </c>
      <c r="H1388" s="3">
        <v>246202489047498</v>
      </c>
      <c r="I1388" s="4">
        <f>[1]!nefin_factors__1[[#This Row],[Risk_Free]]/H1387-1</f>
        <v>0</v>
      </c>
      <c r="J1388">
        <v>105818</v>
      </c>
      <c r="K1388">
        <v>105886</v>
      </c>
      <c r="L1388">
        <v>104814</v>
      </c>
      <c r="M1388">
        <v>105146</v>
      </c>
      <c r="N1388">
        <v>4845300</v>
      </c>
      <c r="O1388">
        <v>105146</v>
      </c>
      <c r="P1388">
        <v>-6.3411361123448797E-3</v>
      </c>
      <c r="Q1388">
        <v>-6.36132651459135E-3</v>
      </c>
      <c r="R1388" s="8">
        <v>43.805675506591797</v>
      </c>
      <c r="S1388" s="8">
        <v>1.6252373399270801E-2</v>
      </c>
      <c r="T1388" s="9">
        <v>1.6121717325393099E-2</v>
      </c>
      <c r="U1388" s="12">
        <v>2.462E-2</v>
      </c>
      <c r="V1388" s="16">
        <v>3.8254999999999999</v>
      </c>
      <c r="W1388" s="17">
        <f t="shared" si="21"/>
        <v>-1.2085840456576236E-2</v>
      </c>
    </row>
    <row r="1389" spans="1:23" x14ac:dyDescent="0.2">
      <c r="A1389" s="15">
        <v>43579</v>
      </c>
      <c r="B1389" s="5">
        <v>-788915775893981</v>
      </c>
      <c r="C1389" s="5">
        <f>[1]!nefin_factors__1[[#This Row],[Rm_minus_Rf]]/B1388-1</f>
        <v>-6.932177612450654</v>
      </c>
      <c r="D1389" s="5">
        <v>54029927913801</v>
      </c>
      <c r="E1389" s="5">
        <f>[1]!nefin_factors__1[[#This Row],[SMB]]/D1388-1</f>
        <v>-0.81115151136120756</v>
      </c>
      <c r="F1389" s="5">
        <v>-341824450653584</v>
      </c>
      <c r="G1389" s="5">
        <f>[1]!nefin_factors__1[[#This Row],[HML]]/F1388-1</f>
        <v>-6.2995016835916946</v>
      </c>
      <c r="H1389" s="5">
        <v>246202489047498</v>
      </c>
      <c r="I1389" s="6">
        <f>[1]!nefin_factors__1[[#This Row],[Risk_Free]]/H1388-1</f>
        <v>0</v>
      </c>
      <c r="J1389">
        <v>105158</v>
      </c>
      <c r="K1389">
        <v>105731</v>
      </c>
      <c r="L1389">
        <v>103903</v>
      </c>
      <c r="M1389">
        <v>103906</v>
      </c>
      <c r="N1389">
        <v>4748000</v>
      </c>
      <c r="O1389">
        <v>103906</v>
      </c>
      <c r="P1389">
        <v>-1.17931257489586E-2</v>
      </c>
      <c r="Q1389">
        <v>-1.18632162588788E-2</v>
      </c>
      <c r="R1389" s="8">
        <v>43.657321929931598</v>
      </c>
      <c r="S1389" s="8">
        <v>-3.38658437431938E-3</v>
      </c>
      <c r="T1389" s="9">
        <v>-3.3923318310149601E-3</v>
      </c>
      <c r="U1389" s="12">
        <v>2.462E-2</v>
      </c>
      <c r="V1389" s="16">
        <v>3.8233999999999999</v>
      </c>
      <c r="W1389" s="17">
        <f t="shared" si="21"/>
        <v>-5.4894784995429546E-4</v>
      </c>
    </row>
    <row r="1390" spans="1:23" x14ac:dyDescent="0.2">
      <c r="A1390" s="14">
        <v>43580</v>
      </c>
      <c r="B1390" s="3">
        <v>153524347932441</v>
      </c>
      <c r="C1390" s="3">
        <f>[1]!nefin_factors__1[[#This Row],[Rm_minus_Rf]]/B1389-1</f>
        <v>-1.1946016959268824</v>
      </c>
      <c r="D1390" s="3">
        <v>831197138230089</v>
      </c>
      <c r="E1390" s="3">
        <f>[1]!nefin_factors__1[[#This Row],[SMB]]/D1389-1</f>
        <v>14.384013459284558</v>
      </c>
      <c r="F1390" s="3">
        <v>-132507571309792</v>
      </c>
      <c r="G1390" s="3">
        <f>[1]!nefin_factors__1[[#This Row],[HML]]/F1389-1</f>
        <v>-0.6123519805080313</v>
      </c>
      <c r="H1390" s="3">
        <v>246202489047498</v>
      </c>
      <c r="I1390" s="4">
        <f>[1]!nefin_factors__1[[#This Row],[Risk_Free]]/H1389-1</f>
        <v>0</v>
      </c>
      <c r="J1390">
        <v>103909</v>
      </c>
      <c r="K1390">
        <v>104578</v>
      </c>
      <c r="L1390">
        <v>103495</v>
      </c>
      <c r="M1390">
        <v>103803</v>
      </c>
      <c r="N1390">
        <v>3995500</v>
      </c>
      <c r="O1390">
        <v>103803</v>
      </c>
      <c r="P1390">
        <v>-9.9128058052466695E-4</v>
      </c>
      <c r="Q1390">
        <v>-9.9177222405063604E-4</v>
      </c>
      <c r="R1390" s="8">
        <v>42.091361999511697</v>
      </c>
      <c r="S1390" s="8">
        <v>-3.5869389245932498E-2</v>
      </c>
      <c r="T1390" s="9">
        <v>-3.65285052152119E-2</v>
      </c>
      <c r="U1390" s="12">
        <v>2.462E-2</v>
      </c>
      <c r="V1390" s="16">
        <v>3.8302999999999998</v>
      </c>
      <c r="W1390" s="17">
        <f t="shared" si="21"/>
        <v>1.8046764659727099E-3</v>
      </c>
    </row>
    <row r="1391" spans="1:23" x14ac:dyDescent="0.2">
      <c r="A1391" s="15">
        <v>43581</v>
      </c>
      <c r="B1391" s="5">
        <v>-371239951776983</v>
      </c>
      <c r="C1391" s="5">
        <f>[1]!nefin_factors__1[[#This Row],[Rm_minus_Rf]]/B1390-1</f>
        <v>-3.4181177564118275</v>
      </c>
      <c r="D1391" s="5">
        <v>-592804228985889</v>
      </c>
      <c r="E1391" s="5">
        <f>[1]!nefin_factors__1[[#This Row],[SMB]]/D1390-1</f>
        <v>-1.7131932988221996</v>
      </c>
      <c r="F1391" s="5">
        <v>528082359166648</v>
      </c>
      <c r="G1391" s="5">
        <f>[1]!nefin_factors__1[[#This Row],[HML]]/F1390-1</f>
        <v>-4.9852995111655476</v>
      </c>
      <c r="H1391" s="5">
        <v>246575519610381</v>
      </c>
      <c r="I1391" s="6">
        <f>[1]!nefin_factors__1[[#This Row],[Risk_Free]]/H1390-1</f>
        <v>1.5151372527799634E-3</v>
      </c>
      <c r="J1391">
        <v>103805</v>
      </c>
      <c r="K1391">
        <v>104440</v>
      </c>
      <c r="L1391">
        <v>103361</v>
      </c>
      <c r="M1391">
        <v>103775</v>
      </c>
      <c r="N1391">
        <v>4475800</v>
      </c>
      <c r="O1391">
        <v>103775</v>
      </c>
      <c r="P1391">
        <v>-2.69741722300876E-4</v>
      </c>
      <c r="Q1391">
        <v>-2.6977810914276398E-4</v>
      </c>
      <c r="R1391" s="8">
        <v>41.5721244812012</v>
      </c>
      <c r="S1391" s="8">
        <v>-1.2335892196489199E-2</v>
      </c>
      <c r="T1391" s="9">
        <v>-1.24126108965978E-2</v>
      </c>
      <c r="U1391" s="12">
        <v>2.462E-2</v>
      </c>
      <c r="V1391" s="16">
        <v>3.8441000000000001</v>
      </c>
      <c r="W1391" s="17">
        <f t="shared" si="21"/>
        <v>3.6028509516226048E-3</v>
      </c>
    </row>
    <row r="1392" spans="1:23" x14ac:dyDescent="0.2">
      <c r="A1392" s="14">
        <v>43584</v>
      </c>
      <c r="B1392" s="3">
        <v>-193955034783276</v>
      </c>
      <c r="C1392" s="3">
        <f>[1]!nefin_factors__1[[#This Row],[Rm_minus_Rf]]/B1391-1</f>
        <v>-0.47754805522711719</v>
      </c>
      <c r="D1392" s="3">
        <v>813134525130827</v>
      </c>
      <c r="E1392" s="3">
        <f>[1]!nefin_factors__1[[#This Row],[SMB]]/D1391-1</f>
        <v>-2.3716746361979526</v>
      </c>
      <c r="F1392" s="3">
        <v>-101787953635481</v>
      </c>
      <c r="G1392" s="3">
        <f>[1]!nefin_factors__1[[#This Row],[HML]]/F1391-1</f>
        <v>-1.1927501494200823</v>
      </c>
      <c r="H1392" s="3">
        <v>246202489047498</v>
      </c>
      <c r="I1392" s="4">
        <f>[1]!nefin_factors__1[[#This Row],[Risk_Free]]/H1391-1</f>
        <v>-1.5128450848341801E-3</v>
      </c>
      <c r="J1392">
        <v>103775</v>
      </c>
      <c r="K1392">
        <v>104453</v>
      </c>
      <c r="L1392">
        <v>103712</v>
      </c>
      <c r="M1392">
        <v>103856</v>
      </c>
      <c r="N1392">
        <v>3818300</v>
      </c>
      <c r="O1392">
        <v>103856</v>
      </c>
      <c r="P1392">
        <v>7.8053481088891097E-4</v>
      </c>
      <c r="Q1392">
        <v>7.8023035201027502E-4</v>
      </c>
      <c r="R1392" s="8">
        <v>41.423770904541001</v>
      </c>
      <c r="S1392" s="8">
        <v>-3.5686282030863402E-3</v>
      </c>
      <c r="T1392" s="9">
        <v>-3.5750109463284201E-3</v>
      </c>
      <c r="U1392" s="12">
        <v>2.462E-2</v>
      </c>
      <c r="V1392" s="16">
        <v>3.8641999999999999</v>
      </c>
      <c r="W1392" s="17">
        <f t="shared" si="21"/>
        <v>5.2287921750213684E-3</v>
      </c>
    </row>
    <row r="1393" spans="1:23" x14ac:dyDescent="0.2">
      <c r="A1393" s="15">
        <v>43585</v>
      </c>
      <c r="B1393" s="5">
        <v>260323824329622</v>
      </c>
      <c r="C1393" s="5">
        <f>[1]!nefin_factors__1[[#This Row],[Rm_minus_Rf]]/B1392-1</f>
        <v>-2.3421864744089063</v>
      </c>
      <c r="D1393" s="5">
        <v>-468617678715013</v>
      </c>
      <c r="E1393" s="5">
        <f>[1]!nefin_factors__1[[#This Row],[SMB]]/D1392-1</f>
        <v>-1.5763101482372994</v>
      </c>
      <c r="F1393" s="5">
        <v>89408001644213</v>
      </c>
      <c r="G1393" s="5">
        <f>[1]!nefin_factors__1[[#This Row],[HML]]/F1392-1</f>
        <v>-1.878375077314133</v>
      </c>
      <c r="H1393" s="5">
        <v>246575519610381</v>
      </c>
      <c r="I1393" s="6">
        <f>[1]!nefin_factors__1[[#This Row],[Risk_Free]]/H1392-1</f>
        <v>1.5151372527799634E-3</v>
      </c>
      <c r="J1393">
        <v>103859</v>
      </c>
      <c r="K1393">
        <v>104773</v>
      </c>
      <c r="L1393">
        <v>103859</v>
      </c>
      <c r="M1393">
        <v>104717</v>
      </c>
      <c r="N1393">
        <v>4410900</v>
      </c>
      <c r="O1393">
        <v>104717</v>
      </c>
      <c r="P1393">
        <v>8.2903250654753294E-3</v>
      </c>
      <c r="Q1393">
        <v>8.2561490774096108E-3</v>
      </c>
      <c r="R1393" s="8">
        <v>40.385288238525398</v>
      </c>
      <c r="S1393" s="8">
        <v>-2.5069676474652101E-2</v>
      </c>
      <c r="T1393" s="9">
        <v>-2.53892735888206E-2</v>
      </c>
      <c r="U1393" s="12">
        <v>2.462E-2</v>
      </c>
      <c r="V1393" s="16">
        <v>3.8321999999999998</v>
      </c>
      <c r="W1393" s="17">
        <f t="shared" si="21"/>
        <v>-8.2811448682780231E-3</v>
      </c>
    </row>
    <row r="1394" spans="1:23" x14ac:dyDescent="0.2">
      <c r="A1394" s="14">
        <v>43587</v>
      </c>
      <c r="B1394" s="3">
        <v>-760398119750664</v>
      </c>
      <c r="C1394" s="3">
        <f>[1]!nefin_factors__1[[#This Row],[Rm_minus_Rf]]/B1393-1</f>
        <v>-3.9209701482713619</v>
      </c>
      <c r="D1394" s="3">
        <v>-720812913.37291002</v>
      </c>
      <c r="E1394" s="3">
        <f>[1]!nefin_factors__1[[#This Row],[SMB]]/D1393-1</f>
        <v>-0.99999846183158225</v>
      </c>
      <c r="F1394" s="3">
        <v>-519328509069028</v>
      </c>
      <c r="G1394" s="3">
        <f>[1]!nefin_factors__1[[#This Row],[HML]]/F1393-1</f>
        <v>-6.8085238403563171</v>
      </c>
      <c r="H1394" s="3">
        <v>246575519610381</v>
      </c>
      <c r="I1394" s="4">
        <f>[1]!nefin_factors__1[[#This Row],[Risk_Free]]/H1393-1</f>
        <v>0</v>
      </c>
      <c r="J1394">
        <v>104716</v>
      </c>
      <c r="K1394">
        <v>104723</v>
      </c>
      <c r="L1394">
        <v>103388</v>
      </c>
      <c r="M1394">
        <v>103452</v>
      </c>
      <c r="N1394">
        <v>3484400</v>
      </c>
      <c r="O1394">
        <v>103452</v>
      </c>
      <c r="P1394">
        <v>-1.2080178003571499E-2</v>
      </c>
      <c r="Q1394">
        <v>-1.2153736352734E-2</v>
      </c>
      <c r="R1394" s="8">
        <v>39.923744201660199</v>
      </c>
      <c r="S1394" s="8">
        <v>-1.1428610667968599E-2</v>
      </c>
      <c r="T1394" s="9">
        <v>-1.1494419118767699E-2</v>
      </c>
      <c r="U1394" s="12">
        <v>2.462E-2</v>
      </c>
      <c r="V1394" s="16">
        <v>3.8193000000000001</v>
      </c>
      <c r="W1394" s="17">
        <f t="shared" si="21"/>
        <v>-3.3662126193830799E-3</v>
      </c>
    </row>
    <row r="1395" spans="1:23" x14ac:dyDescent="0.2">
      <c r="A1395" s="15">
        <v>43588</v>
      </c>
      <c r="B1395" s="5">
        <v>352162542286522</v>
      </c>
      <c r="C1395" s="5">
        <f>[1]!nefin_factors__1[[#This Row],[Rm_minus_Rf]]/B1394-1</f>
        <v>-1.4631291597643572</v>
      </c>
      <c r="D1395" s="5">
        <v>-994664807202776</v>
      </c>
      <c r="E1395" s="5">
        <f>[1]!nefin_factors__1[[#This Row],[SMB]]/D1394-1</f>
        <v>1379919.9042307897</v>
      </c>
      <c r="F1395" s="5">
        <v>152665875910327</v>
      </c>
      <c r="G1395" s="5">
        <f>[1]!nefin_factors__1[[#This Row],[HML]]/F1394-1</f>
        <v>-1.2939678320067636</v>
      </c>
      <c r="H1395" s="5">
        <v>246202489047498</v>
      </c>
      <c r="I1395" s="6">
        <f>[1]!nefin_factors__1[[#This Row],[Risk_Free]]/H1394-1</f>
        <v>-1.5128450848341801E-3</v>
      </c>
      <c r="J1395">
        <v>103452</v>
      </c>
      <c r="K1395">
        <v>104278</v>
      </c>
      <c r="L1395">
        <v>103452</v>
      </c>
      <c r="M1395">
        <v>103949</v>
      </c>
      <c r="N1395">
        <v>3464400</v>
      </c>
      <c r="O1395">
        <v>103949</v>
      </c>
      <c r="P1395">
        <v>4.8041603835595704E-3</v>
      </c>
      <c r="Q1395">
        <v>4.7926572323411104E-3</v>
      </c>
      <c r="R1395" s="8">
        <v>38.868782043457003</v>
      </c>
      <c r="S1395" s="8">
        <v>-2.6424424126787398E-2</v>
      </c>
      <c r="T1395" s="9">
        <v>-2.6779824031446301E-2</v>
      </c>
      <c r="U1395" s="12">
        <v>2.462E-2</v>
      </c>
      <c r="V1395" s="16">
        <v>3.8563999999999998</v>
      </c>
      <c r="W1395" s="17">
        <f t="shared" si="21"/>
        <v>9.7138219045374008E-3</v>
      </c>
    </row>
    <row r="1396" spans="1:23" x14ac:dyDescent="0.2">
      <c r="A1396" s="14">
        <v>43591</v>
      </c>
      <c r="B1396" s="3">
        <v>-796046437951094</v>
      </c>
      <c r="C1396" s="3">
        <f>[1]!nefin_factors__1[[#This Row],[Rm_minus_Rf]]/B1395-1</f>
        <v>-3.2604517583912282</v>
      </c>
      <c r="D1396" s="3">
        <v>254522324281717</v>
      </c>
      <c r="E1396" s="3">
        <f>[1]!nefin_factors__1[[#This Row],[SMB]]/D1395-1</f>
        <v>-1.2558875336079214</v>
      </c>
      <c r="F1396" s="3">
        <v>809009042486993</v>
      </c>
      <c r="G1396" s="3">
        <f>[1]!nefin_factors__1[[#This Row],[HML]]/F1395-1</f>
        <v>4.2992133157653996</v>
      </c>
      <c r="H1396" s="3">
        <v>246202489047498</v>
      </c>
      <c r="I1396" s="4">
        <f>[1]!nefin_factors__1[[#This Row],[Risk_Free]]/H1395-1</f>
        <v>0</v>
      </c>
      <c r="J1396">
        <v>103949</v>
      </c>
      <c r="K1396">
        <v>104430</v>
      </c>
      <c r="L1396">
        <v>103518</v>
      </c>
      <c r="M1396">
        <v>103704</v>
      </c>
      <c r="N1396">
        <v>4050300</v>
      </c>
      <c r="O1396">
        <v>103704</v>
      </c>
      <c r="P1396">
        <v>-2.3569250305438502E-3</v>
      </c>
      <c r="Q1396">
        <v>-2.3597069503876302E-3</v>
      </c>
      <c r="R1396" s="8">
        <v>38.234153747558601</v>
      </c>
      <c r="S1396" s="8">
        <v>-1.6327427722102598E-2</v>
      </c>
      <c r="T1396" s="9">
        <v>-1.6462189054135701E-2</v>
      </c>
      <c r="U1396" s="12">
        <v>2.462E-2</v>
      </c>
      <c r="V1396" s="16">
        <v>3.8475000000000001</v>
      </c>
      <c r="W1396" s="17">
        <f t="shared" si="21"/>
        <v>-2.3078518825847549E-3</v>
      </c>
    </row>
    <row r="1397" spans="1:23" x14ac:dyDescent="0.2">
      <c r="A1397" s="15">
        <v>43592</v>
      </c>
      <c r="B1397" s="5">
        <v>-766677662134222</v>
      </c>
      <c r="C1397" s="5">
        <f>[1]!nefin_factors__1[[#This Row],[Rm_minus_Rf]]/B1396-1</f>
        <v>-3.6893294683238431E-2</v>
      </c>
      <c r="D1397" s="5">
        <v>-283372047994466</v>
      </c>
      <c r="E1397" s="5">
        <f>[1]!nefin_factors__1[[#This Row],[SMB]]/D1396-1</f>
        <v>-2.1133485001528465</v>
      </c>
      <c r="F1397" s="5">
        <v>530319126195796</v>
      </c>
      <c r="G1397" s="5">
        <f>[1]!nefin_factors__1[[#This Row],[HML]]/F1396-1</f>
        <v>-0.34448306712922516</v>
      </c>
      <c r="H1397" s="5">
        <v>246202489047498</v>
      </c>
      <c r="I1397" s="6">
        <f>[1]!nefin_factors__1[[#This Row],[Risk_Free]]/H1396-1</f>
        <v>0</v>
      </c>
      <c r="J1397">
        <v>103707</v>
      </c>
      <c r="K1397">
        <v>104570</v>
      </c>
      <c r="L1397">
        <v>103707</v>
      </c>
      <c r="M1397">
        <v>104120</v>
      </c>
      <c r="N1397">
        <v>4872700</v>
      </c>
      <c r="O1397">
        <v>104120</v>
      </c>
      <c r="P1397">
        <v>4.0114171102367804E-3</v>
      </c>
      <c r="Q1397">
        <v>4.0033928286228402E-3</v>
      </c>
      <c r="R1397" s="8">
        <v>38.728668212890597</v>
      </c>
      <c r="S1397" s="8">
        <v>1.2933838252927999E-2</v>
      </c>
      <c r="T1397" s="9">
        <v>1.28509104513769E-2</v>
      </c>
      <c r="U1397" s="12">
        <v>2.462E-2</v>
      </c>
      <c r="V1397" s="16">
        <v>3.794</v>
      </c>
      <c r="W1397" s="17">
        <f t="shared" si="21"/>
        <v>-1.3905133203378828E-2</v>
      </c>
    </row>
    <row r="1398" spans="1:23" x14ac:dyDescent="0.2">
      <c r="A1398" s="14">
        <v>43593</v>
      </c>
      <c r="B1398" s="3">
        <v>120458497491356</v>
      </c>
      <c r="C1398" s="3">
        <f>[1]!nefin_factors__1[[#This Row],[Rm_minus_Rf]]/B1397-1</f>
        <v>-1.157117525970474</v>
      </c>
      <c r="D1398" s="3">
        <v>272587154498759</v>
      </c>
      <c r="E1398" s="3">
        <f>[1]!nefin_factors__1[[#This Row],[SMB]]/D1397-1</f>
        <v>-1.961940870413875</v>
      </c>
      <c r="F1398" s="3">
        <v>-193286359869869</v>
      </c>
      <c r="G1398" s="3">
        <f>[1]!nefin_factors__1[[#This Row],[HML]]/F1397-1</f>
        <v>-1.3644717874997156</v>
      </c>
      <c r="H1398" s="3">
        <v>246575519610381</v>
      </c>
      <c r="I1398" s="4">
        <f>[1]!nefin_factors__1[[#This Row],[Risk_Free]]/H1397-1</f>
        <v>1.5151372527799634E-3</v>
      </c>
      <c r="J1398">
        <v>102991</v>
      </c>
      <c r="K1398">
        <v>103464</v>
      </c>
      <c r="L1398">
        <v>102390</v>
      </c>
      <c r="M1398">
        <v>102655</v>
      </c>
      <c r="N1398">
        <v>5804700</v>
      </c>
      <c r="O1398">
        <v>102655</v>
      </c>
      <c r="P1398">
        <v>-1.40703034959662E-2</v>
      </c>
      <c r="Q1398">
        <v>-1.41702286416369E-2</v>
      </c>
      <c r="R1398" s="8">
        <v>38.736911773681598</v>
      </c>
      <c r="S1398" s="8">
        <v>2.12829734422382E-4</v>
      </c>
      <c r="T1398" s="9">
        <v>2.1280708938742199E-4</v>
      </c>
      <c r="U1398" s="12">
        <v>2.462E-2</v>
      </c>
      <c r="V1398" s="16">
        <v>3.8203999999999998</v>
      </c>
      <c r="W1398" s="17">
        <f t="shared" si="21"/>
        <v>6.9583552978387253E-3</v>
      </c>
    </row>
    <row r="1399" spans="1:23" x14ac:dyDescent="0.2">
      <c r="A1399" s="15">
        <v>43594</v>
      </c>
      <c r="B1399" s="5">
        <v>-88579476567639</v>
      </c>
      <c r="C1399" s="5">
        <f>[1]!nefin_factors__1[[#This Row],[Rm_minus_Rf]]/B1398-1</f>
        <v>-1.7353526601474951</v>
      </c>
      <c r="D1399" s="5">
        <v>613457788609292</v>
      </c>
      <c r="E1399" s="5">
        <f>[1]!nefin_factors__1[[#This Row],[SMB]]/D1398-1</f>
        <v>1.2505014579184248</v>
      </c>
      <c r="F1399" s="5">
        <v>-214933305508048</v>
      </c>
      <c r="G1399" s="5">
        <f>[1]!nefin_factors__1[[#This Row],[HML]]/F1398-1</f>
        <v>0.11199417099454356</v>
      </c>
      <c r="H1399" s="5">
        <v>246575519610381</v>
      </c>
      <c r="I1399" s="6">
        <f>[1]!nefin_factors__1[[#This Row],[Risk_Free]]/H1398-1</f>
        <v>0</v>
      </c>
      <c r="J1399">
        <v>102654</v>
      </c>
      <c r="K1399">
        <v>103209</v>
      </c>
      <c r="L1399">
        <v>102196</v>
      </c>
      <c r="M1399">
        <v>102819</v>
      </c>
      <c r="N1399">
        <v>5141400</v>
      </c>
      <c r="O1399">
        <v>102819</v>
      </c>
      <c r="P1399">
        <v>1.5975841410549301E-3</v>
      </c>
      <c r="Q1399">
        <v>1.5963093610426801E-3</v>
      </c>
      <c r="R1399" s="8">
        <v>39.5446166992188</v>
      </c>
      <c r="S1399" s="8">
        <v>2.0851086085627201E-2</v>
      </c>
      <c r="T1399" s="9">
        <v>2.0636677502750202E-2</v>
      </c>
      <c r="U1399" s="12">
        <v>2.462E-2</v>
      </c>
      <c r="V1399" s="16">
        <v>3.8065000000000002</v>
      </c>
      <c r="W1399" s="17">
        <f t="shared" si="21"/>
        <v>-3.6383624751333832E-3</v>
      </c>
    </row>
    <row r="1400" spans="1:23" x14ac:dyDescent="0.2">
      <c r="A1400" s="14">
        <v>43595</v>
      </c>
      <c r="B1400" s="3">
        <v>-615479273795728</v>
      </c>
      <c r="C1400" s="3">
        <f>[1]!nefin_factors__1[[#This Row],[Rm_minus_Rf]]/B1399-1</f>
        <v>5.9483281866736935</v>
      </c>
      <c r="D1400" s="3">
        <v>575206333165732</v>
      </c>
      <c r="E1400" s="3">
        <f>[1]!nefin_factors__1[[#This Row],[SMB]]/D1399-1</f>
        <v>-6.2353850833446911E-2</v>
      </c>
      <c r="F1400" s="3">
        <v>353365386380699</v>
      </c>
      <c r="G1400" s="3">
        <f>[1]!nefin_factors__1[[#This Row],[HML]]/F1399-1</f>
        <v>-2.6440699385580686</v>
      </c>
      <c r="H1400" s="3">
        <v>246575519610381</v>
      </c>
      <c r="I1400" s="4">
        <f>[1]!nefin_factors__1[[#This Row],[Risk_Free]]/H1399-1</f>
        <v>0</v>
      </c>
      <c r="J1400">
        <v>102817</v>
      </c>
      <c r="K1400">
        <v>103483</v>
      </c>
      <c r="L1400">
        <v>102461</v>
      </c>
      <c r="M1400">
        <v>103483</v>
      </c>
      <c r="N1400">
        <v>3559900</v>
      </c>
      <c r="O1400">
        <v>103483</v>
      </c>
      <c r="P1400">
        <v>6.4579503788211303E-3</v>
      </c>
      <c r="Q1400">
        <v>6.4371871612171096E-3</v>
      </c>
      <c r="R1400" s="8">
        <v>39.231422424316399</v>
      </c>
      <c r="S1400" s="8">
        <v>-7.9200703469465301E-3</v>
      </c>
      <c r="T1400" s="9">
        <v>-7.9516006961648303E-3</v>
      </c>
      <c r="U1400" s="12">
        <v>2.462E-2</v>
      </c>
      <c r="V1400" s="16">
        <v>3.7858000000000001</v>
      </c>
      <c r="W1400" s="17">
        <f t="shared" si="21"/>
        <v>-5.4380664652567967E-3</v>
      </c>
    </row>
    <row r="1401" spans="1:23" x14ac:dyDescent="0.2">
      <c r="A1401" s="15">
        <v>43598</v>
      </c>
      <c r="B1401" s="5">
        <v>-256157850291661</v>
      </c>
      <c r="C1401" s="5">
        <f>[1]!nefin_factors__1[[#This Row],[Rm_minus_Rf]]/B1400-1</f>
        <v>-0.58380751197045599</v>
      </c>
      <c r="D1401" s="5">
        <v>698034870445222</v>
      </c>
      <c r="E1401" s="5">
        <f>[1]!nefin_factors__1[[#This Row],[SMB]]/D1400-1</f>
        <v>0.21353822132570266</v>
      </c>
      <c r="F1401" s="5">
        <v>-198687821466421</v>
      </c>
      <c r="G1401" s="5">
        <f>[1]!nefin_factors__1[[#This Row],[HML]]/F1400-1</f>
        <v>-1.5622730157626821</v>
      </c>
      <c r="H1401" s="5">
        <v>246575519610381</v>
      </c>
      <c r="I1401" s="6">
        <f>[1]!nefin_factors__1[[#This Row],[Risk_Free]]/H1400-1</f>
        <v>0</v>
      </c>
      <c r="J1401">
        <v>103483</v>
      </c>
      <c r="K1401">
        <v>103555</v>
      </c>
      <c r="L1401">
        <v>102596</v>
      </c>
      <c r="M1401">
        <v>102933</v>
      </c>
      <c r="N1401">
        <v>4060500</v>
      </c>
      <c r="O1401">
        <v>102933</v>
      </c>
      <c r="P1401">
        <v>-5.3148826377279502E-3</v>
      </c>
      <c r="Q1401">
        <v>-5.3290568716883599E-3</v>
      </c>
      <c r="R1401" s="8">
        <v>41.250690460205099</v>
      </c>
      <c r="S1401" s="8">
        <v>5.14707456098926E-2</v>
      </c>
      <c r="T1401" s="9">
        <v>5.0189894194790897E-2</v>
      </c>
      <c r="U1401" s="12">
        <v>2.462E-2</v>
      </c>
      <c r="V1401" s="16">
        <v>3.7696999999999998</v>
      </c>
      <c r="W1401" s="17">
        <f t="shared" si="21"/>
        <v>-4.2527339003646247E-3</v>
      </c>
    </row>
    <row r="1402" spans="1:23" x14ac:dyDescent="0.2">
      <c r="A1402" s="14">
        <v>43599</v>
      </c>
      <c r="B1402" s="3">
        <v>287839141250634</v>
      </c>
      <c r="C1402" s="3">
        <f>[1]!nefin_factors__1[[#This Row],[Rm_minus_Rf]]/B1401-1</f>
        <v>-2.1236787821372669</v>
      </c>
      <c r="D1402" s="3">
        <v>-485517981085976</v>
      </c>
      <c r="E1402" s="3">
        <f>[1]!nefin_factors__1[[#This Row],[SMB]]/D1401-1</f>
        <v>-1.6955497520865999</v>
      </c>
      <c r="F1402" s="3">
        <v>45884471108182</v>
      </c>
      <c r="G1402" s="3">
        <f>[1]!nefin_factors__1[[#This Row],[HML]]/F1401-1</f>
        <v>-1.2309375117686145</v>
      </c>
      <c r="H1402" s="3">
        <v>246202489047498</v>
      </c>
      <c r="I1402" s="4">
        <f>[1]!nefin_factors__1[[#This Row],[Risk_Free]]/H1401-1</f>
        <v>-1.5128450848341801E-3</v>
      </c>
      <c r="J1402">
        <v>102946</v>
      </c>
      <c r="K1402">
        <v>103129</v>
      </c>
      <c r="L1402">
        <v>100950</v>
      </c>
      <c r="M1402">
        <v>101812</v>
      </c>
      <c r="N1402">
        <v>5072900</v>
      </c>
      <c r="O1402">
        <v>101812</v>
      </c>
      <c r="P1402">
        <v>-1.08905793088708E-2</v>
      </c>
      <c r="Q1402">
        <v>-1.0950315773430501E-2</v>
      </c>
      <c r="R1402" s="8">
        <v>41.926525115966797</v>
      </c>
      <c r="S1402" s="8">
        <v>1.6383545118149101E-2</v>
      </c>
      <c r="T1402" s="9">
        <v>1.6250782956739498E-2</v>
      </c>
      <c r="U1402" s="12">
        <v>2.462E-2</v>
      </c>
      <c r="V1402" s="16">
        <v>3.7532999999999999</v>
      </c>
      <c r="W1402" s="17">
        <f t="shared" si="21"/>
        <v>-4.3504788179430376E-3</v>
      </c>
    </row>
    <row r="1403" spans="1:23" x14ac:dyDescent="0.2">
      <c r="A1403" s="15">
        <v>43600</v>
      </c>
      <c r="B1403" s="5">
        <v>-587967424381893</v>
      </c>
      <c r="C1403" s="5">
        <f>[1]!nefin_factors__1[[#This Row],[Rm_minus_Rf]]/B1402-1</f>
        <v>-3.0426944779894418</v>
      </c>
      <c r="D1403" s="5">
        <v>-141611358120683</v>
      </c>
      <c r="E1403" s="5">
        <f>[1]!nefin_factors__1[[#This Row],[SMB]]/D1402-1</f>
        <v>-0.7083293232437331</v>
      </c>
      <c r="F1403" s="5">
        <v>-960033601330127</v>
      </c>
      <c r="G1403" s="5">
        <f>[1]!nefin_factors__1[[#This Row],[HML]]/F1402-1</f>
        <v>-21.922843352964708</v>
      </c>
      <c r="H1403" s="5">
        <v>246575519610381</v>
      </c>
      <c r="I1403" s="6">
        <f>[1]!nefin_factors__1[[#This Row],[Risk_Free]]/H1402-1</f>
        <v>1.5151372527799634E-3</v>
      </c>
      <c r="J1403">
        <v>101819</v>
      </c>
      <c r="K1403">
        <v>104056</v>
      </c>
      <c r="L1403">
        <v>101819</v>
      </c>
      <c r="M1403">
        <v>102126</v>
      </c>
      <c r="N1403">
        <v>7129100</v>
      </c>
      <c r="O1403">
        <v>102126</v>
      </c>
      <c r="P1403">
        <v>3.0841158213177301E-3</v>
      </c>
      <c r="Q1403">
        <v>3.0793696920224998E-3</v>
      </c>
      <c r="R1403" s="8">
        <v>42.693019866943402</v>
      </c>
      <c r="S1403" s="8">
        <v>1.8281922097402901E-2</v>
      </c>
      <c r="T1403" s="9">
        <v>1.81168170156067E-2</v>
      </c>
      <c r="U1403" s="12">
        <v>2.462E-2</v>
      </c>
      <c r="V1403" s="16">
        <v>3.7452000000000001</v>
      </c>
      <c r="W1403" s="17">
        <f t="shared" si="21"/>
        <v>-2.1581008712332483E-3</v>
      </c>
    </row>
    <row r="1404" spans="1:23" x14ac:dyDescent="0.2">
      <c r="A1404" s="14">
        <v>43601</v>
      </c>
      <c r="B1404" s="3">
        <v>-161800380130295</v>
      </c>
      <c r="C1404" s="3">
        <f>[1]!nefin_factors__1[[#This Row],[Rm_minus_Rf]]/B1403-1</f>
        <v>-0.72481403999483585</v>
      </c>
      <c r="D1404" s="3">
        <v>51165257748629</v>
      </c>
      <c r="E1404" s="3">
        <f>[1]!nefin_factors__1[[#This Row],[SMB]]/D1403-1</f>
        <v>-1.3613075845584739</v>
      </c>
      <c r="F1404" s="3">
        <v>-754146168732496</v>
      </c>
      <c r="G1404" s="3">
        <f>[1]!nefin_factors__1[[#This Row],[HML]]/F1403-1</f>
        <v>-0.21445856927546481</v>
      </c>
      <c r="H1404" s="3">
        <v>246575519610381</v>
      </c>
      <c r="I1404" s="4">
        <f>[1]!nefin_factors__1[[#This Row],[Risk_Free]]/H1403-1</f>
        <v>0</v>
      </c>
      <c r="J1404">
        <v>102122</v>
      </c>
      <c r="K1404">
        <v>103180</v>
      </c>
      <c r="L1404">
        <v>101667</v>
      </c>
      <c r="M1404">
        <v>102674</v>
      </c>
      <c r="N1404">
        <v>4923500</v>
      </c>
      <c r="O1404">
        <v>102674</v>
      </c>
      <c r="P1404">
        <v>5.3659205295419898E-3</v>
      </c>
      <c r="Q1404">
        <v>5.35157527210343E-3</v>
      </c>
      <c r="R1404" s="8">
        <v>43.5254516601562</v>
      </c>
      <c r="S1404" s="8">
        <v>1.9498049347014001E-2</v>
      </c>
      <c r="T1404" s="9">
        <v>1.9310397687741E-2</v>
      </c>
      <c r="U1404" s="12">
        <v>2.462E-2</v>
      </c>
      <c r="V1404" s="16">
        <v>3.7463000000000002</v>
      </c>
      <c r="W1404" s="17">
        <f t="shared" si="21"/>
        <v>2.9370928121341677E-4</v>
      </c>
    </row>
    <row r="1405" spans="1:23" x14ac:dyDescent="0.2">
      <c r="A1405" s="15">
        <v>43602</v>
      </c>
      <c r="B1405" s="5">
        <v>-268642137770118</v>
      </c>
      <c r="C1405" s="5">
        <f>[1]!nefin_factors__1[[#This Row],[Rm_minus_Rf]]/B1404-1</f>
        <v>0.66033069609468908</v>
      </c>
      <c r="D1405" s="5">
        <v>-80556882522317</v>
      </c>
      <c r="E1405" s="5">
        <f>[1]!nefin_factors__1[[#This Row],[SMB]]/D1404-1</f>
        <v>-2.5744449665061166</v>
      </c>
      <c r="F1405" s="5">
        <v>-476972260626808</v>
      </c>
      <c r="G1405" s="5">
        <f>[1]!nefin_factors__1[[#This Row],[HML]]/F1404-1</f>
        <v>-0.36753340346678154</v>
      </c>
      <c r="H1405" s="5">
        <v>246575519610381</v>
      </c>
      <c r="I1405" s="6">
        <f>[1]!nefin_factors__1[[#This Row],[Risk_Free]]/H1404-1</f>
        <v>0</v>
      </c>
      <c r="J1405">
        <v>102658</v>
      </c>
      <c r="K1405">
        <v>102658</v>
      </c>
      <c r="L1405">
        <v>99630</v>
      </c>
      <c r="M1405">
        <v>100098</v>
      </c>
      <c r="N1405">
        <v>5000400</v>
      </c>
      <c r="O1405">
        <v>100098</v>
      </c>
      <c r="P1405">
        <v>-2.50891170111226E-2</v>
      </c>
      <c r="Q1405">
        <v>-2.5409214224402801E-2</v>
      </c>
      <c r="R1405" s="8">
        <v>42.742473602294901</v>
      </c>
      <c r="S1405" s="8">
        <v>-1.7988987605525399E-2</v>
      </c>
      <c r="T1405" s="9">
        <v>-1.81527564395579E-2</v>
      </c>
      <c r="U1405" s="12">
        <v>2.462E-2</v>
      </c>
      <c r="V1405" s="16">
        <v>3.7624</v>
      </c>
      <c r="W1405" s="17">
        <f t="shared" si="21"/>
        <v>4.2975736059578384E-3</v>
      </c>
    </row>
    <row r="1406" spans="1:23" x14ac:dyDescent="0.2">
      <c r="A1406" s="14">
        <v>43605</v>
      </c>
      <c r="B1406" s="3">
        <v>212360952442221</v>
      </c>
      <c r="C1406" s="3">
        <f>[1]!nefin_factors__1[[#This Row],[Rm_minus_Rf]]/B1405-1</f>
        <v>-1.7904975526361473</v>
      </c>
      <c r="D1406" s="3">
        <v>-741625743072409</v>
      </c>
      <c r="E1406" s="3">
        <f>[1]!nefin_factors__1[[#This Row],[SMB]]/D1405-1</f>
        <v>8.2062368831980734</v>
      </c>
      <c r="F1406" s="3">
        <v>231253555095377</v>
      </c>
      <c r="G1406" s="3">
        <f>[1]!nefin_factors__1[[#This Row],[HML]]/F1405-1</f>
        <v>-1.4848364866994102</v>
      </c>
      <c r="H1406" s="3">
        <v>246575519610381</v>
      </c>
      <c r="I1406" s="4">
        <f>[1]!nefin_factors__1[[#This Row],[Risk_Free]]/H1405-1</f>
        <v>0</v>
      </c>
      <c r="J1406">
        <v>100098</v>
      </c>
      <c r="K1406">
        <v>102178</v>
      </c>
      <c r="L1406">
        <v>100098</v>
      </c>
      <c r="M1406">
        <v>102164</v>
      </c>
      <c r="N1406">
        <v>5074800</v>
      </c>
      <c r="O1406">
        <v>102164</v>
      </c>
      <c r="P1406">
        <v>2.0639773022437899E-2</v>
      </c>
      <c r="Q1406">
        <v>2.0429659123999001E-2</v>
      </c>
      <c r="R1406" s="8">
        <v>43.146324157714801</v>
      </c>
      <c r="S1406" s="8">
        <v>9.4484348850092399E-3</v>
      </c>
      <c r="T1406" s="9">
        <v>9.4040776097794598E-3</v>
      </c>
      <c r="U1406" s="12">
        <v>2.462E-2</v>
      </c>
      <c r="V1406" s="16">
        <v>3.7618</v>
      </c>
      <c r="W1406" s="17">
        <f t="shared" si="21"/>
        <v>-1.5947267701466039E-4</v>
      </c>
    </row>
    <row r="1407" spans="1:23" x14ac:dyDescent="0.2">
      <c r="A1407" s="15">
        <v>43606</v>
      </c>
      <c r="B1407" s="5">
        <v>27492079652973</v>
      </c>
      <c r="C1407" s="5">
        <f>[1]!nefin_factors__1[[#This Row],[Rm_minus_Rf]]/B1406-1</f>
        <v>-0.87054079699302056</v>
      </c>
      <c r="D1407" s="5">
        <v>-300142399692453</v>
      </c>
      <c r="E1407" s="5">
        <f>[1]!nefin_factors__1[[#This Row],[SMB]]/D1406-1</f>
        <v>-0.59529128742346193</v>
      </c>
      <c r="F1407" s="5">
        <v>120619107545899</v>
      </c>
      <c r="G1407" s="5">
        <f>[1]!nefin_factors__1[[#This Row],[HML]]/F1406-1</f>
        <v>-0.47841187783620676</v>
      </c>
      <c r="H1407" s="5">
        <v>246575519610381</v>
      </c>
      <c r="I1407" s="6">
        <f>[1]!nefin_factors__1[[#This Row],[Risk_Free]]/H1406-1</f>
        <v>0</v>
      </c>
      <c r="J1407">
        <v>102163</v>
      </c>
      <c r="K1407">
        <v>102784</v>
      </c>
      <c r="L1407">
        <v>100476</v>
      </c>
      <c r="M1407">
        <v>102782</v>
      </c>
      <c r="N1407">
        <v>5570600</v>
      </c>
      <c r="O1407">
        <v>102782</v>
      </c>
      <c r="P1407">
        <v>6.0490975294624797E-3</v>
      </c>
      <c r="Q1407">
        <v>6.0308751878917297E-3</v>
      </c>
      <c r="R1407" s="8">
        <v>42.041912078857401</v>
      </c>
      <c r="S1407" s="8">
        <v>-2.5596848256273098E-2</v>
      </c>
      <c r="T1407" s="9">
        <v>-2.5930147483575802E-2</v>
      </c>
      <c r="U1407" s="12">
        <v>2.462E-2</v>
      </c>
      <c r="V1407" s="16">
        <v>3.7488999999999999</v>
      </c>
      <c r="W1407" s="17">
        <f t="shared" si="21"/>
        <v>-3.4292094210218727E-3</v>
      </c>
    </row>
    <row r="1408" spans="1:23" x14ac:dyDescent="0.2">
      <c r="A1408" s="14">
        <v>43607</v>
      </c>
      <c r="B1408" s="3">
        <v>-550767025795702</v>
      </c>
      <c r="C1408" s="3">
        <f>[1]!nefin_factors__1[[#This Row],[Rm_minus_Rf]]/B1407-1</f>
        <v>-21.033661794521315</v>
      </c>
      <c r="D1408" s="3">
        <v>217465982881212</v>
      </c>
      <c r="E1408" s="3">
        <f>[1]!nefin_factors__1[[#This Row],[SMB]]/D1407-1</f>
        <v>-1.7245426940813524</v>
      </c>
      <c r="F1408" s="3">
        <v>884998842246879</v>
      </c>
      <c r="G1408" s="3">
        <f>[1]!nefin_factors__1[[#This Row],[HML]]/F1407-1</f>
        <v>6.337136381233063</v>
      </c>
      <c r="H1408" s="3">
        <v>246575519610381</v>
      </c>
      <c r="I1408" s="4">
        <f>[1]!nefin_factors__1[[#This Row],[Risk_Free]]/H1407-1</f>
        <v>0</v>
      </c>
      <c r="J1408">
        <v>102811</v>
      </c>
      <c r="K1408">
        <v>104282</v>
      </c>
      <c r="L1408">
        <v>102811</v>
      </c>
      <c r="M1408">
        <v>104115</v>
      </c>
      <c r="N1408">
        <v>5538300</v>
      </c>
      <c r="O1408">
        <v>104115</v>
      </c>
      <c r="P1408">
        <v>1.29691969410985E-2</v>
      </c>
      <c r="Q1408">
        <v>1.2885817046174201E-2</v>
      </c>
      <c r="R1408" s="8">
        <v>42.693019866943402</v>
      </c>
      <c r="S1408" s="8">
        <v>1.54871302309663E-2</v>
      </c>
      <c r="T1408" s="9">
        <v>1.5368428625613099E-2</v>
      </c>
      <c r="U1408" s="12">
        <v>2.462E-2</v>
      </c>
      <c r="V1408" s="16">
        <v>3.7408000000000001</v>
      </c>
      <c r="W1408" s="17">
        <f t="shared" si="21"/>
        <v>-2.1606337859104707E-3</v>
      </c>
    </row>
    <row r="1409" spans="1:23" x14ac:dyDescent="0.2">
      <c r="A1409" s="15">
        <v>43608</v>
      </c>
      <c r="B1409" s="5">
        <v>-415929273016279</v>
      </c>
      <c r="C1409" s="5">
        <f>[1]!nefin_factors__1[[#This Row],[Rm_minus_Rf]]/B1408-1</f>
        <v>-0.24481812901674849</v>
      </c>
      <c r="D1409" s="5">
        <v>86534720644211</v>
      </c>
      <c r="E1409" s="5">
        <f>[1]!nefin_factors__1[[#This Row],[SMB]]/D1408-1</f>
        <v>-0.60207698005126864</v>
      </c>
      <c r="F1409" s="5">
        <v>-415505197104182</v>
      </c>
      <c r="G1409" s="5">
        <f>[1]!nefin_factors__1[[#This Row],[HML]]/F1408-1</f>
        <v>-1.4694980120530743</v>
      </c>
      <c r="H1409" s="5">
        <v>246575519610381</v>
      </c>
      <c r="I1409" s="6">
        <f>[1]!nefin_factors__1[[#This Row],[Risk_Free]]/H1408-1</f>
        <v>0</v>
      </c>
      <c r="J1409">
        <v>104102</v>
      </c>
      <c r="K1409">
        <v>104848</v>
      </c>
      <c r="L1409">
        <v>103547</v>
      </c>
      <c r="M1409">
        <v>103996</v>
      </c>
      <c r="N1409">
        <v>4549300</v>
      </c>
      <c r="O1409">
        <v>103996</v>
      </c>
      <c r="P1409">
        <v>-1.1429669115881099E-3</v>
      </c>
      <c r="Q1409">
        <v>-1.1436205964094801E-3</v>
      </c>
      <c r="R1409" s="8">
        <v>46.649131774902301</v>
      </c>
      <c r="S1409" s="8">
        <v>9.2664113912396498E-2</v>
      </c>
      <c r="T1409" s="9">
        <v>8.8618855390027201E-2</v>
      </c>
      <c r="U1409" s="12">
        <v>2.462E-2</v>
      </c>
      <c r="V1409" s="16">
        <v>3.74</v>
      </c>
      <c r="W1409" s="17">
        <f t="shared" si="21"/>
        <v>-2.1385799828910201E-4</v>
      </c>
    </row>
    <row r="1410" spans="1:23" x14ac:dyDescent="0.2">
      <c r="A1410" s="14">
        <v>43609</v>
      </c>
      <c r="B1410" s="3">
        <v>-34874331964407</v>
      </c>
      <c r="C1410" s="3">
        <f>[1]!nefin_factors__1[[#This Row],[Rm_minus_Rf]]/B1409-1</f>
        <v>-0.91615321587850329</v>
      </c>
      <c r="D1410" s="3">
        <v>-12282123806283</v>
      </c>
      <c r="E1410" s="3">
        <f>[1]!nefin_factors__1[[#This Row],[SMB]]/D1409-1</f>
        <v>-1.1419328994748958</v>
      </c>
      <c r="F1410" s="3">
        <v>-108901291740861</v>
      </c>
      <c r="G1410" s="3">
        <f>[1]!nefin_factors__1[[#This Row],[HML]]/F1409-1</f>
        <v>-0.73790630658813261</v>
      </c>
      <c r="H1410" s="3">
        <v>246575519610381</v>
      </c>
      <c r="I1410" s="4">
        <f>[1]!nefin_factors__1[[#This Row],[Risk_Free]]/H1409-1</f>
        <v>0</v>
      </c>
      <c r="J1410">
        <v>103946</v>
      </c>
      <c r="K1410">
        <v>103946</v>
      </c>
      <c r="L1410">
        <v>101621</v>
      </c>
      <c r="M1410">
        <v>101915</v>
      </c>
      <c r="N1410">
        <v>4509700</v>
      </c>
      <c r="O1410">
        <v>101915</v>
      </c>
      <c r="P1410">
        <v>-2.0010385014808198E-2</v>
      </c>
      <c r="Q1410">
        <v>-2.02133043275535E-2</v>
      </c>
      <c r="R1410" s="8">
        <v>45.2397651672363</v>
      </c>
      <c r="S1410" s="8">
        <v>-3.0212078787596599E-2</v>
      </c>
      <c r="T1410" s="9">
        <v>-3.0677869314821402E-2</v>
      </c>
      <c r="U1410" s="12">
        <v>2.462E-2</v>
      </c>
      <c r="V1410" s="16">
        <v>3.7621000000000002</v>
      </c>
      <c r="W1410" s="17">
        <f t="shared" si="21"/>
        <v>5.9090909090908639E-3</v>
      </c>
    </row>
    <row r="1411" spans="1:23" x14ac:dyDescent="0.2">
      <c r="A1411" s="15">
        <v>43612</v>
      </c>
      <c r="B1411" s="5">
        <v>111039279476837</v>
      </c>
      <c r="C1411" s="5">
        <f>[1]!nefin_factors__1[[#This Row],[Rm_minus_Rf]]/B1410-1</f>
        <v>-4.1839829818149497</v>
      </c>
      <c r="D1411" s="5">
        <v>327091892188999</v>
      </c>
      <c r="E1411" s="5">
        <f>[1]!nefin_factors__1[[#This Row],[SMB]]/D1410-1</f>
        <v>-27.631541690018874</v>
      </c>
      <c r="F1411" s="5">
        <v>502975771817923</v>
      </c>
      <c r="G1411" s="5">
        <f>[1]!nefin_factors__1[[#This Row],[HML]]/F1410-1</f>
        <v>-5.6186391711017762</v>
      </c>
      <c r="H1411" s="5">
        <v>246202489047498</v>
      </c>
      <c r="I1411" s="6">
        <f>[1]!nefin_factors__1[[#This Row],[Risk_Free]]/H1410-1</f>
        <v>-1.5128450848341801E-3</v>
      </c>
      <c r="J1411">
        <v>101912</v>
      </c>
      <c r="K1411">
        <v>103778</v>
      </c>
      <c r="L1411">
        <v>101414</v>
      </c>
      <c r="M1411">
        <v>103299</v>
      </c>
      <c r="N1411">
        <v>5198900</v>
      </c>
      <c r="O1411">
        <v>103299</v>
      </c>
      <c r="P1411">
        <v>1.35799440710396E-2</v>
      </c>
      <c r="Q1411">
        <v>1.34885630009321E-2</v>
      </c>
      <c r="R1411" s="8">
        <v>45.099655151367202</v>
      </c>
      <c r="S1411" s="8">
        <v>-3.0970319627899902E-3</v>
      </c>
      <c r="T1411" s="9">
        <v>-3.1018376911739198E-3</v>
      </c>
      <c r="U1411" s="12">
        <v>2.462E-2</v>
      </c>
      <c r="V1411" s="16">
        <v>3.7595999999999998</v>
      </c>
      <c r="W1411" s="17">
        <f t="shared" si="21"/>
        <v>-6.645224741501643E-4</v>
      </c>
    </row>
    <row r="1412" spans="1:23" x14ac:dyDescent="0.2">
      <c r="A1412" s="14">
        <v>43613</v>
      </c>
      <c r="B1412" s="3">
        <v>16046141339408</v>
      </c>
      <c r="C1412" s="3">
        <f>[1]!nefin_factors__1[[#This Row],[Rm_minus_Rf]]/B1411-1</f>
        <v>-0.85549130528395356</v>
      </c>
      <c r="D1412" s="3">
        <v>-537982781452413</v>
      </c>
      <c r="E1412" s="3">
        <f>[1]!nefin_factors__1[[#This Row],[SMB]]/D1411-1</f>
        <v>-2.6447450832610606</v>
      </c>
      <c r="F1412" s="3">
        <v>-34688040737374</v>
      </c>
      <c r="G1412" s="3">
        <f>[1]!nefin_factors__1[[#This Row],[HML]]/F1411-1</f>
        <v>-1.0689656295212786</v>
      </c>
      <c r="H1412" s="3">
        <v>246202489047498</v>
      </c>
      <c r="I1412" s="4">
        <f>[1]!nefin_factors__1[[#This Row],[Risk_Free]]/H1411-1</f>
        <v>0</v>
      </c>
      <c r="J1412">
        <v>103270</v>
      </c>
      <c r="K1412">
        <v>103270</v>
      </c>
      <c r="L1412">
        <v>99955</v>
      </c>
      <c r="M1412">
        <v>100258</v>
      </c>
      <c r="N1412">
        <v>6485200</v>
      </c>
      <c r="O1412">
        <v>100258</v>
      </c>
      <c r="P1412">
        <v>-2.9438813541273399E-2</v>
      </c>
      <c r="Q1412">
        <v>-2.9880832035084501E-2</v>
      </c>
      <c r="R1412" s="8">
        <v>44.794704437255902</v>
      </c>
      <c r="S1412" s="8">
        <v>-6.7616853714084204E-3</v>
      </c>
      <c r="T1412" s="9">
        <v>-6.7846491403327196E-3</v>
      </c>
      <c r="U1412" s="12">
        <v>2.462E-2</v>
      </c>
      <c r="V1412" s="16">
        <v>3.7848999999999999</v>
      </c>
      <c r="W1412" s="17">
        <f t="shared" ref="W1412:W1475" si="22">V1412/V1411-1</f>
        <v>6.729439302053386E-3</v>
      </c>
    </row>
    <row r="1413" spans="1:23" x14ac:dyDescent="0.2">
      <c r="A1413" s="15">
        <v>43614</v>
      </c>
      <c r="B1413" s="5">
        <v>154492734679944</v>
      </c>
      <c r="C1413" s="5">
        <f>[1]!nefin_factors__1[[#This Row],[Rm_minus_Rf]]/B1412-1</f>
        <v>8.6280302791875947</v>
      </c>
      <c r="D1413" s="5">
        <v>174960499263965</v>
      </c>
      <c r="E1413" s="5">
        <f>[1]!nefin_factors__1[[#This Row],[SMB]]/D1412-1</f>
        <v>-1.3252157974119867</v>
      </c>
      <c r="F1413" s="5">
        <v>-138697540217879</v>
      </c>
      <c r="G1413" s="5">
        <f>[1]!nefin_factors__1[[#This Row],[HML]]/F1412-1</f>
        <v>2.9984253151675371</v>
      </c>
      <c r="H1413" s="5">
        <v>246575519610381</v>
      </c>
      <c r="I1413" s="6">
        <f>[1]!nefin_factors__1[[#This Row],[Risk_Free]]/H1412-1</f>
        <v>1.5151372527799634E-3</v>
      </c>
      <c r="J1413">
        <v>100262</v>
      </c>
      <c r="K1413">
        <v>101014</v>
      </c>
      <c r="L1413">
        <v>98200</v>
      </c>
      <c r="M1413">
        <v>99057</v>
      </c>
      <c r="N1413">
        <v>6585300</v>
      </c>
      <c r="O1413">
        <v>99057</v>
      </c>
      <c r="P1413">
        <v>-1.19790939376409E-2</v>
      </c>
      <c r="Q1413">
        <v>-1.20514214759936E-2</v>
      </c>
      <c r="R1413" s="8">
        <v>43.649082183837898</v>
      </c>
      <c r="S1413" s="8">
        <v>-2.5574962445904501E-2</v>
      </c>
      <c r="T1413" s="9">
        <v>-2.5907687001436201E-2</v>
      </c>
      <c r="U1413" s="12">
        <v>2.462E-2</v>
      </c>
      <c r="V1413" s="16">
        <v>3.7740999999999998</v>
      </c>
      <c r="W1413" s="17">
        <f t="shared" si="22"/>
        <v>-2.8534439483209884E-3</v>
      </c>
    </row>
    <row r="1414" spans="1:23" x14ac:dyDescent="0.2">
      <c r="A1414" s="14">
        <v>43615</v>
      </c>
      <c r="B1414" s="3">
        <v>81892651744361</v>
      </c>
      <c r="C1414" s="3">
        <f>[1]!nefin_factors__1[[#This Row],[Rm_minus_Rf]]/B1413-1</f>
        <v>-0.46992554754102511</v>
      </c>
      <c r="D1414" s="3">
        <v>-268617454900755</v>
      </c>
      <c r="E1414" s="3">
        <f>[1]!nefin_factors__1[[#This Row],[SMB]]/D1413-1</f>
        <v>-2.5353034315219265</v>
      </c>
      <c r="F1414" s="3">
        <v>146669791133599</v>
      </c>
      <c r="G1414" s="3">
        <f>[1]!nefin_factors__1[[#This Row],[HML]]/F1413-1</f>
        <v>-2.0574793965574045</v>
      </c>
      <c r="H1414" s="3">
        <v>246575519610381</v>
      </c>
      <c r="I1414" s="4">
        <f>[1]!nefin_factors__1[[#This Row],[Risk_Free]]/H1413-1</f>
        <v>0</v>
      </c>
      <c r="J1414">
        <v>99059</v>
      </c>
      <c r="K1414">
        <v>100567</v>
      </c>
      <c r="L1414">
        <v>99059</v>
      </c>
      <c r="M1414">
        <v>99806</v>
      </c>
      <c r="N1414">
        <v>5483400</v>
      </c>
      <c r="O1414">
        <v>99806</v>
      </c>
      <c r="P1414">
        <v>7.5613030881209698E-3</v>
      </c>
      <c r="Q1414">
        <v>7.5328597252024001E-3</v>
      </c>
      <c r="R1414" s="8">
        <v>43.805675506591797</v>
      </c>
      <c r="S1414" s="8">
        <v>3.58748359578898E-3</v>
      </c>
      <c r="T1414" s="9">
        <v>3.58106392557369E-3</v>
      </c>
      <c r="U1414" s="12">
        <v>2.462E-2</v>
      </c>
      <c r="V1414" s="16">
        <v>3.7909000000000002</v>
      </c>
      <c r="W1414" s="17">
        <f t="shared" si="22"/>
        <v>4.4513923849396342E-3</v>
      </c>
    </row>
    <row r="1415" spans="1:23" x14ac:dyDescent="0.2">
      <c r="A1415" s="15">
        <v>43616</v>
      </c>
      <c r="B1415" s="5">
        <v>-250712547271657</v>
      </c>
      <c r="C1415" s="5">
        <f>[1]!nefin_factors__1[[#This Row],[Rm_minus_Rf]]/B1414-1</f>
        <v>-4.0614779462056028</v>
      </c>
      <c r="D1415" s="5">
        <v>-603958200767875</v>
      </c>
      <c r="E1415" s="5">
        <f>[1]!nefin_factors__1[[#This Row],[SMB]]/D1414-1</f>
        <v>1.2483952168745587</v>
      </c>
      <c r="F1415" s="5">
        <v>194828883235147</v>
      </c>
      <c r="G1415" s="5">
        <f>[1]!nefin_factors__1[[#This Row],[HML]]/F1414-1</f>
        <v>0.32835045123696061</v>
      </c>
      <c r="H1415" s="5">
        <v>246202489047498</v>
      </c>
      <c r="I1415" s="6">
        <f>[1]!nefin_factors__1[[#This Row],[Risk_Free]]/H1414-1</f>
        <v>-1.5128450848341801E-3</v>
      </c>
      <c r="J1415">
        <v>99810</v>
      </c>
      <c r="K1415">
        <v>100948</v>
      </c>
      <c r="L1415">
        <v>98908</v>
      </c>
      <c r="M1415">
        <v>99469</v>
      </c>
      <c r="N1415">
        <v>4924000</v>
      </c>
      <c r="O1415">
        <v>99469</v>
      </c>
      <c r="P1415">
        <v>-3.37655050798547E-3</v>
      </c>
      <c r="Q1415">
        <v>-3.3822639193587102E-3</v>
      </c>
      <c r="R1415" s="8">
        <v>44.267223358154297</v>
      </c>
      <c r="S1415" s="8">
        <v>1.0536255207568099E-2</v>
      </c>
      <c r="T1415" s="9">
        <v>1.04811357014127E-2</v>
      </c>
      <c r="U1415" s="12">
        <v>2.462E-2</v>
      </c>
      <c r="V1415" s="16">
        <v>3.79</v>
      </c>
      <c r="W1415" s="17">
        <f t="shared" si="22"/>
        <v>-2.3741064127258404E-4</v>
      </c>
    </row>
    <row r="1416" spans="1:23" x14ac:dyDescent="0.2">
      <c r="A1416" s="14">
        <v>43619</v>
      </c>
      <c r="B1416" s="3">
        <v>-356245354313784</v>
      </c>
      <c r="C1416" s="3">
        <f>[1]!nefin_factors__1[[#This Row],[Rm_minus_Rf]]/B1415-1</f>
        <v>0.42093149381860817</v>
      </c>
      <c r="D1416" s="3">
        <v>939829758808306</v>
      </c>
      <c r="E1416" s="3">
        <f>[1]!nefin_factors__1[[#This Row],[SMB]]/D1415-1</f>
        <v>-2.5561172240287533</v>
      </c>
      <c r="F1416" s="3">
        <v>703935337744438</v>
      </c>
      <c r="G1416" s="3">
        <f>[1]!nefin_factors__1[[#This Row],[HML]]/F1415-1</f>
        <v>2.6130953791632088</v>
      </c>
      <c r="H1416" s="3">
        <v>246202489047498</v>
      </c>
      <c r="I1416" s="4">
        <f>[1]!nefin_factors__1[[#This Row],[Risk_Free]]/H1415-1</f>
        <v>0</v>
      </c>
      <c r="J1416">
        <v>99472</v>
      </c>
      <c r="K1416">
        <v>99665</v>
      </c>
      <c r="L1416">
        <v>98002</v>
      </c>
      <c r="M1416">
        <v>99222</v>
      </c>
      <c r="N1416">
        <v>5235200</v>
      </c>
      <c r="O1416">
        <v>99222</v>
      </c>
      <c r="P1416">
        <v>-2.4831857161528E-3</v>
      </c>
      <c r="Q1416">
        <v>-2.4862739352769902E-3</v>
      </c>
      <c r="R1416" s="8">
        <v>44.506237030029297</v>
      </c>
      <c r="S1416" s="8">
        <v>5.3994012498628204E-3</v>
      </c>
      <c r="T1416" s="9">
        <v>5.3848767419082703E-3</v>
      </c>
      <c r="U1416" s="12">
        <v>2.462E-2</v>
      </c>
      <c r="V1416" s="16">
        <v>3.7648999999999999</v>
      </c>
      <c r="W1416" s="17">
        <f t="shared" si="22"/>
        <v>-6.6226912928760706E-3</v>
      </c>
    </row>
    <row r="1417" spans="1:23" x14ac:dyDescent="0.2">
      <c r="A1417" s="15">
        <v>43620</v>
      </c>
      <c r="B1417" s="5">
        <v>339478155526517</v>
      </c>
      <c r="C1417" s="5">
        <f>[1]!nefin_factors__1[[#This Row],[Rm_minus_Rf]]/B1416-1</f>
        <v>-1.9529335650718456</v>
      </c>
      <c r="D1417" s="5">
        <v>-17826321204397</v>
      </c>
      <c r="E1417" s="5">
        <f>[1]!nefin_factors__1[[#This Row],[SMB]]/D1416-1</f>
        <v>-1.018967606672724</v>
      </c>
      <c r="F1417" s="5">
        <v>198177668307883</v>
      </c>
      <c r="G1417" s="5">
        <f>[1]!nefin_factors__1[[#This Row],[HML]]/F1416-1</f>
        <v>-0.71847177193449707</v>
      </c>
      <c r="H1417" s="5">
        <v>246202489047498</v>
      </c>
      <c r="I1417" s="6">
        <f>[1]!nefin_factors__1[[#This Row],[Risk_Free]]/H1416-1</f>
        <v>0</v>
      </c>
      <c r="J1417">
        <v>99227</v>
      </c>
      <c r="K1417">
        <v>101240</v>
      </c>
      <c r="L1417">
        <v>99221</v>
      </c>
      <c r="M1417">
        <v>101202</v>
      </c>
      <c r="N1417">
        <v>5969700</v>
      </c>
      <c r="O1417">
        <v>101202</v>
      </c>
      <c r="P1417">
        <v>1.9955251859466599E-2</v>
      </c>
      <c r="Q1417">
        <v>1.9758755607818101E-2</v>
      </c>
      <c r="R1417" s="8">
        <v>46.063957214355497</v>
      </c>
      <c r="S1417" s="8">
        <v>3.5000012115971299E-2</v>
      </c>
      <c r="T1417" s="9">
        <v>3.4401438423584799E-2</v>
      </c>
      <c r="U1417" s="12">
        <v>2.2751E-2</v>
      </c>
      <c r="V1417" s="16">
        <v>3.8296000000000001</v>
      </c>
      <c r="W1417" s="17">
        <f t="shared" si="22"/>
        <v>1.718505139578741E-2</v>
      </c>
    </row>
    <row r="1418" spans="1:23" x14ac:dyDescent="0.2">
      <c r="A1418" s="14">
        <v>43621</v>
      </c>
      <c r="B1418" s="3">
        <v>-122782340101225</v>
      </c>
      <c r="C1418" s="3">
        <f>[1]!nefin_factors__1[[#This Row],[Rm_minus_Rf]]/B1417-1</f>
        <v>-1.3616796489034604</v>
      </c>
      <c r="D1418" s="3">
        <v>431217978358141</v>
      </c>
      <c r="E1418" s="3">
        <f>[1]!nefin_factors__1[[#This Row],[SMB]]/D1417-1</f>
        <v>-25.189958960897538</v>
      </c>
      <c r="F1418" s="3">
        <v>406793975153272</v>
      </c>
      <c r="G1418" s="3">
        <f>[1]!nefin_factors__1[[#This Row],[HML]]/F1417-1</f>
        <v>1.0526731322789047</v>
      </c>
      <c r="H1418" s="3">
        <v>246202489047498</v>
      </c>
      <c r="I1418" s="4">
        <f>[1]!nefin_factors__1[[#This Row],[Risk_Free]]/H1417-1</f>
        <v>0</v>
      </c>
      <c r="J1418">
        <v>101209</v>
      </c>
      <c r="K1418">
        <v>101469</v>
      </c>
      <c r="L1418">
        <v>100011</v>
      </c>
      <c r="M1418">
        <v>100011</v>
      </c>
      <c r="N1418">
        <v>4495500</v>
      </c>
      <c r="O1418">
        <v>100011</v>
      </c>
      <c r="P1418">
        <v>-1.17685421236734E-2</v>
      </c>
      <c r="Q1418">
        <v>-1.1838339565397499E-2</v>
      </c>
      <c r="R1418" s="8">
        <v>45.742523193359403</v>
      </c>
      <c r="S1418" s="8">
        <v>-6.9780134004815402E-3</v>
      </c>
      <c r="T1418" s="9">
        <v>-7.0024735914328302E-3</v>
      </c>
      <c r="U1418" s="12">
        <v>2.2751E-2</v>
      </c>
      <c r="V1418" s="16">
        <v>3.8738999999999999</v>
      </c>
      <c r="W1418" s="17">
        <f t="shared" si="22"/>
        <v>1.1567787758512527E-2</v>
      </c>
    </row>
    <row r="1419" spans="1:23" x14ac:dyDescent="0.2">
      <c r="A1419" s="15">
        <v>43622</v>
      </c>
      <c r="B1419" s="5">
        <v>106696664916006</v>
      </c>
      <c r="C1419" s="5">
        <f>[1]!nefin_factors__1[[#This Row],[Rm_minus_Rf]]/B1418-1</f>
        <v>-1.8689903191944579</v>
      </c>
      <c r="D1419" s="5">
        <v>589748295209745</v>
      </c>
      <c r="E1419" s="5">
        <f>[1]!nefin_factors__1[[#This Row],[SMB]]/D1418-1</f>
        <v>0.36763382977492487</v>
      </c>
      <c r="F1419" s="5">
        <v>108885665860214</v>
      </c>
      <c r="G1419" s="5">
        <f>[1]!nefin_factors__1[[#This Row],[HML]]/F1418-1</f>
        <v>-0.73233215703554111</v>
      </c>
      <c r="H1419" s="5">
        <v>246202489047498</v>
      </c>
      <c r="I1419" s="6">
        <f>[1]!nefin_factors__1[[#This Row],[Risk_Free]]/H1418-1</f>
        <v>0</v>
      </c>
      <c r="J1419">
        <v>100007</v>
      </c>
      <c r="K1419">
        <v>100025</v>
      </c>
      <c r="L1419">
        <v>97085</v>
      </c>
      <c r="M1419">
        <v>97667</v>
      </c>
      <c r="N1419">
        <v>5668800</v>
      </c>
      <c r="O1419">
        <v>97667</v>
      </c>
      <c r="P1419">
        <v>-2.34374218835928E-2</v>
      </c>
      <c r="Q1419">
        <v>-2.3716446626118201E-2</v>
      </c>
      <c r="R1419" s="8">
        <v>43.344131469726598</v>
      </c>
      <c r="S1419" s="8">
        <v>-5.2432441717593099E-2</v>
      </c>
      <c r="T1419" s="9">
        <v>-5.38570429500791E-2</v>
      </c>
      <c r="U1419" s="12">
        <v>2.2751E-2</v>
      </c>
      <c r="V1419" s="16">
        <v>3.9403999999999999</v>
      </c>
      <c r="W1419" s="17">
        <f t="shared" si="22"/>
        <v>1.7166163297968495E-2</v>
      </c>
    </row>
    <row r="1420" spans="1:23" x14ac:dyDescent="0.2">
      <c r="A1420" s="14">
        <v>43623</v>
      </c>
      <c r="B1420" s="3">
        <v>522366541186608</v>
      </c>
      <c r="C1420" s="3">
        <f>[1]!nefin_factors__1[[#This Row],[Rm_minus_Rf]]/B1419-1</f>
        <v>3.895809457566707</v>
      </c>
      <c r="D1420" s="3">
        <v>325489168706672</v>
      </c>
      <c r="E1420" s="3">
        <f>[1]!nefin_factors__1[[#This Row],[SMB]]/D1419-1</f>
        <v>-0.44808798711166908</v>
      </c>
      <c r="F1420" s="3">
        <v>-478250896179142</v>
      </c>
      <c r="G1420" s="3">
        <f>[1]!nefin_factors__1[[#This Row],[HML]]/F1419-1</f>
        <v>-5.39223007363627</v>
      </c>
      <c r="H1420" s="3">
        <v>246202489047498</v>
      </c>
      <c r="I1420" s="4">
        <f>[1]!nefin_factors__1[[#This Row],[Risk_Free]]/H1419-1</f>
        <v>0</v>
      </c>
      <c r="J1420">
        <v>97687</v>
      </c>
      <c r="K1420">
        <v>98436</v>
      </c>
      <c r="L1420">
        <v>95961</v>
      </c>
      <c r="M1420">
        <v>96430</v>
      </c>
      <c r="N1420">
        <v>4136800</v>
      </c>
      <c r="O1420">
        <v>96430</v>
      </c>
      <c r="P1420">
        <v>-1.26654857833249E-2</v>
      </c>
      <c r="Q1420">
        <v>-1.27463767901236E-2</v>
      </c>
      <c r="R1420" s="8">
        <v>43.261711120605497</v>
      </c>
      <c r="S1420" s="8">
        <v>-1.90148971651116E-3</v>
      </c>
      <c r="T1420" s="9">
        <v>-1.90329984307082E-3</v>
      </c>
      <c r="U1420" s="12">
        <v>2.2751E-2</v>
      </c>
      <c r="V1420" s="16">
        <v>3.9643000000000002</v>
      </c>
      <c r="W1420" s="17">
        <f t="shared" si="22"/>
        <v>6.0653740736982265E-3</v>
      </c>
    </row>
    <row r="1421" spans="1:23" x14ac:dyDescent="0.2">
      <c r="A1421" s="15">
        <v>43626</v>
      </c>
      <c r="B1421" s="5">
        <v>-330506752012388</v>
      </c>
      <c r="C1421" s="5">
        <f>[1]!nefin_factors__1[[#This Row],[Rm_minus_Rf]]/B1420-1</f>
        <v>-1.6327104168303137</v>
      </c>
      <c r="D1421" s="5">
        <v>-655380375891042</v>
      </c>
      <c r="E1421" s="5">
        <f>[1]!nefin_factors__1[[#This Row],[SMB]]/D1420-1</f>
        <v>-3.0135243777702017</v>
      </c>
      <c r="F1421" s="5">
        <v>-765924984147736</v>
      </c>
      <c r="G1421" s="5">
        <f>[1]!nefin_factors__1[[#This Row],[HML]]/F1420-1</f>
        <v>0.60151290936805224</v>
      </c>
      <c r="H1421" s="5">
        <v>245829423562771</v>
      </c>
      <c r="I1421" s="6">
        <f>[1]!nefin_factors__1[[#This Row],[Risk_Free]]/H1420-1</f>
        <v>-1.5152790947414729E-3</v>
      </c>
      <c r="J1421">
        <v>96434</v>
      </c>
      <c r="K1421">
        <v>97951</v>
      </c>
      <c r="L1421">
        <v>95855</v>
      </c>
      <c r="M1421">
        <v>97276</v>
      </c>
      <c r="N1421">
        <v>6581700</v>
      </c>
      <c r="O1421">
        <v>97276</v>
      </c>
      <c r="P1421">
        <v>8.7732033599501307E-3</v>
      </c>
      <c r="Q1421">
        <v>8.7349424291256594E-3</v>
      </c>
      <c r="R1421" s="8">
        <v>42.693019866943402</v>
      </c>
      <c r="S1421" s="8">
        <v>-1.31453458742986E-2</v>
      </c>
      <c r="T1421" s="9">
        <v>-1.32325106501598E-2</v>
      </c>
      <c r="U1421" s="12">
        <v>2.2751E-2</v>
      </c>
      <c r="V1421" s="16">
        <v>3.9849999999999999</v>
      </c>
      <c r="W1421" s="17">
        <f t="shared" si="22"/>
        <v>5.2216028050349195E-3</v>
      </c>
    </row>
    <row r="1422" spans="1:23" x14ac:dyDescent="0.2">
      <c r="A1422" s="14">
        <v>43627</v>
      </c>
      <c r="B1422" s="3">
        <v>127708958182942</v>
      </c>
      <c r="C1422" s="3">
        <f>[1]!nefin_factors__1[[#This Row],[Rm_minus_Rf]]/B1421-1</f>
        <v>-1.3864034771009921</v>
      </c>
      <c r="D1422" s="3">
        <v>101290483757946</v>
      </c>
      <c r="E1422" s="3">
        <f>[1]!nefin_factors__1[[#This Row],[SMB]]/D1421-1</f>
        <v>-1.1545522073654304</v>
      </c>
      <c r="F1422" s="3">
        <v>-874245829651963</v>
      </c>
      <c r="G1422" s="3">
        <f>[1]!nefin_factors__1[[#This Row],[HML]]/F1421-1</f>
        <v>0.14142487547231308</v>
      </c>
      <c r="H1422" s="3">
        <v>245829423562771</v>
      </c>
      <c r="I1422" s="4">
        <f>[1]!nefin_factors__1[[#This Row],[Risk_Free]]/H1421-1</f>
        <v>0</v>
      </c>
      <c r="J1422">
        <v>97273</v>
      </c>
      <c r="K1422">
        <v>98346</v>
      </c>
      <c r="L1422">
        <v>96557</v>
      </c>
      <c r="M1422">
        <v>98194</v>
      </c>
      <c r="N1422">
        <v>4350800</v>
      </c>
      <c r="O1422">
        <v>98194</v>
      </c>
      <c r="P1422">
        <v>9.4370656688185194E-3</v>
      </c>
      <c r="Q1422">
        <v>9.3928147459987101E-3</v>
      </c>
      <c r="R1422" s="8">
        <v>42.5116996765137</v>
      </c>
      <c r="S1422" s="8">
        <v>-4.2471123632597E-3</v>
      </c>
      <c r="T1422" s="9">
        <v>-4.2561569630113196E-3</v>
      </c>
      <c r="U1422" s="12">
        <v>2.2751E-2</v>
      </c>
      <c r="V1422" s="16">
        <v>3.9409000000000001</v>
      </c>
      <c r="W1422" s="17">
        <f t="shared" si="22"/>
        <v>-1.1066499372647365E-2</v>
      </c>
    </row>
    <row r="1423" spans="1:23" x14ac:dyDescent="0.2">
      <c r="A1423" s="15">
        <v>43628</v>
      </c>
      <c r="B1423" s="5">
        <v>-661738671919341</v>
      </c>
      <c r="C1423" s="5">
        <f>[1]!nefin_factors__1[[#This Row],[Rm_minus_Rf]]/B1422-1</f>
        <v>-6.1816151453636161</v>
      </c>
      <c r="D1423" s="5">
        <v>180711579690594</v>
      </c>
      <c r="E1423" s="5">
        <f>[1]!nefin_factors__1[[#This Row],[SMB]]/D1422-1</f>
        <v>0.78409237458516534</v>
      </c>
      <c r="F1423" s="5">
        <v>-648355097610678</v>
      </c>
      <c r="G1423" s="5">
        <f>[1]!nefin_factors__1[[#This Row],[HML]]/F1422-1</f>
        <v>-0.25838353970897643</v>
      </c>
      <c r="H1423" s="5">
        <v>24545632314954</v>
      </c>
      <c r="I1423" s="6">
        <f>[1]!nefin_factors__1[[#This Row],[Risk_Free]]/H1422-1</f>
        <v>-0.90015177207342545</v>
      </c>
      <c r="J1423">
        <v>98194</v>
      </c>
      <c r="K1423">
        <v>100684</v>
      </c>
      <c r="L1423">
        <v>98194</v>
      </c>
      <c r="M1423">
        <v>100524</v>
      </c>
      <c r="N1423">
        <v>5163300</v>
      </c>
      <c r="O1423">
        <v>100524</v>
      </c>
      <c r="P1423">
        <v>2.3728537385176302E-2</v>
      </c>
      <c r="Q1423">
        <v>2.3451391262255199E-2</v>
      </c>
      <c r="R1423" s="8">
        <v>43.805675506591797</v>
      </c>
      <c r="S1423" s="8">
        <v>3.04380809521578E-2</v>
      </c>
      <c r="T1423" s="9">
        <v>2.9984033130847899E-2</v>
      </c>
      <c r="U1423" s="12">
        <v>2.2751E-2</v>
      </c>
      <c r="V1423" s="16">
        <v>3.9361999999999999</v>
      </c>
      <c r="W1423" s="17">
        <f t="shared" si="22"/>
        <v>-1.192620974904246E-3</v>
      </c>
    </row>
    <row r="1424" spans="1:23" x14ac:dyDescent="0.2">
      <c r="A1424" s="14">
        <v>43629</v>
      </c>
      <c r="B1424" s="3">
        <v>472567381903871</v>
      </c>
      <c r="C1424" s="3">
        <f>[1]!nefin_factors__1[[#This Row],[Rm_minus_Rf]]/B1423-1</f>
        <v>-1.7141299155650254</v>
      </c>
      <c r="D1424" s="3">
        <v>-311368672997511</v>
      </c>
      <c r="E1424" s="3">
        <f>[1]!nefin_factors__1[[#This Row],[SMB]]/D1423-1</f>
        <v>-2.7230145048293091</v>
      </c>
      <c r="F1424" s="3">
        <v>-567499160278366</v>
      </c>
      <c r="G1424" s="3">
        <f>[1]!nefin_factors__1[[#This Row],[HML]]/F1423-1</f>
        <v>-0.12470934157883973</v>
      </c>
      <c r="H1424" s="3">
        <v>244710017512251</v>
      </c>
      <c r="I1424" s="4">
        <f>[1]!nefin_factors__1[[#This Row],[Risk_Free]]/H1423-1</f>
        <v>8.9695951757236116</v>
      </c>
      <c r="J1424">
        <v>100526</v>
      </c>
      <c r="K1424">
        <v>101551</v>
      </c>
      <c r="L1424">
        <v>100526</v>
      </c>
      <c r="M1424">
        <v>101135</v>
      </c>
      <c r="N1424">
        <v>6109600</v>
      </c>
      <c r="O1424">
        <v>101135</v>
      </c>
      <c r="P1424">
        <v>6.0781504914249E-3</v>
      </c>
      <c r="Q1424">
        <v>6.0597530453860996E-3</v>
      </c>
      <c r="R1424" s="8">
        <v>43.739742279052699</v>
      </c>
      <c r="S1424" s="8">
        <v>-1.50512907154432E-3</v>
      </c>
      <c r="T1424" s="9">
        <v>-1.5062629161698099E-3</v>
      </c>
      <c r="U1424" s="12">
        <v>2.2751E-2</v>
      </c>
      <c r="V1424" s="16">
        <v>3.9965999999999999</v>
      </c>
      <c r="W1424" s="17">
        <f t="shared" si="22"/>
        <v>1.5344748742441849E-2</v>
      </c>
    </row>
    <row r="1425" spans="1:23" x14ac:dyDescent="0.2">
      <c r="A1425" s="15">
        <v>43630</v>
      </c>
      <c r="B1425" s="5">
        <v>-751207968250264</v>
      </c>
      <c r="C1425" s="5">
        <f>[1]!nefin_factors__1[[#This Row],[Rm_minus_Rf]]/B1424-1</f>
        <v>-2.5896314409678696</v>
      </c>
      <c r="D1425" s="5">
        <v>457337668732171</v>
      </c>
      <c r="E1425" s="5">
        <f>[1]!nefin_factors__1[[#This Row],[SMB]]/D1424-1</f>
        <v>-2.4687979504470796</v>
      </c>
      <c r="F1425" s="5">
        <v>-246596747795157</v>
      </c>
      <c r="G1425" s="5">
        <f>[1]!nefin_factors__1[[#This Row],[HML]]/F1424-1</f>
        <v>-0.56546764285219742</v>
      </c>
      <c r="H1425" s="5">
        <v>244710017512251</v>
      </c>
      <c r="I1425" s="6">
        <f>[1]!nefin_factors__1[[#This Row],[Risk_Free]]/H1424-1</f>
        <v>0</v>
      </c>
      <c r="J1425">
        <v>101133</v>
      </c>
      <c r="K1425">
        <v>101611</v>
      </c>
      <c r="L1425">
        <v>100626</v>
      </c>
      <c r="M1425">
        <v>100626</v>
      </c>
      <c r="N1425">
        <v>2685400</v>
      </c>
      <c r="O1425">
        <v>100626</v>
      </c>
      <c r="P1425">
        <v>-5.0328768477777598E-3</v>
      </c>
      <c r="Q1425">
        <v>-5.0455844275131998E-3</v>
      </c>
      <c r="R1425" s="8">
        <v>44.258979797363303</v>
      </c>
      <c r="S1425" s="8">
        <v>1.18710886841864E-2</v>
      </c>
      <c r="T1425" s="9">
        <v>1.18011800282697E-2</v>
      </c>
      <c r="U1425" s="12">
        <v>2.2751E-2</v>
      </c>
      <c r="V1425" s="16">
        <v>3.9735999999999998</v>
      </c>
      <c r="W1425" s="17">
        <f t="shared" si="22"/>
        <v>-5.7548916579092113E-3</v>
      </c>
    </row>
    <row r="1426" spans="1:23" x14ac:dyDescent="0.2">
      <c r="A1426" s="14">
        <v>43633</v>
      </c>
      <c r="B1426" s="3">
        <v>-315399362240854</v>
      </c>
      <c r="C1426" s="3">
        <f>[1]!nefin_factors__1[[#This Row],[Rm_minus_Rf]]/B1425-1</f>
        <v>-0.58014374770878485</v>
      </c>
      <c r="D1426" s="3">
        <v>559930414345806</v>
      </c>
      <c r="E1426" s="3">
        <f>[1]!nefin_factors__1[[#This Row],[SMB]]/D1425-1</f>
        <v>0.22432603441138377</v>
      </c>
      <c r="F1426" s="3">
        <v>-240698258530776</v>
      </c>
      <c r="G1426" s="3">
        <f>[1]!nefin_factors__1[[#This Row],[HML]]/F1425-1</f>
        <v>-2.3919574435266933E-2</v>
      </c>
      <c r="H1426" s="3">
        <v>245083187801587</v>
      </c>
      <c r="I1426" s="4">
        <f>[1]!nefin_factors__1[[#This Row],[Risk_Free]]/H1425-1</f>
        <v>1.5249489707438446E-3</v>
      </c>
      <c r="J1426">
        <v>100626</v>
      </c>
      <c r="K1426">
        <v>101417</v>
      </c>
      <c r="L1426">
        <v>99406</v>
      </c>
      <c r="M1426">
        <v>99681</v>
      </c>
      <c r="N1426">
        <v>0</v>
      </c>
      <c r="O1426">
        <v>99681</v>
      </c>
      <c r="P1426">
        <v>-9.3912110190209602E-3</v>
      </c>
      <c r="Q1426">
        <v>-9.4355864859952104E-3</v>
      </c>
      <c r="R1426" s="8">
        <v>43.879852294921903</v>
      </c>
      <c r="S1426" s="8">
        <v>-8.5660695020303192E-3</v>
      </c>
      <c r="T1426" s="9">
        <v>-8.6029691497989599E-3</v>
      </c>
      <c r="U1426" s="12">
        <v>2.2751E-2</v>
      </c>
      <c r="V1426" s="16">
        <v>4.0073999999999996</v>
      </c>
      <c r="W1426" s="17">
        <f t="shared" si="22"/>
        <v>8.5061405274813318E-3</v>
      </c>
    </row>
    <row r="1427" spans="1:23" x14ac:dyDescent="0.2">
      <c r="A1427" s="15">
        <v>43634</v>
      </c>
      <c r="B1427" s="5">
        <v>166606393444092</v>
      </c>
      <c r="C1427" s="5">
        <f>[1]!nefin_factors__1[[#This Row],[Rm_minus_Rf]]/B1426-1</f>
        <v>-1.528239474742068</v>
      </c>
      <c r="D1427" s="5">
        <v>-466826293100328</v>
      </c>
      <c r="E1427" s="5">
        <f>[1]!nefin_factors__1[[#This Row],[SMB]]/D1426-1</f>
        <v>-1.8337219789100829</v>
      </c>
      <c r="F1427" s="5">
        <v>20443510243276</v>
      </c>
      <c r="G1427" s="5">
        <f>[1]!nefin_factors__1[[#This Row],[HML]]/F1426-1</f>
        <v>-1.0849341842689819</v>
      </c>
      <c r="H1427" s="5">
        <v>245083187801587</v>
      </c>
      <c r="I1427" s="6">
        <f>[1]!nefin_factors__1[[#This Row],[Risk_Free]]/H1426-1</f>
        <v>0</v>
      </c>
      <c r="J1427">
        <v>99706</v>
      </c>
      <c r="K1427">
        <v>101201</v>
      </c>
      <c r="L1427">
        <v>99706</v>
      </c>
      <c r="M1427">
        <v>101201</v>
      </c>
      <c r="N1427">
        <v>4310700</v>
      </c>
      <c r="O1427">
        <v>101201</v>
      </c>
      <c r="P1427">
        <v>1.5248643171717801E-2</v>
      </c>
      <c r="Q1427">
        <v>1.51335511359186E-2</v>
      </c>
      <c r="R1427" s="8">
        <v>43.022697448730497</v>
      </c>
      <c r="S1427" s="8">
        <v>-1.9534126788368002E-2</v>
      </c>
      <c r="T1427" s="9">
        <v>-1.97274394469922E-2</v>
      </c>
      <c r="U1427" s="12">
        <v>2.2751E-2</v>
      </c>
      <c r="V1427" s="16">
        <v>4.0187999999999997</v>
      </c>
      <c r="W1427" s="17">
        <f t="shared" si="22"/>
        <v>2.8447372361131151E-3</v>
      </c>
    </row>
    <row r="1428" spans="1:23" x14ac:dyDescent="0.2">
      <c r="A1428" s="14">
        <v>43635</v>
      </c>
      <c r="B1428" s="3">
        <v>797344765573141</v>
      </c>
      <c r="C1428" s="3">
        <f>[1]!nefin_factors__1[[#This Row],[Rm_minus_Rf]]/B1427-1</f>
        <v>3.7857993267269512</v>
      </c>
      <c r="D1428" s="3">
        <v>222386994985788</v>
      </c>
      <c r="E1428" s="3">
        <f>[1]!nefin_factors__1[[#This Row],[SMB]]/D1427-1</f>
        <v>-1.4763806115307943</v>
      </c>
      <c r="F1428" s="3">
        <v>372304953914129</v>
      </c>
      <c r="G1428" s="3">
        <f>[1]!nefin_factors__1[[#This Row],[HML]]/F1427-1</f>
        <v>17.21140056104516</v>
      </c>
      <c r="H1428" s="3">
        <v>245083187801587</v>
      </c>
      <c r="I1428" s="4">
        <f>[1]!nefin_factors__1[[#This Row],[Risk_Free]]/H1427-1</f>
        <v>0</v>
      </c>
      <c r="J1428">
        <v>101204</v>
      </c>
      <c r="K1428">
        <v>103258</v>
      </c>
      <c r="L1428">
        <v>101204</v>
      </c>
      <c r="M1428">
        <v>102243</v>
      </c>
      <c r="N1428">
        <v>4814300</v>
      </c>
      <c r="O1428">
        <v>102243</v>
      </c>
      <c r="P1428">
        <v>1.0296340945247701E-2</v>
      </c>
      <c r="Q1428">
        <v>1.02436946942711E-2</v>
      </c>
      <c r="R1428" s="8">
        <v>42.693019866943402</v>
      </c>
      <c r="S1428" s="8">
        <v>-7.6628740097208804E-3</v>
      </c>
      <c r="T1428" s="9">
        <v>-7.6923846831454196E-3</v>
      </c>
      <c r="U1428" s="12">
        <v>2.2751E-2</v>
      </c>
      <c r="V1428" s="16">
        <v>3.9933000000000001</v>
      </c>
      <c r="W1428" s="17">
        <f t="shared" si="22"/>
        <v>-6.345177664974555E-3</v>
      </c>
    </row>
    <row r="1429" spans="1:23" x14ac:dyDescent="0.2">
      <c r="A1429" s="15">
        <v>43637</v>
      </c>
      <c r="B1429" s="5">
        <v>138556036761108</v>
      </c>
      <c r="C1429" s="5">
        <f>[1]!nefin_factors__1[[#This Row],[Rm_minus_Rf]]/B1428-1</f>
        <v>-0.82622819795962132</v>
      </c>
      <c r="D1429" s="5">
        <v>298750040476</v>
      </c>
      <c r="E1429" s="5">
        <f>[1]!nefin_factors__1[[#This Row],[SMB]]/D1428-1</f>
        <v>-0.99865662090314633</v>
      </c>
      <c r="F1429" s="5">
        <v>641795009803978</v>
      </c>
      <c r="G1429" s="5">
        <f>[1]!nefin_factors__1[[#This Row],[HML]]/F1428-1</f>
        <v>0.72384225097366306</v>
      </c>
      <c r="H1429" s="5">
        <v>246202489047498</v>
      </c>
      <c r="I1429" s="6">
        <f>[1]!nefin_factors__1[[#This Row],[Risk_Free]]/H1428-1</f>
        <v>4.567025816626602E-3</v>
      </c>
      <c r="J1429">
        <v>102247</v>
      </c>
      <c r="K1429">
        <v>103182</v>
      </c>
      <c r="L1429">
        <v>102246</v>
      </c>
      <c r="M1429">
        <v>102935</v>
      </c>
      <c r="N1429">
        <v>3976000</v>
      </c>
      <c r="O1429">
        <v>102935</v>
      </c>
      <c r="P1429">
        <v>6.7681895093063497E-3</v>
      </c>
      <c r="Q1429">
        <v>6.7453881395316603E-3</v>
      </c>
      <c r="R1429" s="8">
        <v>41.893558502197301</v>
      </c>
      <c r="S1429" s="8">
        <v>-1.8725871704114501E-2</v>
      </c>
      <c r="T1429" s="9">
        <v>-1.8903420841706601E-2</v>
      </c>
      <c r="U1429" s="12">
        <v>2.2751E-2</v>
      </c>
      <c r="V1429" s="16">
        <v>4.0274000000000001</v>
      </c>
      <c r="W1429" s="17">
        <f t="shared" si="22"/>
        <v>8.5393033330829482E-3</v>
      </c>
    </row>
    <row r="1430" spans="1:23" x14ac:dyDescent="0.2">
      <c r="A1430" s="14">
        <v>43640</v>
      </c>
      <c r="B1430" s="3">
        <v>149423122646233</v>
      </c>
      <c r="C1430" s="3">
        <f>[1]!nefin_factors__1[[#This Row],[Rm_minus_Rf]]/B1429-1</f>
        <v>7.8430980989024235E-2</v>
      </c>
      <c r="D1430" s="3">
        <v>164361849481444</v>
      </c>
      <c r="E1430" s="3">
        <f>[1]!nefin_factors__1[[#This Row],[SMB]]/D1429-1</f>
        <v>549.16511200991101</v>
      </c>
      <c r="F1430" s="3">
        <v>952393815298944</v>
      </c>
      <c r="G1430" s="3">
        <f>[1]!nefin_factors__1[[#This Row],[HML]]/F1429-1</f>
        <v>0.48395328843368768</v>
      </c>
      <c r="H1430" s="3">
        <v>246202489047498</v>
      </c>
      <c r="I1430" s="4">
        <f>[1]!nefin_factors__1[[#This Row],[Risk_Free]]/H1429-1</f>
        <v>0</v>
      </c>
      <c r="J1430">
        <v>102937</v>
      </c>
      <c r="K1430">
        <v>104260</v>
      </c>
      <c r="L1430">
        <v>102793</v>
      </c>
      <c r="M1430">
        <v>103181</v>
      </c>
      <c r="N1430">
        <v>5516800</v>
      </c>
      <c r="O1430">
        <v>103181</v>
      </c>
      <c r="P1430">
        <v>2.3898576771748102E-3</v>
      </c>
      <c r="Q1430">
        <v>2.3870065090034701E-3</v>
      </c>
      <c r="R1430" s="8">
        <v>42.610603332519503</v>
      </c>
      <c r="S1430" s="8">
        <v>1.71158924947192E-2</v>
      </c>
      <c r="T1430" s="9">
        <v>1.6971065829393801E-2</v>
      </c>
      <c r="U1430" s="12">
        <v>2.2751E-2</v>
      </c>
      <c r="V1430" s="16">
        <v>4.0425000000000004</v>
      </c>
      <c r="W1430" s="17">
        <f t="shared" si="22"/>
        <v>3.7493171773352874E-3</v>
      </c>
    </row>
    <row r="1431" spans="1:23" x14ac:dyDescent="0.2">
      <c r="A1431" s="15">
        <v>43641</v>
      </c>
      <c r="B1431" s="5">
        <v>-173582590198177</v>
      </c>
      <c r="C1431" s="5">
        <f>[1]!nefin_factors__1[[#This Row],[Rm_minus_Rf]]/B1430-1</f>
        <v>-2.1616849328543535</v>
      </c>
      <c r="D1431" s="5">
        <v>119075439733418</v>
      </c>
      <c r="E1431" s="5">
        <f>[1]!nefin_factors__1[[#This Row],[SMB]]/D1430-1</f>
        <v>-0.27552871843985127</v>
      </c>
      <c r="F1431" s="5">
        <v>94580414278889</v>
      </c>
      <c r="G1431" s="5">
        <f>[1]!nefin_factors__1[[#This Row],[HML]]/F1430-1</f>
        <v>-0.90069190626862539</v>
      </c>
      <c r="H1431" s="5">
        <v>246202489047498</v>
      </c>
      <c r="I1431" s="6">
        <f>[1]!nefin_factors__1[[#This Row],[Risk_Free]]/H1430-1</f>
        <v>0</v>
      </c>
      <c r="J1431">
        <v>103180</v>
      </c>
      <c r="K1431">
        <v>103503</v>
      </c>
      <c r="L1431">
        <v>102231</v>
      </c>
      <c r="M1431">
        <v>103032</v>
      </c>
      <c r="N1431">
        <v>5478900</v>
      </c>
      <c r="O1431">
        <v>103032</v>
      </c>
      <c r="P1431">
        <v>-1.44406431416633E-3</v>
      </c>
      <c r="Q1431">
        <v>-1.44510797990602E-3</v>
      </c>
      <c r="R1431" s="8">
        <v>41.910041809082003</v>
      </c>
      <c r="S1431" s="8">
        <v>-1.6440987706681801E-2</v>
      </c>
      <c r="T1431" s="9">
        <v>-1.6577640621298399E-2</v>
      </c>
      <c r="U1431" s="12">
        <v>2.2751E-2</v>
      </c>
      <c r="V1431" s="16">
        <v>4.0254000000000003</v>
      </c>
      <c r="W1431" s="17">
        <f t="shared" si="22"/>
        <v>-4.2300556586271076E-3</v>
      </c>
    </row>
    <row r="1432" spans="1:23" x14ac:dyDescent="0.2">
      <c r="A1432" s="14">
        <v>43642</v>
      </c>
      <c r="B1432" s="3">
        <v>616987976253859</v>
      </c>
      <c r="C1432" s="3">
        <f>[1]!nefin_factors__1[[#This Row],[Rm_minus_Rf]]/B1431-1</f>
        <v>-4.5544346673790947</v>
      </c>
      <c r="D1432" s="3">
        <v>425929894369786</v>
      </c>
      <c r="E1432" s="3">
        <f>[1]!nefin_factors__1[[#This Row],[SMB]]/D1431-1</f>
        <v>2.576975195920697</v>
      </c>
      <c r="F1432" s="3">
        <v>517784931304069</v>
      </c>
      <c r="G1432" s="3">
        <f>[1]!nefin_factors__1[[#This Row],[HML]]/F1431-1</f>
        <v>4.4745470851637217</v>
      </c>
      <c r="H1432" s="3">
        <v>246202489047498</v>
      </c>
      <c r="I1432" s="4">
        <f>[1]!nefin_factors__1[[#This Row],[Risk_Free]]/H1431-1</f>
        <v>0</v>
      </c>
      <c r="J1432">
        <v>103036</v>
      </c>
      <c r="K1432">
        <v>104156</v>
      </c>
      <c r="L1432">
        <v>103036</v>
      </c>
      <c r="M1432">
        <v>103446</v>
      </c>
      <c r="N1432">
        <v>4877000</v>
      </c>
      <c r="O1432">
        <v>103446</v>
      </c>
      <c r="P1432">
        <v>4.0181691125087404E-3</v>
      </c>
      <c r="Q1432">
        <v>4.0101178313999997E-3</v>
      </c>
      <c r="R1432" s="8">
        <v>43.269954681396499</v>
      </c>
      <c r="S1432" s="8">
        <v>3.24483466754526E-2</v>
      </c>
      <c r="T1432" s="9">
        <v>3.1933017168661301E-2</v>
      </c>
      <c r="U1432" s="12">
        <v>2.2751E-2</v>
      </c>
      <c r="V1432" s="16">
        <v>4.0444000000000004</v>
      </c>
      <c r="W1432" s="17">
        <f t="shared" si="22"/>
        <v>4.7200278233219262E-3</v>
      </c>
    </row>
    <row r="1433" spans="1:23" x14ac:dyDescent="0.2">
      <c r="A1433" s="15">
        <v>43643</v>
      </c>
      <c r="B1433" s="5">
        <v>135944762848773</v>
      </c>
      <c r="C1433" s="5">
        <f>[1]!nefin_factors__1[[#This Row],[Rm_minus_Rf]]/B1432-1</f>
        <v>-0.77966383773929704</v>
      </c>
      <c r="D1433" s="5">
        <v>-838488038444926</v>
      </c>
      <c r="E1433" s="5">
        <f>[1]!nefin_factors__1[[#This Row],[SMB]]/D1432-1</f>
        <v>-2.9686057483369863</v>
      </c>
      <c r="F1433" s="5">
        <v>-803839824673391</v>
      </c>
      <c r="G1433" s="5">
        <f>[1]!nefin_factors__1[[#This Row],[HML]]/F1432-1</f>
        <v>-2.5524588995838049</v>
      </c>
      <c r="H1433" s="5">
        <v>246202489047498</v>
      </c>
      <c r="I1433" s="6">
        <f>[1]!nefin_factors__1[[#This Row],[Risk_Free]]/H1432-1</f>
        <v>0</v>
      </c>
      <c r="J1433">
        <v>104389</v>
      </c>
      <c r="K1433">
        <v>104618</v>
      </c>
      <c r="L1433">
        <v>103733</v>
      </c>
      <c r="M1433">
        <v>104371</v>
      </c>
      <c r="N1433">
        <v>4962500</v>
      </c>
      <c r="O1433">
        <v>104371</v>
      </c>
      <c r="P1433">
        <v>8.9418633876612308E-3</v>
      </c>
      <c r="Q1433">
        <v>8.9021216615985405E-3</v>
      </c>
      <c r="R1433" s="8">
        <v>42.8248901367188</v>
      </c>
      <c r="S1433" s="8">
        <v>-1.02857177445944E-2</v>
      </c>
      <c r="T1433" s="9">
        <v>-1.03389812900062E-2</v>
      </c>
      <c r="U1433" s="12">
        <v>2.2751E-2</v>
      </c>
      <c r="V1433" s="16">
        <v>4.0850999999999997</v>
      </c>
      <c r="W1433" s="17">
        <f t="shared" si="22"/>
        <v>1.0063297398872351E-2</v>
      </c>
    </row>
    <row r="1434" spans="1:23" x14ac:dyDescent="0.2">
      <c r="A1434" s="14">
        <v>43644</v>
      </c>
      <c r="B1434" s="3">
        <v>3204557708446</v>
      </c>
      <c r="C1434" s="3">
        <f>[1]!nefin_factors__1[[#This Row],[Rm_minus_Rf]]/B1433-1</f>
        <v>-0.97642750157274683</v>
      </c>
      <c r="D1434" s="3">
        <v>601725429881458</v>
      </c>
      <c r="E1434" s="3">
        <f>[1]!nefin_factors__1[[#This Row],[SMB]]/D1433-1</f>
        <v>-1.717631501335938</v>
      </c>
      <c r="F1434" s="3">
        <v>111345010192863</v>
      </c>
      <c r="G1434" s="3">
        <f>[1]!nefin_factors__1[[#This Row],[HML]]/F1433-1</f>
        <v>-1.13851641430941</v>
      </c>
      <c r="H1434" s="3">
        <v>246202489047498</v>
      </c>
      <c r="I1434" s="4">
        <f>[1]!nefin_factors__1[[#This Row],[Risk_Free]]/H1433-1</f>
        <v>0</v>
      </c>
      <c r="J1434">
        <v>104371</v>
      </c>
      <c r="K1434">
        <v>104699</v>
      </c>
      <c r="L1434">
        <v>103275</v>
      </c>
      <c r="M1434">
        <v>103501</v>
      </c>
      <c r="N1434">
        <v>4039400</v>
      </c>
      <c r="O1434">
        <v>103501</v>
      </c>
      <c r="P1434">
        <v>-8.3356487913309706E-3</v>
      </c>
      <c r="Q1434">
        <v>-8.3705845888704007E-3</v>
      </c>
      <c r="R1434" s="8">
        <v>42.280925750732401</v>
      </c>
      <c r="S1434" s="8">
        <v>-1.2702102824542301E-2</v>
      </c>
      <c r="T1434" s="9">
        <v>-1.2783464240942699E-2</v>
      </c>
      <c r="U1434" s="12">
        <v>2.2751E-2</v>
      </c>
      <c r="V1434" s="16">
        <v>4.1367000000000003</v>
      </c>
      <c r="W1434" s="17">
        <f t="shared" si="22"/>
        <v>1.2631269736359085E-2</v>
      </c>
    </row>
    <row r="1435" spans="1:23" x14ac:dyDescent="0.2">
      <c r="A1435" s="15">
        <v>43647</v>
      </c>
      <c r="B1435" s="5">
        <v>116553419549095</v>
      </c>
      <c r="C1435" s="5">
        <f>[1]!nefin_factors__1[[#This Row],[Rm_minus_Rf]]/B1434-1</f>
        <v>35.371140779242126</v>
      </c>
      <c r="D1435" s="5">
        <v>419849939949107</v>
      </c>
      <c r="E1435" s="5">
        <f>[1]!nefin_factors__1[[#This Row],[SMB]]/D1434-1</f>
        <v>-0.30225661223621725</v>
      </c>
      <c r="F1435" s="5">
        <v>627088098136444</v>
      </c>
      <c r="G1435" s="5">
        <f>[1]!nefin_factors__1[[#This Row],[HML]]/F1434-1</f>
        <v>4.631937138900537</v>
      </c>
      <c r="H1435" s="5">
        <v>246202489047498</v>
      </c>
      <c r="I1435" s="6">
        <f>[1]!nefin_factors__1[[#This Row],[Risk_Free]]/H1434-1</f>
        <v>0</v>
      </c>
      <c r="J1435">
        <v>103496</v>
      </c>
      <c r="K1435">
        <v>104005</v>
      </c>
      <c r="L1435">
        <v>102782</v>
      </c>
      <c r="M1435">
        <v>103680</v>
      </c>
      <c r="N1435">
        <v>6038700</v>
      </c>
      <c r="O1435">
        <v>103680</v>
      </c>
      <c r="P1435">
        <v>1.7294518893538099E-3</v>
      </c>
      <c r="Q1435">
        <v>1.7279581094673199E-3</v>
      </c>
      <c r="R1435" s="8">
        <v>41.786411285400398</v>
      </c>
      <c r="S1435" s="8">
        <v>-1.1695920816569101E-2</v>
      </c>
      <c r="T1435" s="9">
        <v>-1.1764856133629801E-2</v>
      </c>
      <c r="U1435" s="12">
        <v>2.2751E-2</v>
      </c>
      <c r="V1435" s="16">
        <v>4.1557000000000004</v>
      </c>
      <c r="W1435" s="17">
        <f t="shared" si="22"/>
        <v>4.5930330940122666E-3</v>
      </c>
    </row>
    <row r="1436" spans="1:23" x14ac:dyDescent="0.2">
      <c r="A1436" s="14">
        <v>43648</v>
      </c>
      <c r="B1436" s="3">
        <v>-633131316852218</v>
      </c>
      <c r="C1436" s="3">
        <f>[1]!nefin_factors__1[[#This Row],[Rm_minus_Rf]]/B1435-1</f>
        <v>-6.4321127539765444</v>
      </c>
      <c r="D1436" s="3">
        <v>780496377333657</v>
      </c>
      <c r="E1436" s="3">
        <f>[1]!nefin_factors__1[[#This Row],[SMB]]/D1435-1</f>
        <v>0.85898889833893155</v>
      </c>
      <c r="F1436" s="3">
        <v>-6872600562.5752802</v>
      </c>
      <c r="G1436" s="3">
        <f>[1]!nefin_factors__1[[#This Row],[HML]]/F1435-1</f>
        <v>-1.0000109595455295</v>
      </c>
      <c r="H1436" s="3">
        <v>246202489047498</v>
      </c>
      <c r="I1436" s="4">
        <f>[1]!nefin_factors__1[[#This Row],[Risk_Free]]/H1435-1</f>
        <v>0</v>
      </c>
      <c r="J1436">
        <v>103680</v>
      </c>
      <c r="K1436">
        <v>104619</v>
      </c>
      <c r="L1436">
        <v>103079</v>
      </c>
      <c r="M1436">
        <v>104617</v>
      </c>
      <c r="N1436">
        <v>4574900</v>
      </c>
      <c r="O1436">
        <v>104617</v>
      </c>
      <c r="P1436">
        <v>9.0374228395062595E-3</v>
      </c>
      <c r="Q1436">
        <v>8.9968297218533302E-3</v>
      </c>
      <c r="R1436" s="8">
        <v>41.209480285644503</v>
      </c>
      <c r="S1436" s="8">
        <v>-1.38066157568488E-2</v>
      </c>
      <c r="T1436" s="9">
        <v>-1.3902813546440299E-2</v>
      </c>
      <c r="U1436" s="12">
        <v>2.2751E-2</v>
      </c>
      <c r="V1436" s="16">
        <v>4.1558999999999999</v>
      </c>
      <c r="W1436" s="17">
        <f t="shared" si="22"/>
        <v>4.8126669393688815E-5</v>
      </c>
    </row>
    <row r="1437" spans="1:23" x14ac:dyDescent="0.2">
      <c r="A1437" s="15">
        <v>43649</v>
      </c>
      <c r="B1437" s="5">
        <v>150287884462882</v>
      </c>
      <c r="C1437" s="5">
        <f>[1]!nefin_factors__1[[#This Row],[Rm_minus_Rf]]/B1436-1</f>
        <v>-1.2373723751497216</v>
      </c>
      <c r="D1437" s="5">
        <v>-346995339758039</v>
      </c>
      <c r="E1437" s="5">
        <f>[1]!nefin_factors__1[[#This Row],[SMB]]/D1436-1</f>
        <v>-1.444582896007089</v>
      </c>
      <c r="F1437" s="5">
        <v>333538183063213</v>
      </c>
      <c r="G1437" s="5">
        <f>[1]!nefin_factors__1[[#This Row],[HML]]/F1436-1</f>
        <v>-48532.582772246926</v>
      </c>
      <c r="H1437" s="5">
        <v>246202489047498</v>
      </c>
      <c r="I1437" s="6">
        <f>[1]!nefin_factors__1[[#This Row],[Risk_Free]]/H1436-1</f>
        <v>0</v>
      </c>
      <c r="J1437">
        <v>104616</v>
      </c>
      <c r="K1437">
        <v>104762</v>
      </c>
      <c r="L1437">
        <v>103684</v>
      </c>
      <c r="M1437">
        <v>104532</v>
      </c>
      <c r="N1437">
        <v>3882100</v>
      </c>
      <c r="O1437">
        <v>104532</v>
      </c>
      <c r="P1437">
        <v>-8.1248745423778701E-4</v>
      </c>
      <c r="Q1437">
        <v>-8.1281770106248505E-4</v>
      </c>
      <c r="R1437" s="8">
        <v>43.558418273925803</v>
      </c>
      <c r="S1437" s="8">
        <v>5.6999902141036299E-2</v>
      </c>
      <c r="T1437" s="9">
        <v>5.5434614306295302E-2</v>
      </c>
      <c r="U1437" s="12">
        <v>2.2751E-2</v>
      </c>
      <c r="V1437" s="16">
        <v>4.1680000000000001</v>
      </c>
      <c r="W1437" s="17">
        <f t="shared" si="22"/>
        <v>2.9115233764047677E-3</v>
      </c>
    </row>
    <row r="1438" spans="1:23" x14ac:dyDescent="0.2">
      <c r="A1438" s="14">
        <v>43650</v>
      </c>
      <c r="B1438" s="3">
        <v>147551231886849</v>
      </c>
      <c r="C1438" s="3">
        <f>[1]!nefin_factors__1[[#This Row],[Rm_minus_Rf]]/B1437-1</f>
        <v>-1.8209402479871239E-2</v>
      </c>
      <c r="D1438" s="3">
        <v>-405162075939681</v>
      </c>
      <c r="E1438" s="3">
        <f>[1]!nefin_factors__1[[#This Row],[SMB]]/D1437-1</f>
        <v>0.16762973307423046</v>
      </c>
      <c r="F1438" s="3">
        <v>-486133861503299</v>
      </c>
      <c r="G1438" s="3">
        <f>[1]!nefin_factors__1[[#This Row],[HML]]/F1437-1</f>
        <v>-2.4575058754552419</v>
      </c>
      <c r="H1438" s="3">
        <v>24545632314954</v>
      </c>
      <c r="I1438" s="4">
        <f>[1]!nefin_factors__1[[#This Row],[Risk_Free]]/H1437-1</f>
        <v>-0.90030307000584953</v>
      </c>
      <c r="J1438">
        <v>104555</v>
      </c>
      <c r="K1438">
        <v>106001</v>
      </c>
      <c r="L1438">
        <v>104286</v>
      </c>
      <c r="M1438">
        <v>104339</v>
      </c>
      <c r="N1438">
        <v>4915800</v>
      </c>
      <c r="O1438">
        <v>104339</v>
      </c>
      <c r="P1438">
        <v>-1.8463245704664101E-3</v>
      </c>
      <c r="Q1438">
        <v>-1.84803112857312E-3</v>
      </c>
      <c r="R1438" s="8">
        <v>44.4650268554688</v>
      </c>
      <c r="S1438" s="8">
        <v>2.0813664120092199E-2</v>
      </c>
      <c r="T1438" s="9">
        <v>2.06000192163832E-2</v>
      </c>
      <c r="U1438" s="12">
        <v>2.2751E-2</v>
      </c>
      <c r="V1438" s="16">
        <v>4.1384999999999996</v>
      </c>
      <c r="W1438" s="17">
        <f t="shared" si="22"/>
        <v>-7.0777351247601761E-3</v>
      </c>
    </row>
    <row r="1439" spans="1:23" x14ac:dyDescent="0.2">
      <c r="A1439" s="15">
        <v>43651</v>
      </c>
      <c r="B1439" s="5">
        <v>454081961431634</v>
      </c>
      <c r="C1439" s="5">
        <f>[1]!nefin_factors__1[[#This Row],[Rm_minus_Rf]]/B1438-1</f>
        <v>2.0774528658618783</v>
      </c>
      <c r="D1439" s="5">
        <v>541613914749434</v>
      </c>
      <c r="E1439" s="5">
        <f>[1]!nefin_factors__1[[#This Row],[SMB]]/D1438-1</f>
        <v>-2.3367833440316055</v>
      </c>
      <c r="F1439" s="5">
        <v>-658403501739289</v>
      </c>
      <c r="G1439" s="5">
        <f>[1]!nefin_factors__1[[#This Row],[HML]]/F1438-1</f>
        <v>0.35436667526773569</v>
      </c>
      <c r="H1439" s="5">
        <v>24545632314954</v>
      </c>
      <c r="I1439" s="6">
        <f>[1]!nefin_factors__1[[#This Row],[Risk_Free]]/H1438-1</f>
        <v>0</v>
      </c>
      <c r="J1439">
        <v>104339</v>
      </c>
      <c r="K1439">
        <v>105045</v>
      </c>
      <c r="L1439">
        <v>103914</v>
      </c>
      <c r="M1439">
        <v>104817</v>
      </c>
      <c r="N1439">
        <v>6769100</v>
      </c>
      <c r="O1439">
        <v>104817</v>
      </c>
      <c r="P1439">
        <v>4.5812208282616203E-3</v>
      </c>
      <c r="Q1439">
        <v>4.5707589759914303E-3</v>
      </c>
      <c r="R1439" s="8">
        <v>43.863368988037102</v>
      </c>
      <c r="S1439" s="8">
        <v>-1.35310967831129E-2</v>
      </c>
      <c r="T1439" s="9">
        <v>-1.3623476350936701E-2</v>
      </c>
      <c r="U1439" s="12">
        <v>2.2751E-2</v>
      </c>
      <c r="V1439" s="16">
        <v>4.1581000000000001</v>
      </c>
      <c r="W1439" s="17">
        <f t="shared" si="22"/>
        <v>4.7360154645403885E-3</v>
      </c>
    </row>
    <row r="1440" spans="1:23" x14ac:dyDescent="0.2">
      <c r="A1440" s="14">
        <v>43654</v>
      </c>
      <c r="B1440" s="3">
        <v>4159995883701</v>
      </c>
      <c r="C1440" s="3">
        <f>[1]!nefin_factors__1[[#This Row],[Rm_minus_Rf]]/B1439-1</f>
        <v>-0.99083866738377957</v>
      </c>
      <c r="D1440" s="3">
        <v>354776678712444</v>
      </c>
      <c r="E1440" s="3">
        <f>[1]!nefin_factors__1[[#This Row],[SMB]]/D1439-1</f>
        <v>-0.34496387730995837</v>
      </c>
      <c r="F1440" s="3">
        <v>207881506786695</v>
      </c>
      <c r="G1440" s="3">
        <f>[1]!nefin_factors__1[[#This Row],[HML]]/F1439-1</f>
        <v>-1.3157357247304113</v>
      </c>
      <c r="H1440" s="3">
        <v>24433681227487</v>
      </c>
      <c r="I1440" s="4">
        <f>[1]!nefin_factors__1[[#This Row],[Risk_Free]]/H1439-1</f>
        <v>-4.5609371977268776E-3</v>
      </c>
      <c r="J1440">
        <v>104817</v>
      </c>
      <c r="K1440">
        <v>104817</v>
      </c>
      <c r="L1440">
        <v>104020</v>
      </c>
      <c r="M1440">
        <v>104638</v>
      </c>
      <c r="N1440">
        <v>6769100</v>
      </c>
      <c r="O1440">
        <v>104638</v>
      </c>
      <c r="P1440">
        <v>-1.7077382485665099E-3</v>
      </c>
      <c r="Q1440">
        <v>-1.7091980957906899E-3</v>
      </c>
      <c r="R1440" s="8">
        <v>42.239715576171903</v>
      </c>
      <c r="S1440" s="8">
        <v>-3.70161282532891E-2</v>
      </c>
      <c r="T1440" s="9">
        <v>-3.7718615250831901E-2</v>
      </c>
      <c r="U1440" s="12">
        <v>2.2751E-2</v>
      </c>
      <c r="V1440" s="16">
        <v>4.1657000000000002</v>
      </c>
      <c r="W1440" s="17">
        <f t="shared" si="22"/>
        <v>1.8277578701810793E-3</v>
      </c>
    </row>
    <row r="1441" spans="1:23" x14ac:dyDescent="0.2">
      <c r="A1441" s="15">
        <v>43656</v>
      </c>
      <c r="B1441" s="5">
        <v>124002582838087</v>
      </c>
      <c r="C1441" s="5">
        <f>[1]!nefin_factors__1[[#This Row],[Rm_minus_Rf]]/B1440-1</f>
        <v>28.808342677437057</v>
      </c>
      <c r="D1441" s="5">
        <v>-303394707825563</v>
      </c>
      <c r="E1441" s="5">
        <f>[1]!nefin_factors__1[[#This Row],[SMB]]/D1440-1</f>
        <v>-1.8551709456400671</v>
      </c>
      <c r="F1441" s="5">
        <v>-125001843414185</v>
      </c>
      <c r="G1441" s="5">
        <f>[1]!nefin_factors__1[[#This Row],[HML]]/F1440-1</f>
        <v>-1.6013129563393442</v>
      </c>
      <c r="H1441" s="5">
        <v>242843641714119</v>
      </c>
      <c r="I1441" s="6">
        <f>[1]!nefin_factors__1[[#This Row],[Risk_Free]]/H1440-1</f>
        <v>8.9388888417242978</v>
      </c>
      <c r="J1441">
        <v>104638</v>
      </c>
      <c r="K1441">
        <v>104893</v>
      </c>
      <c r="L1441">
        <v>103504</v>
      </c>
      <c r="M1441">
        <v>103876</v>
      </c>
      <c r="N1441">
        <v>3972200</v>
      </c>
      <c r="O1441">
        <v>103876</v>
      </c>
      <c r="P1441">
        <v>-7.2822492784647697E-3</v>
      </c>
      <c r="Q1441">
        <v>-7.3088942916341099E-3</v>
      </c>
      <c r="R1441" s="8">
        <v>42.091361999511697</v>
      </c>
      <c r="S1441" s="8">
        <v>-3.5122267747541599E-3</v>
      </c>
      <c r="T1441" s="9">
        <v>-3.5184091233311102E-3</v>
      </c>
      <c r="U1441" s="12">
        <v>2.2751E-2</v>
      </c>
      <c r="V1441" s="16">
        <v>4.1249000000000002</v>
      </c>
      <c r="W1441" s="17">
        <f t="shared" si="22"/>
        <v>-9.794272271166915E-3</v>
      </c>
    </row>
    <row r="1442" spans="1:23" x14ac:dyDescent="0.2">
      <c r="A1442" s="14">
        <v>43657</v>
      </c>
      <c r="B1442" s="3">
        <v>-551239312467989</v>
      </c>
      <c r="C1442" s="3">
        <f>[1]!nefin_factors__1[[#This Row],[Rm_minus_Rf]]/B1441-1</f>
        <v>-5.4453857319065264</v>
      </c>
      <c r="D1442" s="3">
        <v>-14768538424915</v>
      </c>
      <c r="E1442" s="3">
        <f>[1]!nefin_factors__1[[#This Row],[SMB]]/D1441-1</f>
        <v>-0.9513223598039614</v>
      </c>
      <c r="F1442" s="3">
        <v>209398023389052</v>
      </c>
      <c r="G1442" s="3">
        <f>[1]!nefin_factors__1[[#This Row],[HML]]/F1441-1</f>
        <v>-2.6751594830103911</v>
      </c>
      <c r="H1442" s="3">
        <v>242096846575279</v>
      </c>
      <c r="I1442" s="4">
        <f>[1]!nefin_factors__1[[#This Row],[Risk_Free]]/H1441-1</f>
        <v>-3.0752097669459744E-3</v>
      </c>
      <c r="J1442">
        <v>103857</v>
      </c>
      <c r="K1442">
        <v>104481</v>
      </c>
      <c r="L1442">
        <v>103034</v>
      </c>
      <c r="M1442">
        <v>104481</v>
      </c>
      <c r="N1442">
        <v>4117500</v>
      </c>
      <c r="O1442">
        <v>104481</v>
      </c>
      <c r="P1442">
        <v>5.8242519927607104E-3</v>
      </c>
      <c r="Q1442">
        <v>5.8073566073694703E-3</v>
      </c>
      <c r="R1442" s="8">
        <v>41.951248168945298</v>
      </c>
      <c r="S1442" s="8">
        <v>-3.3287792950788E-3</v>
      </c>
      <c r="T1442" s="9">
        <v>-3.3343320068020001E-3</v>
      </c>
      <c r="U1442" s="12">
        <v>2.2751E-2</v>
      </c>
      <c r="V1442" s="16">
        <v>4.0858999999999996</v>
      </c>
      <c r="W1442" s="17">
        <f t="shared" si="22"/>
        <v>-9.4547746612040351E-3</v>
      </c>
    </row>
    <row r="1443" spans="1:23" x14ac:dyDescent="0.2">
      <c r="A1443" s="15">
        <v>43658</v>
      </c>
      <c r="B1443" s="5">
        <v>-114066321052572</v>
      </c>
      <c r="C1443" s="5">
        <f>[1]!nefin_factors__1[[#This Row],[Rm_minus_Rf]]/B1442-1</f>
        <v>-0.79307295674925959</v>
      </c>
      <c r="D1443" s="5">
        <v>612775418611836</v>
      </c>
      <c r="E1443" s="5">
        <f>[1]!nefin_factors__1[[#This Row],[SMB]]/D1442-1</f>
        <v>-42.49194733976276</v>
      </c>
      <c r="F1443" s="5">
        <v>-315858154727812</v>
      </c>
      <c r="G1443" s="5">
        <f>[1]!nefin_factors__1[[#This Row],[HML]]/F1442-1</f>
        <v>-2.5084103928763546</v>
      </c>
      <c r="H1443" s="5">
        <v>241723396518179</v>
      </c>
      <c r="I1443" s="6">
        <f>[1]!nefin_factors__1[[#This Row],[Risk_Free]]/H1442-1</f>
        <v>-1.5425647313579427E-3</v>
      </c>
      <c r="J1443">
        <v>104485</v>
      </c>
      <c r="K1443">
        <v>105342</v>
      </c>
      <c r="L1443">
        <v>104337</v>
      </c>
      <c r="M1443">
        <v>105319</v>
      </c>
      <c r="N1443">
        <v>4138700</v>
      </c>
      <c r="O1443">
        <v>105319</v>
      </c>
      <c r="P1443">
        <v>8.0205970463529397E-3</v>
      </c>
      <c r="Q1443">
        <v>7.98860301814526E-3</v>
      </c>
      <c r="R1443" s="8">
        <v>43.039180755615199</v>
      </c>
      <c r="S1443" s="8">
        <v>2.59332536576404E-2</v>
      </c>
      <c r="T1443" s="9">
        <v>2.5602689717834599E-2</v>
      </c>
      <c r="U1443" s="12">
        <v>2.2751E-2</v>
      </c>
      <c r="V1443" s="16">
        <v>4.0650000000000004</v>
      </c>
      <c r="W1443" s="17">
        <f t="shared" si="22"/>
        <v>-5.1151521084704665E-3</v>
      </c>
    </row>
    <row r="1444" spans="1:23" x14ac:dyDescent="0.2">
      <c r="A1444" s="14">
        <v>43661</v>
      </c>
      <c r="B1444" s="3">
        <v>-232383128597897</v>
      </c>
      <c r="C1444" s="3">
        <f>[1]!nefin_factors__1[[#This Row],[Rm_minus_Rf]]/B1443-1</f>
        <v>1.0372632908077573</v>
      </c>
      <c r="D1444" s="3">
        <v>74161456617666</v>
      </c>
      <c r="E1444" s="3">
        <f>[1]!nefin_factors__1[[#This Row],[SMB]]/D1443-1</f>
        <v>-0.87897449152632579</v>
      </c>
      <c r="F1444" s="3">
        <v>852397968803632</v>
      </c>
      <c r="G1444" s="3">
        <f>[1]!nefin_factors__1[[#This Row],[HML]]/F1443-1</f>
        <v>-3.6986733001659511</v>
      </c>
      <c r="H1444" s="3">
        <v>240229246218693</v>
      </c>
      <c r="I1444" s="4">
        <f>[1]!nefin_factors__1[[#This Row],[Risk_Free]]/H1443-1</f>
        <v>-6.1812398841318839E-3</v>
      </c>
      <c r="J1444">
        <v>105319</v>
      </c>
      <c r="K1444">
        <v>105633</v>
      </c>
      <c r="L1444">
        <v>104506</v>
      </c>
      <c r="M1444">
        <v>105078</v>
      </c>
      <c r="N1444">
        <v>3471200</v>
      </c>
      <c r="O1444">
        <v>105078</v>
      </c>
      <c r="P1444">
        <v>-2.2882860642429201E-3</v>
      </c>
      <c r="Q1444">
        <v>-2.29090819168099E-3</v>
      </c>
      <c r="R1444" s="8">
        <v>45.116138458252003</v>
      </c>
      <c r="S1444" s="8">
        <v>4.8257359938049603E-2</v>
      </c>
      <c r="T1444" s="9">
        <v>4.71291282108404E-2</v>
      </c>
      <c r="U1444" s="12">
        <v>2.2751E-2</v>
      </c>
      <c r="V1444" s="16">
        <v>4.0766</v>
      </c>
      <c r="W1444" s="17">
        <f t="shared" si="22"/>
        <v>2.8536285362852354E-3</v>
      </c>
    </row>
    <row r="1445" spans="1:23" x14ac:dyDescent="0.2">
      <c r="A1445" s="15">
        <v>43662</v>
      </c>
      <c r="B1445" s="5">
        <v>-735402814395987</v>
      </c>
      <c r="C1445" s="5">
        <f>[1]!nefin_factors__1[[#This Row],[Rm_minus_Rf]]/B1444-1</f>
        <v>2.164613622482412</v>
      </c>
      <c r="D1445" s="5">
        <v>95599642865665</v>
      </c>
      <c r="E1445" s="5">
        <f>[1]!nefin_factors__1[[#This Row],[SMB]]/D1444-1</f>
        <v>0.28907450346508168</v>
      </c>
      <c r="F1445" s="5">
        <v>70780687703899</v>
      </c>
      <c r="G1445" s="5">
        <f>[1]!nefin_factors__1[[#This Row],[HML]]/F1444-1</f>
        <v>-0.91696286207340216</v>
      </c>
      <c r="H1445" s="5">
        <v>240229246218693</v>
      </c>
      <c r="I1445" s="6">
        <f>[1]!nefin_factors__1[[#This Row],[Risk_Free]]/H1444-1</f>
        <v>0</v>
      </c>
      <c r="J1445">
        <v>105077</v>
      </c>
      <c r="K1445">
        <v>105178</v>
      </c>
      <c r="L1445">
        <v>104638</v>
      </c>
      <c r="M1445">
        <v>104745</v>
      </c>
      <c r="N1445">
        <v>3895800</v>
      </c>
      <c r="O1445">
        <v>104745</v>
      </c>
      <c r="P1445">
        <v>-3.1690744018728601E-3</v>
      </c>
      <c r="Q1445">
        <v>-3.17410655247403E-3</v>
      </c>
      <c r="R1445" s="8">
        <v>46.030990600585902</v>
      </c>
      <c r="S1445" s="8">
        <v>2.0277731154780598E-2</v>
      </c>
      <c r="T1445" s="9">
        <v>2.0074875679088701E-2</v>
      </c>
      <c r="U1445" s="12">
        <v>2.2751E-2</v>
      </c>
      <c r="V1445" s="16">
        <v>4.1108000000000002</v>
      </c>
      <c r="W1445" s="17">
        <f t="shared" si="22"/>
        <v>8.3893440612274883E-3</v>
      </c>
    </row>
    <row r="1446" spans="1:23" x14ac:dyDescent="0.2">
      <c r="A1446" s="14">
        <v>43663</v>
      </c>
      <c r="B1446" s="3">
        <v>90489978923861</v>
      </c>
      <c r="C1446" s="3">
        <f>[1]!nefin_factors__1[[#This Row],[Rm_minus_Rf]]/B1445-1</f>
        <v>-1.1230481814217474</v>
      </c>
      <c r="D1446" s="3">
        <v>166400007462356</v>
      </c>
      <c r="E1446" s="3">
        <f>[1]!nefin_factors__1[[#This Row],[SMB]]/D1445-1</f>
        <v>0.74059235447331617</v>
      </c>
      <c r="F1446" s="3">
        <v>-493927392298736</v>
      </c>
      <c r="G1446" s="3">
        <f>[1]!nefin_factors__1[[#This Row],[HML]]/F1445-1</f>
        <v>-7.9782790803758701</v>
      </c>
      <c r="H1446" s="3">
        <v>239481960934373</v>
      </c>
      <c r="I1446" s="4">
        <f>[1]!nefin_factors__1[[#This Row],[Risk_Free]]/H1445-1</f>
        <v>-3.1107173505414698E-3</v>
      </c>
      <c r="J1446">
        <v>104745</v>
      </c>
      <c r="K1446">
        <v>105121</v>
      </c>
      <c r="L1446">
        <v>103837</v>
      </c>
      <c r="M1446">
        <v>104053</v>
      </c>
      <c r="N1446">
        <v>4095700</v>
      </c>
      <c r="O1446">
        <v>104053</v>
      </c>
      <c r="P1446">
        <v>-6.6065205976418902E-3</v>
      </c>
      <c r="Q1446">
        <v>-6.6284402499401903E-3</v>
      </c>
      <c r="R1446" s="8">
        <v>46.319454193115199</v>
      </c>
      <c r="S1446" s="8">
        <v>6.2667446080457703E-3</v>
      </c>
      <c r="T1446" s="9">
        <v>6.2471902164518396E-3</v>
      </c>
      <c r="U1446" s="12">
        <v>2.2751E-2</v>
      </c>
      <c r="V1446" s="16">
        <v>4.0631000000000004</v>
      </c>
      <c r="W1446" s="17">
        <f t="shared" si="22"/>
        <v>-1.1603580811520797E-2</v>
      </c>
    </row>
    <row r="1447" spans="1:23" x14ac:dyDescent="0.2">
      <c r="A1447" s="15">
        <v>43664</v>
      </c>
      <c r="B1447" s="5">
        <v>803592160118246</v>
      </c>
      <c r="C1447" s="5">
        <f>[1]!nefin_factors__1[[#This Row],[Rm_minus_Rf]]/B1446-1</f>
        <v>7.8804547163658309</v>
      </c>
      <c r="D1447" s="5">
        <v>-271697578808078</v>
      </c>
      <c r="E1447" s="5">
        <f>[1]!nefin_factors__1[[#This Row],[SMB]]/D1446-1</f>
        <v>-2.6327978763435036</v>
      </c>
      <c r="F1447" s="5">
        <v>465400163493423</v>
      </c>
      <c r="G1447" s="5">
        <f>[1]!nefin_factors__1[[#This Row],[HML]]/F1446-1</f>
        <v>-1.9422440843530717</v>
      </c>
      <c r="H1447" s="5">
        <v>238734535489948</v>
      </c>
      <c r="I1447" s="6">
        <f>[1]!nefin_factors__1[[#This Row],[Risk_Free]]/H1446-1</f>
        <v>-3.1210093716821374E-3</v>
      </c>
      <c r="J1447">
        <v>104049</v>
      </c>
      <c r="K1447">
        <v>104049</v>
      </c>
      <c r="L1447">
        <v>100944</v>
      </c>
      <c r="M1447">
        <v>101031</v>
      </c>
      <c r="N1447">
        <v>5066200</v>
      </c>
      <c r="O1447">
        <v>101031</v>
      </c>
      <c r="P1447">
        <v>-2.9042891603317501E-2</v>
      </c>
      <c r="Q1447">
        <v>-2.94729842754284E-2</v>
      </c>
      <c r="R1447" s="8">
        <v>45.3139457702637</v>
      </c>
      <c r="S1447" s="8">
        <v>-2.17081588640381E-2</v>
      </c>
      <c r="T1447" s="9">
        <v>-2.19472473920648E-2</v>
      </c>
      <c r="U1447" s="12">
        <v>2.2751E-2</v>
      </c>
      <c r="V1447" s="16">
        <v>4.0494000000000003</v>
      </c>
      <c r="W1447" s="17">
        <f t="shared" si="22"/>
        <v>-3.3718097019517224E-3</v>
      </c>
    </row>
    <row r="1448" spans="1:23" x14ac:dyDescent="0.2">
      <c r="A1448" s="14">
        <v>43665</v>
      </c>
      <c r="B1448" s="3">
        <v>-117338232786398</v>
      </c>
      <c r="C1448" s="3">
        <f>[1]!nefin_factors__1[[#This Row],[Rm_minus_Rf]]/B1447-1</f>
        <v>-1.1460171447779333</v>
      </c>
      <c r="D1448" s="3">
        <v>-412738197193908</v>
      </c>
      <c r="E1448" s="3">
        <f>[1]!nefin_factors__1[[#This Row],[SMB]]/D1447-1</f>
        <v>0.51910885258737771</v>
      </c>
      <c r="F1448" s="3">
        <v>-630370180147894</v>
      </c>
      <c r="G1448" s="3">
        <f>[1]!nefin_factors__1[[#This Row],[HML]]/F1447-1</f>
        <v>-2.3544691850044921</v>
      </c>
      <c r="H1448" s="3">
        <v>237986969833015</v>
      </c>
      <c r="I1448" s="4">
        <f>[1]!nefin_factors__1[[#This Row],[Risk_Free]]/H1447-1</f>
        <v>-3.1313678827354918E-3</v>
      </c>
      <c r="J1448">
        <v>101031</v>
      </c>
      <c r="K1448">
        <v>101560</v>
      </c>
      <c r="L1448">
        <v>99826</v>
      </c>
      <c r="M1448">
        <v>101516</v>
      </c>
      <c r="N1448">
        <v>4665600</v>
      </c>
      <c r="O1448">
        <v>101516</v>
      </c>
      <c r="P1448">
        <v>4.8005067751482099E-3</v>
      </c>
      <c r="Q1448">
        <v>4.7890210859178103E-3</v>
      </c>
      <c r="R1448" s="8">
        <v>45.256248474121101</v>
      </c>
      <c r="S1448" s="8">
        <v>-1.2732158530546201E-3</v>
      </c>
      <c r="T1448" s="9">
        <v>-1.27402708101083E-3</v>
      </c>
      <c r="U1448" s="12">
        <v>2.2751E-2</v>
      </c>
      <c r="V1448" s="16">
        <v>4.0616000000000003</v>
      </c>
      <c r="W1448" s="17">
        <f t="shared" si="22"/>
        <v>3.0127920185707424E-3</v>
      </c>
    </row>
    <row r="1449" spans="1:23" x14ac:dyDescent="0.2">
      <c r="A1449" s="15">
        <v>43668</v>
      </c>
      <c r="B1449" s="5">
        <v>311272113364039</v>
      </c>
      <c r="C1449" s="5">
        <f>[1]!nefin_factors__1[[#This Row],[Rm_minus_Rf]]/B1448-1</f>
        <v>-3.652776558606242</v>
      </c>
      <c r="D1449" s="5">
        <v>-668092543118748</v>
      </c>
      <c r="E1449" s="5">
        <f>[1]!nefin_factors__1[[#This Row],[SMB]]/D1448-1</f>
        <v>0.6186835811682152</v>
      </c>
      <c r="F1449" s="5">
        <v>-582032000065415</v>
      </c>
      <c r="G1449" s="5">
        <f>[1]!nefin_factors__1[[#This Row],[HML]]/F1448-1</f>
        <v>-7.6682212459888488E-2</v>
      </c>
      <c r="H1449" s="5">
        <v>236491417670015</v>
      </c>
      <c r="I1449" s="6">
        <f>[1]!nefin_factors__1[[#This Row],[Risk_Free]]/H1448-1</f>
        <v>-6.2841766675266753E-3</v>
      </c>
      <c r="J1449">
        <v>101516</v>
      </c>
      <c r="K1449">
        <v>102580</v>
      </c>
      <c r="L1449">
        <v>101057</v>
      </c>
      <c r="M1449">
        <v>102551</v>
      </c>
      <c r="N1449">
        <v>4649400</v>
      </c>
      <c r="O1449">
        <v>102551</v>
      </c>
      <c r="P1449">
        <v>1.01954371724655E-2</v>
      </c>
      <c r="Q1449">
        <v>1.0143814284997599E-2</v>
      </c>
      <c r="R1449" s="8">
        <v>45.890876770019503</v>
      </c>
      <c r="S1449" s="8">
        <v>1.4022973655795501E-2</v>
      </c>
      <c r="T1449" s="9">
        <v>1.3925561377619199E-2</v>
      </c>
      <c r="U1449" s="12">
        <v>2.2751E-2</v>
      </c>
      <c r="V1449" s="16">
        <v>4.0872000000000002</v>
      </c>
      <c r="W1449" s="17">
        <f t="shared" si="22"/>
        <v>6.3029348040180011E-3</v>
      </c>
    </row>
    <row r="1450" spans="1:23" x14ac:dyDescent="0.2">
      <c r="A1450" s="14">
        <v>43669</v>
      </c>
      <c r="B1450" s="3">
        <v>-18621888197323</v>
      </c>
      <c r="C1450" s="3">
        <f>[1]!nefin_factors__1[[#This Row],[Rm_minus_Rf]]/B1449-1</f>
        <v>-1.0598251092784028</v>
      </c>
      <c r="D1450" s="3">
        <v>879147349165168</v>
      </c>
      <c r="E1450" s="3">
        <f>[1]!nefin_factors__1[[#This Row],[SMB]]/D1449-1</f>
        <v>-2.31590654351744</v>
      </c>
      <c r="F1450" s="3">
        <v>100607213018971</v>
      </c>
      <c r="G1450" s="3">
        <f>[1]!nefin_factors__1[[#This Row],[HML]]/F1449-1</f>
        <v>-1.1728551230991831</v>
      </c>
      <c r="H1450" s="3">
        <v>235369385097162</v>
      </c>
      <c r="I1450" s="4">
        <f>[1]!nefin_factors__1[[#This Row],[Risk_Free]]/H1449-1</f>
        <v>-4.7444959479189253E-3</v>
      </c>
      <c r="J1450">
        <v>102546</v>
      </c>
      <c r="K1450">
        <v>102546</v>
      </c>
      <c r="L1450">
        <v>100542</v>
      </c>
      <c r="M1450">
        <v>100573</v>
      </c>
      <c r="N1450">
        <v>3938300</v>
      </c>
      <c r="O1450">
        <v>100573</v>
      </c>
      <c r="P1450">
        <v>-1.9287964037405701E-2</v>
      </c>
      <c r="Q1450">
        <v>-1.9476403830994901E-2</v>
      </c>
      <c r="R1450" s="8">
        <v>44.943058013916001</v>
      </c>
      <c r="S1450" s="8">
        <v>-2.0653767242142601E-2</v>
      </c>
      <c r="T1450" s="9">
        <v>-2.08700393647854E-2</v>
      </c>
      <c r="U1450" s="12">
        <v>2.2751E-2</v>
      </c>
      <c r="V1450" s="16">
        <v>4.0998000000000001</v>
      </c>
      <c r="W1450" s="17">
        <f t="shared" si="22"/>
        <v>3.0827950675278437E-3</v>
      </c>
    </row>
    <row r="1451" spans="1:23" x14ac:dyDescent="0.2">
      <c r="A1451" s="15">
        <v>43670</v>
      </c>
      <c r="B1451" s="5">
        <v>237777124047992</v>
      </c>
      <c r="C1451" s="5">
        <f>[1]!nefin_factors__1[[#This Row],[Rm_minus_Rf]]/B1450-1</f>
        <v>-13.76869034592173</v>
      </c>
      <c r="D1451" s="5">
        <v>-115802032414884</v>
      </c>
      <c r="E1451" s="5">
        <f>[1]!nefin_factors__1[[#This Row],[SMB]]/D1450-1</f>
        <v>-1.131720845800023</v>
      </c>
      <c r="F1451" s="5">
        <v>-100828798158892</v>
      </c>
      <c r="G1451" s="5">
        <f>[1]!nefin_factors__1[[#This Row],[HML]]/F1450-1</f>
        <v>-2.0022024776680696</v>
      </c>
      <c r="H1451" s="5">
        <v>234247036511537</v>
      </c>
      <c r="I1451" s="6">
        <f>[1]!nefin_factors__1[[#This Row],[Risk_Free]]/H1450-1</f>
        <v>-4.7684561233896083E-3</v>
      </c>
      <c r="J1451">
        <v>100565</v>
      </c>
      <c r="K1451">
        <v>101296</v>
      </c>
      <c r="L1451">
        <v>99868</v>
      </c>
      <c r="M1451">
        <v>99981</v>
      </c>
      <c r="N1451">
        <v>4342700</v>
      </c>
      <c r="O1451">
        <v>99981</v>
      </c>
      <c r="P1451">
        <v>-5.8862716633688601E-3</v>
      </c>
      <c r="Q1451">
        <v>-5.9036640448553099E-3</v>
      </c>
      <c r="R1451" s="8">
        <v>44.382610321044901</v>
      </c>
      <c r="S1451" s="8">
        <v>-1.24701694473093E-2</v>
      </c>
      <c r="T1451" s="9">
        <v>-1.25485745084937E-2</v>
      </c>
      <c r="U1451" s="12">
        <v>2.2751E-2</v>
      </c>
      <c r="V1451" s="16">
        <v>4.0972</v>
      </c>
      <c r="W1451" s="17">
        <f t="shared" si="22"/>
        <v>-6.3417727694037307E-4</v>
      </c>
    </row>
    <row r="1452" spans="1:23" x14ac:dyDescent="0.2">
      <c r="A1452" s="14">
        <v>43671</v>
      </c>
      <c r="B1452" s="3">
        <v>-984208340308776</v>
      </c>
      <c r="C1452" s="3">
        <f>[1]!nefin_factors__1[[#This Row],[Rm_minus_Rf]]/B1451-1</f>
        <v>-5.1392053346146422</v>
      </c>
      <c r="D1452" s="3">
        <v>443966413460119</v>
      </c>
      <c r="E1452" s="3">
        <f>[1]!nefin_factors__1[[#This Row],[SMB]]/D1451-1</f>
        <v>-4.8338395639682759</v>
      </c>
      <c r="F1452" s="3">
        <v>-112309546198246</v>
      </c>
      <c r="G1452" s="3">
        <f>[1]!nefin_factors__1[[#This Row],[HML]]/F1451-1</f>
        <v>0.11386377948551907</v>
      </c>
      <c r="H1452" s="3">
        <v>233872850060379</v>
      </c>
      <c r="I1452" s="4">
        <f>[1]!nefin_factors__1[[#This Row],[Risk_Free]]/H1451-1</f>
        <v>-1.5974010033615871E-3</v>
      </c>
      <c r="J1452">
        <v>100005</v>
      </c>
      <c r="K1452">
        <v>101567</v>
      </c>
      <c r="L1452">
        <v>100005</v>
      </c>
      <c r="M1452">
        <v>101249</v>
      </c>
      <c r="N1452">
        <v>3939000</v>
      </c>
      <c r="O1452">
        <v>101249</v>
      </c>
      <c r="P1452">
        <v>1.2682409657835099E-2</v>
      </c>
      <c r="Q1452">
        <v>1.26026614588606E-2</v>
      </c>
      <c r="R1452" s="8">
        <v>44.341400146484403</v>
      </c>
      <c r="S1452" s="8">
        <v>-9.2849898276470299E-4</v>
      </c>
      <c r="T1452" s="9">
        <v>-9.2893030495401095E-4</v>
      </c>
      <c r="U1452" s="12">
        <v>2.0872000000000002E-2</v>
      </c>
      <c r="V1452" s="16">
        <v>4.1393000000000004</v>
      </c>
      <c r="W1452" s="17">
        <f t="shared" si="22"/>
        <v>1.0275309967783031E-2</v>
      </c>
    </row>
    <row r="1453" spans="1:23" x14ac:dyDescent="0.2">
      <c r="A1453" s="15">
        <v>43672</v>
      </c>
      <c r="B1453" s="5">
        <v>210256351184471</v>
      </c>
      <c r="C1453" s="5">
        <f>[1]!nefin_factors__1[[#This Row],[Rm_minus_Rf]]/B1452-1</f>
        <v>-1.2136299222159681</v>
      </c>
      <c r="D1453" s="5">
        <v>-235939397551883</v>
      </c>
      <c r="E1453" s="5">
        <f>[1]!nefin_factors__1[[#This Row],[SMB]]/D1452-1</f>
        <v>-1.5314352401413742</v>
      </c>
      <c r="F1453" s="5">
        <v>-164703801615095</v>
      </c>
      <c r="G1453" s="5">
        <f>[1]!nefin_factors__1[[#This Row],[HML]]/F1452-1</f>
        <v>0.46651649116597782</v>
      </c>
      <c r="H1453" s="5">
        <v>233498628470219</v>
      </c>
      <c r="I1453" s="6">
        <f>[1]!nefin_factors__1[[#This Row],[Risk_Free]]/H1452-1</f>
        <v>-1.6001070242372961E-3</v>
      </c>
      <c r="J1453">
        <v>101244</v>
      </c>
      <c r="K1453">
        <v>102483</v>
      </c>
      <c r="L1453">
        <v>101152</v>
      </c>
      <c r="M1453">
        <v>101817</v>
      </c>
      <c r="N1453">
        <v>4373100</v>
      </c>
      <c r="O1453">
        <v>101817</v>
      </c>
      <c r="P1453">
        <v>5.6099319499451896E-3</v>
      </c>
      <c r="Q1453">
        <v>5.5942548858838696E-3</v>
      </c>
      <c r="R1453" s="8">
        <v>43.377098083496101</v>
      </c>
      <c r="S1453" s="8">
        <v>-2.1747276802001399E-2</v>
      </c>
      <c r="T1453" s="9">
        <v>-2.1987234151049601E-2</v>
      </c>
      <c r="U1453" s="12">
        <v>2.0872000000000002E-2</v>
      </c>
      <c r="V1453" s="16">
        <v>4.1687000000000003</v>
      </c>
      <c r="W1453" s="17">
        <f t="shared" si="22"/>
        <v>7.1026502065565378E-3</v>
      </c>
    </row>
    <row r="1454" spans="1:23" x14ac:dyDescent="0.2">
      <c r="A1454" s="14">
        <v>43675</v>
      </c>
      <c r="B1454" s="3">
        <v>723218734416865</v>
      </c>
      <c r="C1454" s="3">
        <f>[1]!nefin_factors__1[[#This Row],[Rm_minus_Rf]]/B1453-1</f>
        <v>2.4396998252021418</v>
      </c>
      <c r="D1454" s="3">
        <v>-46723682237857</v>
      </c>
      <c r="E1454" s="3">
        <f>[1]!nefin_factors__1[[#This Row],[SMB]]/D1453-1</f>
        <v>-0.80196744281513022</v>
      </c>
      <c r="F1454" s="3">
        <v>-143641248029027</v>
      </c>
      <c r="G1454" s="3">
        <f>[1]!nefin_factors__1[[#This Row],[HML]]/F1453-1</f>
        <v>-0.12788140516203861</v>
      </c>
      <c r="H1454" s="3">
        <v>232750079846689</v>
      </c>
      <c r="I1454" s="4">
        <f>[1]!nefin_factors__1[[#This Row],[Risk_Free]]/H1453-1</f>
        <v>-3.2057945197971893E-3</v>
      </c>
      <c r="J1454">
        <v>101819</v>
      </c>
      <c r="K1454">
        <v>104381</v>
      </c>
      <c r="L1454">
        <v>101819</v>
      </c>
      <c r="M1454">
        <v>103832</v>
      </c>
      <c r="N1454">
        <v>4351800</v>
      </c>
      <c r="O1454">
        <v>103832</v>
      </c>
      <c r="P1454">
        <v>1.9790408281524799E-2</v>
      </c>
      <c r="Q1454">
        <v>1.9597124104908801E-2</v>
      </c>
      <c r="R1454" s="8">
        <v>43.805675506591797</v>
      </c>
      <c r="S1454" s="8">
        <v>9.8802673559323893E-3</v>
      </c>
      <c r="T1454" s="9">
        <v>9.8317766535525007E-3</v>
      </c>
      <c r="U1454" s="12">
        <v>2.0872000000000002E-2</v>
      </c>
      <c r="V1454" s="16">
        <v>4.1734</v>
      </c>
      <c r="W1454" s="17">
        <f t="shared" si="22"/>
        <v>1.1274498044953063E-3</v>
      </c>
    </row>
    <row r="1455" spans="1:23" x14ac:dyDescent="0.2">
      <c r="A1455" s="15">
        <v>43676</v>
      </c>
      <c r="B1455" s="5">
        <v>-384194168914471</v>
      </c>
      <c r="C1455" s="5">
        <f>[1]!nefin_factors__1[[#This Row],[Rm_minus_Rf]]/B1454-1</f>
        <v>-1.531228175697424</v>
      </c>
      <c r="D1455" s="5">
        <v>750941558588126</v>
      </c>
      <c r="E1455" s="5">
        <f>[1]!nefin_factors__1[[#This Row],[SMB]]/D1454-1</f>
        <v>-17.071968702408679</v>
      </c>
      <c r="F1455" s="5">
        <v>398212917674461</v>
      </c>
      <c r="G1455" s="5">
        <f>[1]!nefin_factors__1[[#This Row],[HML]]/F1454-1</f>
        <v>-3.7722741422713773</v>
      </c>
      <c r="H1455" s="5">
        <v>231626993203449</v>
      </c>
      <c r="I1455" s="6">
        <f>[1]!nefin_factors__1[[#This Row],[Risk_Free]]/H1454-1</f>
        <v>-4.825290044926156E-3</v>
      </c>
      <c r="J1455">
        <v>103834</v>
      </c>
      <c r="K1455">
        <v>104305</v>
      </c>
      <c r="L1455">
        <v>103438</v>
      </c>
      <c r="M1455">
        <v>104302</v>
      </c>
      <c r="N1455">
        <v>2987900</v>
      </c>
      <c r="O1455">
        <v>104302</v>
      </c>
      <c r="P1455">
        <v>4.5265428769549797E-3</v>
      </c>
      <c r="Q1455">
        <v>4.5163288928391802E-3</v>
      </c>
      <c r="R1455" s="8">
        <v>44.316673278808601</v>
      </c>
      <c r="S1455" s="8">
        <v>1.1665145974571099E-2</v>
      </c>
      <c r="T1455" s="9">
        <v>1.15976326869383E-2</v>
      </c>
      <c r="U1455" s="12">
        <v>2.0872000000000002E-2</v>
      </c>
      <c r="V1455" s="16">
        <v>4.1721000000000004</v>
      </c>
      <c r="W1455" s="17">
        <f t="shared" si="22"/>
        <v>-3.1149662145968371E-4</v>
      </c>
    </row>
    <row r="1456" spans="1:23" x14ac:dyDescent="0.2">
      <c r="A1456" s="14">
        <v>43677</v>
      </c>
      <c r="B1456" s="3">
        <v>-896676009787076</v>
      </c>
      <c r="C1456" s="3">
        <f>[1]!nefin_factors__1[[#This Row],[Rm_minus_Rf]]/B1455-1</f>
        <v>1.3339136362235973</v>
      </c>
      <c r="D1456" s="3">
        <v>-793854985708085</v>
      </c>
      <c r="E1456" s="3">
        <f>[1]!nefin_factors__1[[#This Row],[SMB]]/D1455-1</f>
        <v>-2.05714616088187</v>
      </c>
      <c r="F1456" s="3">
        <v>-131657538539733</v>
      </c>
      <c r="G1456" s="3">
        <f>[1]!nefin_factors__1[[#This Row],[HML]]/F1455-1</f>
        <v>-1.3306209635503663</v>
      </c>
      <c r="H1456" s="3">
        <v>231252560640716</v>
      </c>
      <c r="I1456" s="4">
        <f>[1]!nefin_factors__1[[#This Row],[Risk_Free]]/H1455-1</f>
        <v>-1.6165325014779741E-3</v>
      </c>
      <c r="J1456">
        <v>104299</v>
      </c>
      <c r="K1456">
        <v>105048</v>
      </c>
      <c r="L1456">
        <v>104052</v>
      </c>
      <c r="M1456">
        <v>104490</v>
      </c>
      <c r="N1456">
        <v>4093400</v>
      </c>
      <c r="O1456">
        <v>104490</v>
      </c>
      <c r="P1456">
        <v>1.80245824624659E-3</v>
      </c>
      <c r="Q1456">
        <v>1.8008357677224899E-3</v>
      </c>
      <c r="R1456" s="8">
        <v>44.217769622802699</v>
      </c>
      <c r="S1456" s="8">
        <v>-2.2317478693317798E-3</v>
      </c>
      <c r="T1456" s="9">
        <v>-2.2342419300419702E-3</v>
      </c>
      <c r="U1456" s="12">
        <v>2.0872000000000002E-2</v>
      </c>
      <c r="V1456" s="16">
        <v>4.1826999999999996</v>
      </c>
      <c r="W1456" s="17">
        <f t="shared" si="22"/>
        <v>2.5406869442246016E-3</v>
      </c>
    </row>
    <row r="1457" spans="1:23" x14ac:dyDescent="0.2">
      <c r="A1457" s="15">
        <v>43678</v>
      </c>
      <c r="B1457" s="5">
        <v>371057357171571</v>
      </c>
      <c r="C1457" s="5">
        <f>[1]!nefin_factors__1[[#This Row],[Rm_minus_Rf]]/B1456-1</f>
        <v>-1.4138143020684606</v>
      </c>
      <c r="D1457" s="5">
        <v>-68428508482717</v>
      </c>
      <c r="E1457" s="5">
        <f>[1]!nefin_factors__1[[#This Row],[SMB]]/D1456-1</f>
        <v>-0.91380225643896196</v>
      </c>
      <c r="F1457" s="5">
        <v>-1201754865283</v>
      </c>
      <c r="G1457" s="5">
        <f>[1]!nefin_factors__1[[#This Row],[HML]]/F1456-1</f>
        <v>-0.99087211504474293</v>
      </c>
      <c r="H1457" s="5">
        <v>22750629872581</v>
      </c>
      <c r="I1457" s="6">
        <f>[1]!nefin_factors__1[[#This Row],[Risk_Free]]/H1456-1</f>
        <v>-0.901619987214207</v>
      </c>
      <c r="J1457">
        <v>104486</v>
      </c>
      <c r="K1457">
        <v>105462</v>
      </c>
      <c r="L1457">
        <v>103521</v>
      </c>
      <c r="M1457">
        <v>105423</v>
      </c>
      <c r="N1457">
        <v>4509400</v>
      </c>
      <c r="O1457">
        <v>105423</v>
      </c>
      <c r="P1457">
        <v>8.9290841228826193E-3</v>
      </c>
      <c r="Q1457">
        <v>8.8894555743103103E-3</v>
      </c>
      <c r="R1457" s="8">
        <v>43.682048797607401</v>
      </c>
      <c r="S1457" s="8">
        <v>-1.2115484688202199E-2</v>
      </c>
      <c r="T1457" s="9">
        <v>-1.21894754023634E-2</v>
      </c>
      <c r="U1457" s="12">
        <v>2.0872000000000002E-2</v>
      </c>
      <c r="V1457" s="16">
        <v>4.1468999999999996</v>
      </c>
      <c r="W1457" s="17">
        <f t="shared" si="22"/>
        <v>-8.5590647189613955E-3</v>
      </c>
    </row>
    <row r="1458" spans="1:23" x14ac:dyDescent="0.2">
      <c r="A1458" s="14">
        <v>43679</v>
      </c>
      <c r="B1458" s="3">
        <v>534776725453404</v>
      </c>
      <c r="C1458" s="3">
        <f>[1]!nefin_factors__1[[#This Row],[Rm_minus_Rf]]/B1457-1</f>
        <v>0.44122388390248735</v>
      </c>
      <c r="D1458" s="3">
        <v>-428238306617724</v>
      </c>
      <c r="E1458" s="3">
        <f>[1]!nefin_factors__1[[#This Row],[SMB]]/D1457-1</f>
        <v>5.258185602947699</v>
      </c>
      <c r="F1458" s="3">
        <v>397902269929984</v>
      </c>
      <c r="G1458" s="3">
        <f>[1]!nefin_factors__1[[#This Row],[HML]]/F1457-1</f>
        <v>-332.10102686065051</v>
      </c>
      <c r="H1458" s="3">
        <v>22750629872581</v>
      </c>
      <c r="I1458" s="4">
        <f>[1]!nefin_factors__1[[#This Row],[Risk_Free]]/H1457-1</f>
        <v>0</v>
      </c>
      <c r="J1458">
        <v>105389</v>
      </c>
      <c r="K1458">
        <v>105891</v>
      </c>
      <c r="L1458">
        <v>104827</v>
      </c>
      <c r="M1458">
        <v>105016</v>
      </c>
      <c r="N1458">
        <v>4189000</v>
      </c>
      <c r="O1458">
        <v>105016</v>
      </c>
      <c r="P1458">
        <v>-3.8606376217713602E-3</v>
      </c>
      <c r="Q1458">
        <v>-3.8681091192235002E-3</v>
      </c>
      <c r="R1458" s="8">
        <v>43.228744506835902</v>
      </c>
      <c r="S1458" s="8">
        <v>-1.03773780389145E-2</v>
      </c>
      <c r="T1458" s="9">
        <v>-1.04315984631517E-2</v>
      </c>
      <c r="U1458" s="12">
        <v>2.0872000000000002E-2</v>
      </c>
      <c r="V1458" s="16">
        <v>4.1586999999999996</v>
      </c>
      <c r="W1458" s="17">
        <f t="shared" si="22"/>
        <v>2.8454990474813258E-3</v>
      </c>
    </row>
    <row r="1459" spans="1:23" x14ac:dyDescent="0.2">
      <c r="A1459" s="15">
        <v>43682</v>
      </c>
      <c r="B1459" s="5">
        <v>-227958604246921</v>
      </c>
      <c r="C1459" s="5">
        <f>[1]!nefin_factors__1[[#This Row],[Rm_minus_Rf]]/B1458-1</f>
        <v>-1.4262687461830899</v>
      </c>
      <c r="D1459" s="5">
        <v>944494036039174</v>
      </c>
      <c r="E1459" s="5">
        <f>[1]!nefin_factors__1[[#This Row],[SMB]]/D1458-1</f>
        <v>-3.2055337447481005</v>
      </c>
      <c r="F1459" s="5">
        <v>-167178381219171</v>
      </c>
      <c r="G1459" s="5">
        <f>[1]!nefin_factors__1[[#This Row],[HML]]/F1458-1</f>
        <v>-1.4201493528764946</v>
      </c>
      <c r="H1459" s="5">
        <v>227131478759857</v>
      </c>
      <c r="I1459" s="6">
        <f>[1]!nefin_factors__1[[#This Row],[Risk_Free]]/H1458-1</f>
        <v>8.9835248532435266</v>
      </c>
      <c r="J1459">
        <v>105012</v>
      </c>
      <c r="K1459">
        <v>105464</v>
      </c>
      <c r="L1459">
        <v>104525</v>
      </c>
      <c r="M1459">
        <v>104729</v>
      </c>
      <c r="N1459">
        <v>4478100</v>
      </c>
      <c r="O1459">
        <v>104729</v>
      </c>
      <c r="P1459">
        <v>-2.7329168888550201E-3</v>
      </c>
      <c r="Q1459">
        <v>-2.7366581240936601E-3</v>
      </c>
      <c r="R1459" s="8">
        <v>42.6600532531738</v>
      </c>
      <c r="S1459" s="8">
        <v>-1.31553706232334E-2</v>
      </c>
      <c r="T1459" s="9">
        <v>-1.32426689848349E-2</v>
      </c>
      <c r="U1459" s="12">
        <v>2.0872000000000002E-2</v>
      </c>
      <c r="V1459" s="16">
        <v>4.1643999999999997</v>
      </c>
      <c r="W1459" s="17">
        <f t="shared" si="22"/>
        <v>1.3706206266381749E-3</v>
      </c>
    </row>
    <row r="1460" spans="1:23" x14ac:dyDescent="0.2">
      <c r="A1460" s="14">
        <v>43683</v>
      </c>
      <c r="B1460" s="3">
        <v>192857488699046</v>
      </c>
      <c r="C1460" s="3">
        <f>[1]!nefin_factors__1[[#This Row],[Rm_minus_Rf]]/B1459-1</f>
        <v>-1.8460197821273987</v>
      </c>
      <c r="D1460" s="3">
        <v>-39167774867579</v>
      </c>
      <c r="E1460" s="3">
        <f>[1]!nefin_factors__1[[#This Row],[SMB]]/D1459-1</f>
        <v>-1.0414695841085804</v>
      </c>
      <c r="F1460" s="3">
        <v>281373968434612</v>
      </c>
      <c r="G1460" s="3">
        <f>[1]!nefin_factors__1[[#This Row],[HML]]/F1459-1</f>
        <v>-2.683076282846228</v>
      </c>
      <c r="H1460" s="3">
        <v>22675662353544</v>
      </c>
      <c r="I1460" s="4">
        <f>[1]!nefin_factors__1[[#This Row],[Risk_Free]]/H1459-1</f>
        <v>-0.90016503886932087</v>
      </c>
      <c r="J1460">
        <v>104729</v>
      </c>
      <c r="K1460">
        <v>106027</v>
      </c>
      <c r="L1460">
        <v>104696</v>
      </c>
      <c r="M1460">
        <v>106022</v>
      </c>
      <c r="N1460">
        <v>3504900</v>
      </c>
      <c r="O1460">
        <v>106022</v>
      </c>
      <c r="P1460">
        <v>1.2346150540919899E-2</v>
      </c>
      <c r="Q1460">
        <v>1.22705583699316E-2</v>
      </c>
      <c r="R1460" s="8">
        <v>42.363346099853501</v>
      </c>
      <c r="S1460" s="8">
        <v>-6.9551498337166997E-3</v>
      </c>
      <c r="T1460" s="9">
        <v>-6.97944962633498E-3</v>
      </c>
      <c r="U1460" s="12">
        <v>2.0872000000000002E-2</v>
      </c>
      <c r="V1460" s="16">
        <v>4.1740000000000004</v>
      </c>
      <c r="W1460" s="17">
        <f t="shared" si="22"/>
        <v>2.3052540582078063E-3</v>
      </c>
    </row>
    <row r="1461" spans="1:23" x14ac:dyDescent="0.2">
      <c r="A1461" s="15">
        <v>43684</v>
      </c>
      <c r="B1461" s="5">
        <v>611467043107226</v>
      </c>
      <c r="C1461" s="5">
        <f>[1]!nefin_factors__1[[#This Row],[Rm_minus_Rf]]/B1460-1</f>
        <v>2.1705641675207126</v>
      </c>
      <c r="D1461" s="5">
        <v>293334400905354</v>
      </c>
      <c r="E1461" s="5">
        <f>[1]!nefin_factors__1[[#This Row],[SMB]]/D1460-1</f>
        <v>-8.4891770568299663</v>
      </c>
      <c r="F1461" s="5">
        <v>444597568800361</v>
      </c>
      <c r="G1461" s="5">
        <f>[1]!nefin_factors__1[[#This Row],[HML]]/F1460-1</f>
        <v>0.58009488679362398</v>
      </c>
      <c r="H1461" s="5">
        <v>22675662353544</v>
      </c>
      <c r="I1461" s="6">
        <f>[1]!nefin_factors__1[[#This Row],[Risk_Free]]/H1460-1</f>
        <v>0</v>
      </c>
      <c r="J1461">
        <v>107101</v>
      </c>
      <c r="K1461">
        <v>107382</v>
      </c>
      <c r="L1461">
        <v>107076</v>
      </c>
      <c r="M1461">
        <v>107381</v>
      </c>
      <c r="N1461">
        <v>5224900</v>
      </c>
      <c r="O1461">
        <v>107381</v>
      </c>
      <c r="P1461">
        <v>1.2818094357774701E-2</v>
      </c>
      <c r="Q1461">
        <v>1.2736637925293099E-2</v>
      </c>
      <c r="R1461" s="8">
        <v>43.352371215820298</v>
      </c>
      <c r="S1461" s="8">
        <v>2.3346239468588999E-2</v>
      </c>
      <c r="T1461" s="9">
        <v>2.30778847100233E-2</v>
      </c>
      <c r="U1461" s="12">
        <v>2.0872000000000002E-2</v>
      </c>
      <c r="V1461" s="16">
        <v>4.1546000000000003</v>
      </c>
      <c r="W1461" s="17">
        <f t="shared" si="22"/>
        <v>-4.6478198370867307E-3</v>
      </c>
    </row>
    <row r="1462" spans="1:23" x14ac:dyDescent="0.2">
      <c r="A1462" s="14">
        <v>43685</v>
      </c>
      <c r="B1462" s="3">
        <v>114220493155469</v>
      </c>
      <c r="C1462" s="3">
        <f>[1]!nefin_factors__1[[#This Row],[Rm_minus_Rf]]/B1461-1</f>
        <v>-0.81320253569996659</v>
      </c>
      <c r="D1462" s="3">
        <v>101956858733591</v>
      </c>
      <c r="E1462" s="3">
        <f>[1]!nefin_factors__1[[#This Row],[SMB]]/D1461-1</f>
        <v>-0.65242106476802919</v>
      </c>
      <c r="F1462" s="3">
        <v>88946712363504</v>
      </c>
      <c r="G1462" s="3">
        <f>[1]!nefin_factors__1[[#This Row],[HML]]/F1461-1</f>
        <v>-0.79993882421915807</v>
      </c>
      <c r="H1462" s="3">
        <v>226381733046122</v>
      </c>
      <c r="I1462" s="4">
        <f>[1]!nefin_factors__1[[#This Row],[Risk_Free]]/H1461-1</f>
        <v>8.9834672750249602</v>
      </c>
      <c r="J1462">
        <v>107381</v>
      </c>
      <c r="K1462">
        <v>107959</v>
      </c>
      <c r="L1462">
        <v>107041</v>
      </c>
      <c r="M1462">
        <v>107544</v>
      </c>
      <c r="N1462">
        <v>4656200</v>
      </c>
      <c r="O1462">
        <v>107544</v>
      </c>
      <c r="P1462">
        <v>1.51795941553901E-3</v>
      </c>
      <c r="Q1462">
        <v>1.51680847971409E-3</v>
      </c>
      <c r="R1462" s="8">
        <v>43.6902885437012</v>
      </c>
      <c r="S1462" s="8">
        <v>7.7946433283442298E-3</v>
      </c>
      <c r="T1462" s="9">
        <v>7.7644220372404598E-3</v>
      </c>
      <c r="U1462" s="12">
        <v>2.0872000000000002E-2</v>
      </c>
      <c r="V1462" s="16">
        <v>4.1012000000000004</v>
      </c>
      <c r="W1462" s="17">
        <f t="shared" si="22"/>
        <v>-1.2853222933615682E-2</v>
      </c>
    </row>
    <row r="1463" spans="1:23" x14ac:dyDescent="0.2">
      <c r="A1463" s="15">
        <v>43686</v>
      </c>
      <c r="B1463" s="5">
        <v>-221860405258728</v>
      </c>
      <c r="C1463" s="5">
        <f>[1]!nefin_factors__1[[#This Row],[Rm_minus_Rf]]/B1462-1</f>
        <v>-2.9423870369456999</v>
      </c>
      <c r="D1463" s="5">
        <v>-685364615584504</v>
      </c>
      <c r="E1463" s="5">
        <f>[1]!nefin_factors__1[[#This Row],[SMB]]/D1462-1</f>
        <v>-7.7221040751690184</v>
      </c>
      <c r="F1463" s="5">
        <v>-262436499606852</v>
      </c>
      <c r="G1463" s="5">
        <f>[1]!nefin_factors__1[[#This Row],[HML]]/F1462-1</f>
        <v>-3.9504912844258553</v>
      </c>
      <c r="H1463" s="5">
        <v>226006807285239</v>
      </c>
      <c r="I1463" s="6">
        <f>[1]!nefin_factors__1[[#This Row],[Risk_Free]]/H1462-1</f>
        <v>-1.6561661395472216E-3</v>
      </c>
      <c r="J1463">
        <v>107553</v>
      </c>
      <c r="K1463">
        <v>107744</v>
      </c>
      <c r="L1463">
        <v>106593</v>
      </c>
      <c r="M1463">
        <v>106986</v>
      </c>
      <c r="N1463">
        <v>5619200</v>
      </c>
      <c r="O1463">
        <v>106986</v>
      </c>
      <c r="P1463">
        <v>-5.1885739790225004E-3</v>
      </c>
      <c r="Q1463">
        <v>-5.2020813719869602E-3</v>
      </c>
      <c r="R1463" s="8">
        <v>43.723258972167997</v>
      </c>
      <c r="S1463" s="8">
        <v>7.5464019971871498E-4</v>
      </c>
      <c r="T1463" s="9">
        <v>7.5435560197346496E-4</v>
      </c>
      <c r="U1463" s="12">
        <v>2.0872000000000002E-2</v>
      </c>
      <c r="V1463" s="16">
        <v>4.0609999999999999</v>
      </c>
      <c r="W1463" s="17">
        <f t="shared" si="22"/>
        <v>-9.80200916804852E-3</v>
      </c>
    </row>
    <row r="1464" spans="1:23" x14ac:dyDescent="0.2">
      <c r="A1464" s="14">
        <v>43689</v>
      </c>
      <c r="B1464" s="3">
        <v>-199379799334886</v>
      </c>
      <c r="C1464" s="3">
        <f>[1]!nefin_factors__1[[#This Row],[Rm_minus_Rf]]/B1463-1</f>
        <v>-0.10132770603040087</v>
      </c>
      <c r="D1464" s="3">
        <v>105852753004291</v>
      </c>
      <c r="E1464" s="3">
        <f>[1]!nefin_factors__1[[#This Row],[SMB]]/D1463-1</f>
        <v>-1.1544473563374962</v>
      </c>
      <c r="F1464" s="3">
        <v>406019842652467</v>
      </c>
      <c r="G1464" s="3">
        <f>[1]!nefin_factors__1[[#This Row],[HML]]/F1463-1</f>
        <v>-2.5471165148929846</v>
      </c>
      <c r="H1464" s="3">
        <v>226006807285239</v>
      </c>
      <c r="I1464" s="4">
        <f>[1]!nefin_factors__1[[#This Row],[Risk_Free]]/H1463-1</f>
        <v>0</v>
      </c>
      <c r="J1464">
        <v>106990</v>
      </c>
      <c r="K1464">
        <v>108083</v>
      </c>
      <c r="L1464">
        <v>106990</v>
      </c>
      <c r="M1464">
        <v>107364</v>
      </c>
      <c r="N1464">
        <v>5398900</v>
      </c>
      <c r="O1464">
        <v>107364</v>
      </c>
      <c r="P1464">
        <v>3.5331725646345902E-3</v>
      </c>
      <c r="Q1464">
        <v>3.52694557349461E-3</v>
      </c>
      <c r="R1464" s="8">
        <v>43.945789337158203</v>
      </c>
      <c r="S1464" s="8">
        <v>5.0895397822743301E-3</v>
      </c>
      <c r="T1464" s="9">
        <v>5.0766318530974198E-3</v>
      </c>
      <c r="U1464" s="12">
        <v>2.0872000000000002E-2</v>
      </c>
      <c r="V1464" s="16">
        <v>4.0688000000000004</v>
      </c>
      <c r="W1464" s="17">
        <f t="shared" si="22"/>
        <v>1.9207091849300362E-3</v>
      </c>
    </row>
    <row r="1465" spans="1:23" x14ac:dyDescent="0.2">
      <c r="A1465" s="15">
        <v>43690</v>
      </c>
      <c r="B1465" s="5">
        <v>11963886725288</v>
      </c>
      <c r="C1465" s="5">
        <f>[1]!nefin_factors__1[[#This Row],[Rm_minus_Rf]]/B1464-1</f>
        <v>-1.060005510915341</v>
      </c>
      <c r="D1465" s="5">
        <v>943737371663444</v>
      </c>
      <c r="E1465" s="5">
        <f>[1]!nefin_factors__1[[#This Row],[SMB]]/D1464-1</f>
        <v>7.9155675679515607</v>
      </c>
      <c r="F1465" s="5">
        <v>927287974051991</v>
      </c>
      <c r="G1465" s="5">
        <f>[1]!nefin_factors__1[[#This Row],[HML]]/F1464-1</f>
        <v>1.283848907467569</v>
      </c>
      <c r="H1465" s="5">
        <v>225631846246133</v>
      </c>
      <c r="I1465" s="6">
        <f>[1]!nefin_factors__1[[#This Row],[Risk_Free]]/H1464-1</f>
        <v>-1.6590696696704432E-3</v>
      </c>
      <c r="J1465">
        <v>107366</v>
      </c>
      <c r="K1465">
        <v>108393</v>
      </c>
      <c r="L1465">
        <v>107362</v>
      </c>
      <c r="M1465">
        <v>108187</v>
      </c>
      <c r="N1465">
        <v>3967200</v>
      </c>
      <c r="O1465">
        <v>108187</v>
      </c>
      <c r="P1465">
        <v>7.6655117171491299E-3</v>
      </c>
      <c r="Q1465">
        <v>7.6362809662810296E-3</v>
      </c>
      <c r="R1465" s="8">
        <v>43.393581390380902</v>
      </c>
      <c r="S1465" s="8">
        <v>-1.2565681074761499E-2</v>
      </c>
      <c r="T1465" s="9">
        <v>-1.26452968996844E-2</v>
      </c>
      <c r="U1465" s="12">
        <v>2.0872000000000002E-2</v>
      </c>
      <c r="V1465" s="16">
        <v>4.0868000000000002</v>
      </c>
      <c r="W1465" s="17">
        <f t="shared" si="22"/>
        <v>4.4239087691702039E-3</v>
      </c>
    </row>
    <row r="1466" spans="1:23" x14ac:dyDescent="0.2">
      <c r="A1466" s="14">
        <v>43691</v>
      </c>
      <c r="B1466" s="3">
        <v>-264667288099791</v>
      </c>
      <c r="C1466" s="3">
        <f>[1]!nefin_factors__1[[#This Row],[Rm_minus_Rf]]/B1465-1</f>
        <v>-23.122182713445895</v>
      </c>
      <c r="D1466" s="3">
        <v>776378067945077</v>
      </c>
      <c r="E1466" s="3">
        <f>[1]!nefin_factors__1[[#This Row],[SMB]]/D1465-1</f>
        <v>-0.17733673450207577</v>
      </c>
      <c r="F1466" s="3">
        <v>-104435676387203</v>
      </c>
      <c r="G1466" s="3">
        <f>[1]!nefin_factors__1[[#This Row],[HML]]/F1465-1</f>
        <v>-1.1126248579832736</v>
      </c>
      <c r="H1466" s="3">
        <v>22525684992214</v>
      </c>
      <c r="I1466" s="4">
        <f>[1]!nefin_factors__1[[#This Row],[Risk_Free]]/H1465-1</f>
        <v>-0.90016619831386036</v>
      </c>
      <c r="J1466">
        <v>108189</v>
      </c>
      <c r="K1466">
        <v>108195</v>
      </c>
      <c r="L1466">
        <v>107313</v>
      </c>
      <c r="M1466">
        <v>107556</v>
      </c>
      <c r="N1466">
        <v>4313200</v>
      </c>
      <c r="O1466">
        <v>107556</v>
      </c>
      <c r="P1466">
        <v>-5.8324937376949002E-3</v>
      </c>
      <c r="Q1466">
        <v>-5.84956915651531E-3</v>
      </c>
      <c r="R1466" s="8">
        <v>42.857860565185497</v>
      </c>
      <c r="S1466" s="8">
        <v>-1.2345597921414099E-2</v>
      </c>
      <c r="T1466" s="9">
        <v>-1.24224378939923E-2</v>
      </c>
      <c r="U1466" s="12">
        <v>2.0872000000000002E-2</v>
      </c>
      <c r="V1466" s="16">
        <v>4.0953999999999997</v>
      </c>
      <c r="W1466" s="17">
        <f t="shared" si="22"/>
        <v>2.1043359107368875E-3</v>
      </c>
    </row>
    <row r="1467" spans="1:23" x14ac:dyDescent="0.2">
      <c r="A1467" s="15">
        <v>43692</v>
      </c>
      <c r="B1467" s="5">
        <v>-138132164774577</v>
      </c>
      <c r="C1467" s="5">
        <f>[1]!nefin_factors__1[[#This Row],[Rm_minus_Rf]]/B1466-1</f>
        <v>-0.4780912829601548</v>
      </c>
      <c r="D1467" s="5">
        <v>-915150101365584</v>
      </c>
      <c r="E1467" s="5">
        <f>[1]!nefin_factors__1[[#This Row],[SMB]]/D1466-1</f>
        <v>-2.1787428562836784</v>
      </c>
      <c r="F1467" s="5">
        <v>-112219199053621</v>
      </c>
      <c r="G1467" s="5">
        <f>[1]!nefin_factors__1[[#This Row],[HML]]/F1466-1</f>
        <v>7.4529346059482693E-2</v>
      </c>
      <c r="H1467" s="5">
        <v>22525684992214</v>
      </c>
      <c r="I1467" s="6">
        <f>[1]!nefin_factors__1[[#This Row],[Risk_Free]]/H1466-1</f>
        <v>0</v>
      </c>
      <c r="J1467">
        <v>107557</v>
      </c>
      <c r="K1467">
        <v>108408</v>
      </c>
      <c r="L1467">
        <v>106622</v>
      </c>
      <c r="M1467">
        <v>108408</v>
      </c>
      <c r="N1467">
        <v>5450600</v>
      </c>
      <c r="O1467">
        <v>108408</v>
      </c>
      <c r="P1467">
        <v>7.92145487002127E-3</v>
      </c>
      <c r="Q1467">
        <v>7.8902448571878496E-3</v>
      </c>
      <c r="R1467" s="8">
        <v>42.445762634277301</v>
      </c>
      <c r="S1467" s="8">
        <v>-9.6155004109810295E-3</v>
      </c>
      <c r="T1467" s="9">
        <v>-9.6620278315692303E-3</v>
      </c>
      <c r="U1467" s="12">
        <v>2.0872000000000002E-2</v>
      </c>
      <c r="V1467" s="16">
        <v>4.1144999999999996</v>
      </c>
      <c r="W1467" s="17">
        <f t="shared" si="22"/>
        <v>4.6637691068027731E-3</v>
      </c>
    </row>
    <row r="1468" spans="1:23" x14ac:dyDescent="0.2">
      <c r="A1468" s="14">
        <v>43693</v>
      </c>
      <c r="B1468" s="3">
        <v>682681207534584</v>
      </c>
      <c r="C1468" s="3">
        <f>[1]!nefin_factors__1[[#This Row],[Rm_minus_Rf]]/B1467-1</f>
        <v>-5.94223201850689</v>
      </c>
      <c r="D1468" s="3">
        <v>-400214519435399</v>
      </c>
      <c r="E1468" s="3">
        <f>[1]!nefin_factors__1[[#This Row],[SMB]]/D1467-1</f>
        <v>-0.56267882302782879</v>
      </c>
      <c r="F1468" s="3">
        <v>-360590037342235</v>
      </c>
      <c r="G1468" s="3">
        <f>[1]!nefin_factors__1[[#This Row],[HML]]/F1467-1</f>
        <v>2.2132651131286059</v>
      </c>
      <c r="H1468" s="3">
        <v>224881818306599</v>
      </c>
      <c r="I1468" s="4">
        <f>[1]!nefin_factors__1[[#This Row],[Risk_Free]]/H1467-1</f>
        <v>8.9833509340261735</v>
      </c>
      <c r="J1468">
        <v>108403</v>
      </c>
      <c r="K1468">
        <v>108403</v>
      </c>
      <c r="L1468">
        <v>106356</v>
      </c>
      <c r="M1468">
        <v>107220</v>
      </c>
      <c r="N1468">
        <v>5376000</v>
      </c>
      <c r="O1468">
        <v>107220</v>
      </c>
      <c r="P1468">
        <v>-1.09586008412663E-2</v>
      </c>
      <c r="Q1468">
        <v>-1.1019088621021E-2</v>
      </c>
      <c r="R1468" s="8">
        <v>42.223232269287102</v>
      </c>
      <c r="S1468" s="8">
        <v>-5.2427204905389803E-3</v>
      </c>
      <c r="T1468" s="9">
        <v>-5.2565117732888402E-3</v>
      </c>
      <c r="U1468" s="12">
        <v>2.0872000000000002E-2</v>
      </c>
      <c r="V1468" s="16">
        <v>4.1059999999999999</v>
      </c>
      <c r="W1468" s="17">
        <f t="shared" si="22"/>
        <v>-2.0658646251062729E-3</v>
      </c>
    </row>
    <row r="1469" spans="1:23" x14ac:dyDescent="0.2">
      <c r="A1469" s="15">
        <v>43696</v>
      </c>
      <c r="B1469" s="5">
        <v>-409396649445334</v>
      </c>
      <c r="C1469" s="5">
        <f>[1]!nefin_factors__1[[#This Row],[Rm_minus_Rf]]/B1468-1</f>
        <v>-1.5996893497681264</v>
      </c>
      <c r="D1469" s="5">
        <v>-402853524431341</v>
      </c>
      <c r="E1469" s="5">
        <f>[1]!nefin_factors__1[[#This Row],[SMB]]/D1468-1</f>
        <v>6.5939761497533222E-3</v>
      </c>
      <c r="F1469" s="5">
        <v>-478180241690595</v>
      </c>
      <c r="G1469" s="5">
        <f>[1]!nefin_factors__1[[#This Row],[HML]]/F1468-1</f>
        <v>0.32610497288020035</v>
      </c>
      <c r="H1469" s="5">
        <v>22450675139285</v>
      </c>
      <c r="I1469" s="6">
        <f>[1]!nefin_factors__1[[#This Row],[Risk_Free]]/H1468-1</f>
        <v>-0.90016678400974048</v>
      </c>
      <c r="J1469">
        <v>107221</v>
      </c>
      <c r="K1469">
        <v>108496</v>
      </c>
      <c r="L1469">
        <v>107220</v>
      </c>
      <c r="M1469">
        <v>108196</v>
      </c>
      <c r="N1469">
        <v>5466300</v>
      </c>
      <c r="O1469">
        <v>108196</v>
      </c>
      <c r="P1469">
        <v>9.1027793322140393E-3</v>
      </c>
      <c r="Q1469">
        <v>9.0615987529249001E-3</v>
      </c>
      <c r="R1469" s="8">
        <v>43.723258972167997</v>
      </c>
      <c r="S1469" s="8">
        <v>3.5526137066356898E-2</v>
      </c>
      <c r="T1469" s="9">
        <v>3.4909642545437498E-2</v>
      </c>
      <c r="U1469" s="12">
        <v>2.0872000000000002E-2</v>
      </c>
      <c r="V1469" s="16">
        <v>4.1262999999999996</v>
      </c>
      <c r="W1469" s="17">
        <f t="shared" si="22"/>
        <v>4.9439844130541033E-3</v>
      </c>
    </row>
    <row r="1470" spans="1:23" x14ac:dyDescent="0.2">
      <c r="A1470" s="14">
        <v>43697</v>
      </c>
      <c r="B1470" s="3">
        <v>-282839141225457</v>
      </c>
      <c r="C1470" s="3">
        <f>[1]!nefin_factors__1[[#This Row],[Rm_minus_Rf]]/B1469-1</f>
        <v>-0.30913176351428839</v>
      </c>
      <c r="D1470" s="3">
        <v>-715770456805763</v>
      </c>
      <c r="E1470" s="3">
        <f>[1]!nefin_factors__1[[#This Row],[SMB]]/D1469-1</f>
        <v>0.77675113508347371</v>
      </c>
      <c r="F1470" s="3">
        <v>-786393579288792</v>
      </c>
      <c r="G1470" s="3">
        <f>[1]!nefin_factors__1[[#This Row],[HML]]/F1469-1</f>
        <v>0.64455473214141179</v>
      </c>
      <c r="H1470" s="3">
        <v>224131649174009</v>
      </c>
      <c r="I1470" s="4">
        <f>[1]!nefin_factors__1[[#This Row],[Risk_Free]]/H1469-1</f>
        <v>8.9832921630857943</v>
      </c>
      <c r="J1470">
        <v>108196</v>
      </c>
      <c r="K1470">
        <v>109352</v>
      </c>
      <c r="L1470">
        <v>108196</v>
      </c>
      <c r="M1470">
        <v>108601</v>
      </c>
      <c r="N1470">
        <v>5182200</v>
      </c>
      <c r="O1470">
        <v>108601</v>
      </c>
      <c r="P1470">
        <v>3.7432067728937501E-3</v>
      </c>
      <c r="Q1470">
        <v>3.7362184082549302E-3</v>
      </c>
      <c r="R1470" s="8">
        <v>43.179294586181598</v>
      </c>
      <c r="S1470" s="8">
        <v>-1.2441116821653501E-2</v>
      </c>
      <c r="T1470" s="9">
        <v>-1.25191554495361E-2</v>
      </c>
      <c r="U1470" s="12">
        <v>2.0872000000000002E-2</v>
      </c>
      <c r="V1470" s="16">
        <v>4.1487999999999996</v>
      </c>
      <c r="W1470" s="17">
        <f t="shared" si="22"/>
        <v>5.4528269878584279E-3</v>
      </c>
    </row>
    <row r="1471" spans="1:23" x14ac:dyDescent="0.2">
      <c r="A1471" s="15">
        <v>43698</v>
      </c>
      <c r="B1471" s="5">
        <v>188272022708054</v>
      </c>
      <c r="C1471" s="5">
        <f>[1]!nefin_factors__1[[#This Row],[Rm_minus_Rf]]/B1470-1</f>
        <v>-1.6656505245077746</v>
      </c>
      <c r="D1471" s="5">
        <v>708987937970427</v>
      </c>
      <c r="E1471" s="5">
        <f>[1]!nefin_factors__1[[#This Row],[SMB]]/D1470-1</f>
        <v>-1.9905241704643637</v>
      </c>
      <c r="F1471" s="5">
        <v>156935895975224</v>
      </c>
      <c r="G1471" s="5">
        <f>[1]!nefin_factors__1[[#This Row],[HML]]/F1470-1</f>
        <v>-1.1995640606795843</v>
      </c>
      <c r="H1471" s="5">
        <v>223756511643858</v>
      </c>
      <c r="I1471" s="6">
        <f>[1]!nefin_factors__1[[#This Row],[Risk_Free]]/H1470-1</f>
        <v>-1.6737374285760165E-3</v>
      </c>
      <c r="J1471">
        <v>108779</v>
      </c>
      <c r="K1471">
        <v>109343</v>
      </c>
      <c r="L1471">
        <v>108253</v>
      </c>
      <c r="M1471">
        <v>108451</v>
      </c>
      <c r="N1471">
        <v>5657600</v>
      </c>
      <c r="O1471">
        <v>108451</v>
      </c>
      <c r="P1471">
        <v>-1.38120275135589E-3</v>
      </c>
      <c r="Q1471">
        <v>-1.38215749110344E-3</v>
      </c>
      <c r="R1471" s="8">
        <v>42.940277099609403</v>
      </c>
      <c r="S1471" s="8">
        <v>-5.5354424420136503E-3</v>
      </c>
      <c r="T1471" s="9">
        <v>-5.5508197766828797E-3</v>
      </c>
      <c r="U1471" s="12">
        <v>2.0872000000000002E-2</v>
      </c>
      <c r="V1471" s="16">
        <v>4.1714000000000002</v>
      </c>
      <c r="W1471" s="17">
        <f t="shared" si="22"/>
        <v>5.4473582722716074E-3</v>
      </c>
    </row>
    <row r="1472" spans="1:23" x14ac:dyDescent="0.2">
      <c r="A1472" s="14">
        <v>43699</v>
      </c>
      <c r="B1472" s="3">
        <v>-117354076351295</v>
      </c>
      <c r="C1472" s="3">
        <f>[1]!nefin_factors__1[[#This Row],[Rm_minus_Rf]]/B1471-1</f>
        <v>-1.623321907648867</v>
      </c>
      <c r="D1472" s="3">
        <v>115345863576823</v>
      </c>
      <c r="E1472" s="3">
        <f>[1]!nefin_factors__1[[#This Row],[SMB]]/D1471-1</f>
        <v>-0.83730913122864126</v>
      </c>
      <c r="F1472" s="3">
        <v>661732208629215</v>
      </c>
      <c r="G1472" s="3">
        <f>[1]!nefin_factors__1[[#This Row],[HML]]/F1471-1</f>
        <v>3.2165764850489333</v>
      </c>
      <c r="H1472" s="3">
        <v>223381338795514</v>
      </c>
      <c r="I1472" s="4">
        <f>[1]!nefin_factors__1[[#This Row],[Risk_Free]]/H1471-1</f>
        <v>-1.6767013642987605E-3</v>
      </c>
      <c r="J1472">
        <v>108719</v>
      </c>
      <c r="K1472">
        <v>109633</v>
      </c>
      <c r="L1472">
        <v>107446</v>
      </c>
      <c r="M1472">
        <v>108336</v>
      </c>
      <c r="N1472">
        <v>5505500</v>
      </c>
      <c r="O1472">
        <v>108336</v>
      </c>
      <c r="P1472">
        <v>-1.06038671842579E-3</v>
      </c>
      <c r="Q1472">
        <v>-1.06094932617845E-3</v>
      </c>
      <c r="R1472" s="8">
        <v>42.602359771728501</v>
      </c>
      <c r="S1472" s="8">
        <v>-7.8694481761604207E-3</v>
      </c>
      <c r="T1472" s="9">
        <v>-7.9005756952693507E-3</v>
      </c>
      <c r="U1472" s="12">
        <v>2.0872000000000002E-2</v>
      </c>
      <c r="V1472" s="16">
        <v>4.1456999999999997</v>
      </c>
      <c r="W1472" s="17">
        <f t="shared" si="22"/>
        <v>-6.161001102747421E-3</v>
      </c>
    </row>
    <row r="1473" spans="1:23" x14ac:dyDescent="0.2">
      <c r="A1473" s="15">
        <v>43700</v>
      </c>
      <c r="B1473" s="5">
        <v>-222149651682091</v>
      </c>
      <c r="C1473" s="5">
        <f>[1]!nefin_factors__1[[#This Row],[Rm_minus_Rf]]/B1472-1</f>
        <v>0.89298623949878309</v>
      </c>
      <c r="D1473" s="5">
        <v>-519536147804476</v>
      </c>
      <c r="E1473" s="5">
        <f>[1]!nefin_factors__1[[#This Row],[SMB]]/D1472-1</f>
        <v>-5.504159331716763</v>
      </c>
      <c r="F1473" s="5">
        <v>-100494939754691</v>
      </c>
      <c r="G1473" s="5">
        <f>[1]!nefin_factors__1[[#This Row],[HML]]/F1472-1</f>
        <v>-1.15186647777485</v>
      </c>
      <c r="H1473" s="5">
        <v>223006130622316</v>
      </c>
      <c r="I1473" s="6">
        <f>[1]!nefin_factors__1[[#This Row],[Risk_Free]]/H1472-1</f>
        <v>-1.6796755504338012E-3</v>
      </c>
      <c r="J1473">
        <v>108360</v>
      </c>
      <c r="K1473">
        <v>109672</v>
      </c>
      <c r="L1473">
        <v>108360</v>
      </c>
      <c r="M1473">
        <v>109581</v>
      </c>
      <c r="N1473">
        <v>6075600</v>
      </c>
      <c r="O1473">
        <v>109581</v>
      </c>
      <c r="P1473">
        <v>1.1492024811697E-2</v>
      </c>
      <c r="Q1473">
        <v>1.14264930782153E-2</v>
      </c>
      <c r="R1473" s="8">
        <v>42.709503173828097</v>
      </c>
      <c r="S1473" s="8">
        <v>2.5149405114450701E-3</v>
      </c>
      <c r="T1473" s="9">
        <v>2.5117833408466201E-3</v>
      </c>
      <c r="U1473" s="12">
        <v>2.0872000000000002E-2</v>
      </c>
      <c r="V1473" s="16">
        <v>4.1375999999999999</v>
      </c>
      <c r="W1473" s="17">
        <f t="shared" si="22"/>
        <v>-1.9538316810188139E-3</v>
      </c>
    </row>
    <row r="1474" spans="1:23" x14ac:dyDescent="0.2">
      <c r="A1474" s="14">
        <v>43703</v>
      </c>
      <c r="B1474" s="3">
        <v>-125504840275814</v>
      </c>
      <c r="C1474" s="3">
        <f>[1]!nefin_factors__1[[#This Row],[Rm_minus_Rf]]/B1473-1</f>
        <v>-0.4350437224388779</v>
      </c>
      <c r="D1474" s="3">
        <v>-988162899363572</v>
      </c>
      <c r="E1474" s="3">
        <f>[1]!nefin_factors__1[[#This Row],[SMB]]/D1473-1</f>
        <v>0.90200990545023751</v>
      </c>
      <c r="F1474" s="3">
        <v>-111585816692017</v>
      </c>
      <c r="G1474" s="3">
        <f>[1]!nefin_factors__1[[#This Row],[HML]]/F1473-1</f>
        <v>0.11036254128216738</v>
      </c>
      <c r="H1474" s="3">
        <v>223006130622316</v>
      </c>
      <c r="I1474" s="4">
        <f>[1]!nefin_factors__1[[#This Row],[Risk_Free]]/H1473-1</f>
        <v>0</v>
      </c>
      <c r="J1474">
        <v>109572</v>
      </c>
      <c r="K1474">
        <v>109572</v>
      </c>
      <c r="L1474">
        <v>107127</v>
      </c>
      <c r="M1474">
        <v>107629</v>
      </c>
      <c r="N1474">
        <v>5419600</v>
      </c>
      <c r="O1474">
        <v>107629</v>
      </c>
      <c r="P1474">
        <v>-1.7813307051404902E-2</v>
      </c>
      <c r="Q1474">
        <v>-1.7973873678305299E-2</v>
      </c>
      <c r="R1474" s="8">
        <v>36.6681938171387</v>
      </c>
      <c r="S1474" s="8">
        <v>-0.141451119338242</v>
      </c>
      <c r="T1474" s="9">
        <v>-0.15251166297745999</v>
      </c>
      <c r="U1474" s="12">
        <v>2.0872000000000002E-2</v>
      </c>
      <c r="V1474" s="16">
        <v>4.1318999999999999</v>
      </c>
      <c r="W1474" s="17">
        <f t="shared" si="22"/>
        <v>-1.3776102088166597E-3</v>
      </c>
    </row>
    <row r="1475" spans="1:23" x14ac:dyDescent="0.2">
      <c r="A1475" s="15">
        <v>43704</v>
      </c>
      <c r="B1475" s="5">
        <v>782261267185897</v>
      </c>
      <c r="C1475" s="5">
        <f>[1]!nefin_factors__1[[#This Row],[Rm_minus_Rf]]/B1474-1</f>
        <v>-7.2329171167165445</v>
      </c>
      <c r="D1475" s="5">
        <v>328245593875046</v>
      </c>
      <c r="E1475" s="5">
        <f>[1]!nefin_factors__1[[#This Row],[SMB]]/D1474-1</f>
        <v>-1.3321776137177921</v>
      </c>
      <c r="F1475" s="5">
        <v>811454906355189</v>
      </c>
      <c r="G1475" s="5">
        <f>[1]!nefin_factors__1[[#This Row],[HML]]/F1474-1</f>
        <v>-8.2720255173186494</v>
      </c>
      <c r="H1475" s="5">
        <v>223006130622316</v>
      </c>
      <c r="I1475" s="6">
        <f>[1]!nefin_factors__1[[#This Row],[Risk_Free]]/H1474-1</f>
        <v>0</v>
      </c>
      <c r="J1475">
        <v>107622</v>
      </c>
      <c r="K1475">
        <v>108263</v>
      </c>
      <c r="L1475">
        <v>106814</v>
      </c>
      <c r="M1475">
        <v>108215</v>
      </c>
      <c r="N1475">
        <v>3928900</v>
      </c>
      <c r="O1475">
        <v>108215</v>
      </c>
      <c r="P1475">
        <v>5.4446292356149497E-3</v>
      </c>
      <c r="Q1475">
        <v>5.4298608232930803E-3</v>
      </c>
      <c r="R1475" s="8">
        <v>36.017086029052699</v>
      </c>
      <c r="S1475" s="8">
        <v>-1.7756766179276899E-2</v>
      </c>
      <c r="T1475" s="9">
        <v>-1.79163090165445E-2</v>
      </c>
      <c r="U1475" s="12">
        <v>2.0872000000000002E-2</v>
      </c>
      <c r="V1475" s="16">
        <v>4.0857999999999999</v>
      </c>
      <c r="W1475" s="17">
        <f t="shared" si="22"/>
        <v>-1.1157094799002842E-2</v>
      </c>
    </row>
    <row r="1476" spans="1:23" x14ac:dyDescent="0.2">
      <c r="A1476" s="14">
        <v>43705</v>
      </c>
      <c r="B1476" s="3">
        <v>937635805942767</v>
      </c>
      <c r="C1476" s="3">
        <f>[1]!nefin_factors__1[[#This Row],[Rm_minus_Rf]]/B1475-1</f>
        <v>0.19862230852335783</v>
      </c>
      <c r="D1476" s="3">
        <v>745387575970842</v>
      </c>
      <c r="E1476" s="3">
        <f>[1]!nefin_factors__1[[#This Row],[SMB]]/D1475-1</f>
        <v>1.2708227920786359</v>
      </c>
      <c r="F1476" s="3">
        <v>592935584899951</v>
      </c>
      <c r="G1476" s="3">
        <f>[1]!nefin_factors__1[[#This Row],[HML]]/F1475-1</f>
        <v>-0.26929324075044536</v>
      </c>
      <c r="H1476" s="3">
        <v>223006130622316</v>
      </c>
      <c r="I1476" s="4">
        <f>[1]!nefin_factors__1[[#This Row],[Risk_Free]]/H1475-1</f>
        <v>0</v>
      </c>
      <c r="J1476">
        <v>108368</v>
      </c>
      <c r="K1476">
        <v>108368</v>
      </c>
      <c r="L1476">
        <v>106232</v>
      </c>
      <c r="M1476">
        <v>106785</v>
      </c>
      <c r="N1476">
        <v>5219300</v>
      </c>
      <c r="O1476">
        <v>106785</v>
      </c>
      <c r="P1476">
        <v>-1.32144342281569E-2</v>
      </c>
      <c r="Q1476">
        <v>-1.3302521742546401E-2</v>
      </c>
      <c r="R1476" s="8">
        <v>33.6269340515137</v>
      </c>
      <c r="S1476" s="8">
        <v>-6.63616507688813E-2</v>
      </c>
      <c r="T1476" s="9">
        <v>-6.8666122127710894E-2</v>
      </c>
      <c r="U1476" s="12">
        <v>2.0872000000000002E-2</v>
      </c>
      <c r="V1476" s="16">
        <v>4.0720999999999998</v>
      </c>
      <c r="W1476" s="17">
        <f t="shared" ref="W1476:W1539" si="23">V1476/V1475-1</f>
        <v>-3.3530765088843895E-3</v>
      </c>
    </row>
    <row r="1477" spans="1:23" x14ac:dyDescent="0.2">
      <c r="A1477" s="15">
        <v>43706</v>
      </c>
      <c r="B1477" s="5">
        <v>230025758770435</v>
      </c>
      <c r="C1477" s="5">
        <f>[1]!nefin_factors__1[[#This Row],[Rm_minus_Rf]]/B1476-1</f>
        <v>-0.75467472838331884</v>
      </c>
      <c r="D1477" s="5">
        <v>1091457345781</v>
      </c>
      <c r="E1477" s="5">
        <f>[1]!nefin_factors__1[[#This Row],[SMB]]/D1476-1</f>
        <v>-0.99853571835516652</v>
      </c>
      <c r="F1477" s="5">
        <v>26043019737176</v>
      </c>
      <c r="G1477" s="5">
        <f>[1]!nefin_factors__1[[#This Row],[HML]]/F1476-1</f>
        <v>-0.95607782632649652</v>
      </c>
      <c r="H1477" s="5">
        <v>222630887117603</v>
      </c>
      <c r="I1477" s="6">
        <f>[1]!nefin_factors__1[[#This Row],[Risk_Free]]/H1476-1</f>
        <v>-1.6826600401784741E-3</v>
      </c>
      <c r="J1477">
        <v>106751</v>
      </c>
      <c r="K1477">
        <v>106786</v>
      </c>
      <c r="L1477">
        <v>105261</v>
      </c>
      <c r="M1477">
        <v>105914</v>
      </c>
      <c r="N1477">
        <v>5339000</v>
      </c>
      <c r="O1477">
        <v>105914</v>
      </c>
      <c r="P1477">
        <v>-8.1565762981692397E-3</v>
      </c>
      <c r="Q1477">
        <v>-8.1900231654029997E-3</v>
      </c>
      <c r="R1477" s="8">
        <v>33.544517517089801</v>
      </c>
      <c r="S1477" s="8">
        <v>-2.4508498482493902E-3</v>
      </c>
      <c r="T1477" s="9">
        <v>-2.4538580969210998E-3</v>
      </c>
      <c r="U1477" s="12">
        <v>2.0872000000000002E-2</v>
      </c>
      <c r="V1477" s="16">
        <v>4.0088999999999997</v>
      </c>
      <c r="W1477" s="17">
        <f t="shared" si="23"/>
        <v>-1.5520247538125309E-2</v>
      </c>
    </row>
    <row r="1478" spans="1:23" x14ac:dyDescent="0.2">
      <c r="A1478" s="14">
        <v>43707</v>
      </c>
      <c r="B1478" s="3">
        <v>798237276758841</v>
      </c>
      <c r="C1478" s="3">
        <f>[1]!nefin_factors__1[[#This Row],[Rm_minus_Rf]]/B1477-1</f>
        <v>2.4702082107051297</v>
      </c>
      <c r="D1478" s="3">
        <v>827568659505935</v>
      </c>
      <c r="E1478" s="3">
        <f>[1]!nefin_factors__1[[#This Row],[SMB]]/D1477-1</f>
        <v>757.22354643988626</v>
      </c>
      <c r="F1478" s="3">
        <v>138795058726708</v>
      </c>
      <c r="G1478" s="3">
        <f>[1]!nefin_factors__1[[#This Row],[HML]]/F1477-1</f>
        <v>4.3294533478612021</v>
      </c>
      <c r="H1478" s="3">
        <v>221880294086763</v>
      </c>
      <c r="I1478" s="4">
        <f>[1]!nefin_factors__1[[#This Row],[Risk_Free]]/H1477-1</f>
        <v>-3.3714685350173523E-3</v>
      </c>
      <c r="J1478">
        <v>106052</v>
      </c>
      <c r="K1478">
        <v>106758</v>
      </c>
      <c r="L1478">
        <v>105820</v>
      </c>
      <c r="M1478">
        <v>106557</v>
      </c>
      <c r="N1478">
        <v>5364300</v>
      </c>
      <c r="O1478">
        <v>106557</v>
      </c>
      <c r="P1478">
        <v>6.0709632343221003E-3</v>
      </c>
      <c r="Q1478">
        <v>6.0526091840750196E-3</v>
      </c>
      <c r="R1478" s="8">
        <v>33.511550903320298</v>
      </c>
      <c r="S1478" s="8">
        <v>-9.8277147296532696E-4</v>
      </c>
      <c r="T1478" s="9">
        <v>-9.8325470948268292E-4</v>
      </c>
      <c r="U1478" s="12">
        <v>2.0872000000000002E-2</v>
      </c>
      <c r="V1478" s="16">
        <v>4.0133000000000001</v>
      </c>
      <c r="W1478" s="17">
        <f t="shared" si="23"/>
        <v>1.0975579335978924E-3</v>
      </c>
    </row>
    <row r="1479" spans="1:23" x14ac:dyDescent="0.2">
      <c r="A1479" s="15">
        <v>43710</v>
      </c>
      <c r="B1479" s="5">
        <v>-447083713320597</v>
      </c>
      <c r="C1479" s="5">
        <f>[1]!nefin_factors__1[[#This Row],[Rm_minus_Rf]]/B1478-1</f>
        <v>-1.5600887434572508</v>
      </c>
      <c r="D1479" s="5">
        <v>659111729722704</v>
      </c>
      <c r="E1479" s="5">
        <f>[1]!nefin_factors__1[[#This Row],[SMB]]/D1478-1</f>
        <v>-0.2035564395150018</v>
      </c>
      <c r="F1479" s="5">
        <v>725906243198389</v>
      </c>
      <c r="G1479" s="5">
        <f>[1]!nefin_factors__1[[#This Row],[HML]]/F1478-1</f>
        <v>4.2300582589739166</v>
      </c>
      <c r="H1479" s="5">
        <v>221129559649924</v>
      </c>
      <c r="I1479" s="6">
        <f>[1]!nefin_factors__1[[#This Row],[Risk_Free]]/H1478-1</f>
        <v>-3.3835110951557779E-3</v>
      </c>
      <c r="J1479">
        <v>106566</v>
      </c>
      <c r="K1479">
        <v>107519</v>
      </c>
      <c r="L1479">
        <v>106282</v>
      </c>
      <c r="M1479">
        <v>106347</v>
      </c>
      <c r="N1479">
        <v>4919800</v>
      </c>
      <c r="O1479">
        <v>106347</v>
      </c>
      <c r="P1479">
        <v>-1.97077620428499E-3</v>
      </c>
      <c r="Q1479">
        <v>-1.9727207389571401E-3</v>
      </c>
      <c r="R1479" s="8">
        <v>32.291748046875</v>
      </c>
      <c r="S1479" s="8">
        <v>-3.6399522555351803E-2</v>
      </c>
      <c r="T1479" s="9">
        <v>-3.7078512761418797E-2</v>
      </c>
      <c r="U1479" s="12">
        <v>2.0872000000000002E-2</v>
      </c>
      <c r="V1479" s="16">
        <v>3.9792999999999998</v>
      </c>
      <c r="W1479" s="17">
        <f t="shared" si="23"/>
        <v>-8.4718311613884989E-3</v>
      </c>
    </row>
    <row r="1480" spans="1:23" x14ac:dyDescent="0.2">
      <c r="A1480" s="14">
        <v>43711</v>
      </c>
      <c r="B1480" s="3">
        <v>-868059975057006</v>
      </c>
      <c r="C1480" s="3">
        <f>[1]!nefin_factors__1[[#This Row],[Rm_minus_Rf]]/B1479-1</f>
        <v>0.94160500414948745</v>
      </c>
      <c r="D1480" s="3">
        <v>300217872573769</v>
      </c>
      <c r="E1480" s="3">
        <f>[1]!nefin_factors__1[[#This Row],[SMB]]/D1479-1</f>
        <v>-0.5445114097725523</v>
      </c>
      <c r="F1480" s="3">
        <v>-555616287107547</v>
      </c>
      <c r="G1480" s="3">
        <f>[1]!nefin_factors__1[[#This Row],[HML]]/F1479-1</f>
        <v>-1.7654105365721424</v>
      </c>
      <c r="H1480" s="3">
        <v>220003192741292</v>
      </c>
      <c r="I1480" s="4">
        <f>[1]!nefin_factors__1[[#This Row],[Risk_Free]]/H1479-1</f>
        <v>-5.0936967016764756E-3</v>
      </c>
      <c r="J1480">
        <v>106269</v>
      </c>
      <c r="K1480">
        <v>106950</v>
      </c>
      <c r="L1480">
        <v>105367</v>
      </c>
      <c r="M1480">
        <v>105618</v>
      </c>
      <c r="N1480">
        <v>3610300</v>
      </c>
      <c r="O1480">
        <v>105618</v>
      </c>
      <c r="P1480">
        <v>-6.85491833338037E-3</v>
      </c>
      <c r="Q1480">
        <v>-6.8785212117709899E-3</v>
      </c>
      <c r="R1480" s="8">
        <v>32.143394470214801</v>
      </c>
      <c r="S1480" s="8">
        <v>-4.5941624383192296E-3</v>
      </c>
      <c r="T1480" s="9">
        <v>-4.6047480363214403E-3</v>
      </c>
      <c r="U1480" s="12">
        <v>2.0872000000000002E-2</v>
      </c>
      <c r="V1480" s="16">
        <v>3.9946000000000002</v>
      </c>
      <c r="W1480" s="17">
        <f t="shared" si="23"/>
        <v>3.844897343753928E-3</v>
      </c>
    </row>
    <row r="1481" spans="1:23" x14ac:dyDescent="0.2">
      <c r="A1481" s="15">
        <v>43712</v>
      </c>
      <c r="B1481" s="5">
        <v>131901016700978</v>
      </c>
      <c r="C1481" s="5">
        <f>[1]!nefin_factors__1[[#This Row],[Rm_minus_Rf]]/B1480-1</f>
        <v>-1.1519491976257932</v>
      </c>
      <c r="D1481" s="5">
        <v>-193612825515673</v>
      </c>
      <c r="E1481" s="5">
        <f>[1]!nefin_factors__1[[#This Row],[SMB]]/D1480-1</f>
        <v>-1.644907726031863</v>
      </c>
      <c r="F1481" s="5">
        <v>-111886035652224</v>
      </c>
      <c r="G1481" s="5">
        <f>[1]!nefin_factors__1[[#This Row],[HML]]/F1480-1</f>
        <v>-0.79862714926035461</v>
      </c>
      <c r="H1481" s="5">
        <v>219252104555201</v>
      </c>
      <c r="I1481" s="6">
        <f>[1]!nefin_factors__1[[#This Row],[Risk_Free]]/H1480-1</f>
        <v>-3.4139876641436917E-3</v>
      </c>
      <c r="J1481">
        <v>105866</v>
      </c>
      <c r="K1481">
        <v>107497</v>
      </c>
      <c r="L1481">
        <v>105864</v>
      </c>
      <c r="M1481">
        <v>107497</v>
      </c>
      <c r="N1481">
        <v>5819400</v>
      </c>
      <c r="O1481">
        <v>107497</v>
      </c>
      <c r="P1481">
        <v>1.7790528129674899E-2</v>
      </c>
      <c r="Q1481">
        <v>1.7634128909676101E-2</v>
      </c>
      <c r="R1481" s="8">
        <v>33.9978218078613</v>
      </c>
      <c r="S1481" s="8">
        <v>5.7692286952796698E-2</v>
      </c>
      <c r="T1481" s="9">
        <v>5.6089447042778399E-2</v>
      </c>
      <c r="U1481" s="12">
        <v>2.0872000000000002E-2</v>
      </c>
      <c r="V1481" s="16">
        <v>4.0186000000000002</v>
      </c>
      <c r="W1481" s="17">
        <f t="shared" si="23"/>
        <v>6.0081109497822638E-3</v>
      </c>
    </row>
    <row r="1482" spans="1:23" x14ac:dyDescent="0.2">
      <c r="A1482" s="14">
        <v>43713</v>
      </c>
      <c r="B1482" s="3">
        <v>838791357109553</v>
      </c>
      <c r="C1482" s="3">
        <f>[1]!nefin_factors__1[[#This Row],[Rm_minus_Rf]]/B1481-1</f>
        <v>5.3592486099717354</v>
      </c>
      <c r="D1482" s="3">
        <v>-975300615404332</v>
      </c>
      <c r="E1482" s="3">
        <f>[1]!nefin_factors__1[[#This Row],[SMB]]/D1481-1</f>
        <v>4.0373760767484965</v>
      </c>
      <c r="F1482" s="3">
        <v>360809566795956</v>
      </c>
      <c r="G1482" s="3">
        <f>[1]!nefin_factors__1[[#This Row],[HML]]/F1481-1</f>
        <v>-4.2247953436965311</v>
      </c>
      <c r="H1482" s="3">
        <v>218125206772557</v>
      </c>
      <c r="I1482" s="4">
        <f>[1]!nefin_factors__1[[#This Row],[Risk_Free]]/H1481-1</f>
        <v>-5.139735305757509E-3</v>
      </c>
      <c r="J1482">
        <v>107497</v>
      </c>
      <c r="K1482">
        <v>108692</v>
      </c>
      <c r="L1482">
        <v>107157</v>
      </c>
      <c r="M1482">
        <v>108692</v>
      </c>
      <c r="N1482">
        <v>4796100</v>
      </c>
      <c r="O1482">
        <v>108692</v>
      </c>
      <c r="P1482">
        <v>1.11165893001666E-2</v>
      </c>
      <c r="Q1482">
        <v>1.1055254161083499E-2</v>
      </c>
      <c r="R1482" s="8">
        <v>34.533542633056598</v>
      </c>
      <c r="S1482" s="8">
        <v>1.5757585507571101E-2</v>
      </c>
      <c r="T1482" s="9">
        <v>1.56347237461445E-2</v>
      </c>
      <c r="U1482" s="12">
        <v>1.8984999999999998E-2</v>
      </c>
      <c r="V1482" s="16">
        <v>4.0041000000000002</v>
      </c>
      <c r="W1482" s="17">
        <f t="shared" si="23"/>
        <v>-3.6082217687751772E-3</v>
      </c>
    </row>
    <row r="1483" spans="1:23" x14ac:dyDescent="0.2">
      <c r="A1483" s="15">
        <v>43714</v>
      </c>
      <c r="B1483" s="5">
        <v>46241263132955</v>
      </c>
      <c r="C1483" s="5">
        <f>[1]!nefin_factors__1[[#This Row],[Rm_minus_Rf]]/B1482-1</f>
        <v>-0.944871555076222</v>
      </c>
      <c r="D1483" s="5">
        <v>7400990211.93999</v>
      </c>
      <c r="E1483" s="5">
        <f>[1]!nefin_factors__1[[#This Row],[SMB]]/D1482-1</f>
        <v>-1.0000075884195037</v>
      </c>
      <c r="F1483" s="5">
        <v>17510108136812</v>
      </c>
      <c r="G1483" s="5">
        <f>[1]!nefin_factors__1[[#This Row],[HML]]/F1482-1</f>
        <v>-0.95146994495654746</v>
      </c>
      <c r="H1483" s="5">
        <v>217373764503481</v>
      </c>
      <c r="I1483" s="6">
        <f>[1]!nefin_factors__1[[#This Row],[Risk_Free]]/H1482-1</f>
        <v>-3.4450042716042129E-3</v>
      </c>
      <c r="J1483">
        <v>108692</v>
      </c>
      <c r="K1483">
        <v>108915</v>
      </c>
      <c r="L1483">
        <v>108080</v>
      </c>
      <c r="M1483">
        <v>108424</v>
      </c>
      <c r="N1483">
        <v>4512400</v>
      </c>
      <c r="O1483">
        <v>108424</v>
      </c>
      <c r="P1483">
        <v>-2.4656828469437099E-3</v>
      </c>
      <c r="Q1483">
        <v>-2.4687276489350099E-3</v>
      </c>
      <c r="R1483" s="8">
        <v>34.665412902832003</v>
      </c>
      <c r="S1483" s="8">
        <v>3.81861293014873E-3</v>
      </c>
      <c r="T1483" s="9">
        <v>3.8113405355542098E-3</v>
      </c>
      <c r="U1483" s="12">
        <v>1.8984999999999998E-2</v>
      </c>
      <c r="V1483" s="16">
        <v>3.9786000000000001</v>
      </c>
      <c r="W1483" s="17">
        <f t="shared" si="23"/>
        <v>-6.368472315876228E-3</v>
      </c>
    </row>
    <row r="1484" spans="1:23" x14ac:dyDescent="0.2">
      <c r="A1484" s="14">
        <v>43717</v>
      </c>
      <c r="B1484" s="3">
        <v>157933527636736</v>
      </c>
      <c r="C1484" s="3">
        <f>[1]!nefin_factors__1[[#This Row],[Rm_minus_Rf]]/B1483-1</f>
        <v>2.4154241674289536</v>
      </c>
      <c r="D1484" s="3">
        <v>-541687043216882</v>
      </c>
      <c r="E1484" s="3">
        <f>[1]!nefin_factors__1[[#This Row],[SMB]]/D1483-1</f>
        <v>-73192.157899787562</v>
      </c>
      <c r="F1484" s="3">
        <v>70825765823887</v>
      </c>
      <c r="G1484" s="3">
        <f>[1]!nefin_factors__1[[#This Row],[HML]]/F1483-1</f>
        <v>3.0448502813633667</v>
      </c>
      <c r="H1484" s="3">
        <v>216246335345005</v>
      </c>
      <c r="I1484" s="4">
        <f>[1]!nefin_factors__1[[#This Row],[Risk_Free]]/H1483-1</f>
        <v>-5.1865926003132889E-3</v>
      </c>
      <c r="J1484">
        <v>108424</v>
      </c>
      <c r="K1484">
        <v>108424</v>
      </c>
      <c r="L1484">
        <v>106414</v>
      </c>
      <c r="M1484">
        <v>107059</v>
      </c>
      <c r="N1484">
        <v>6904900</v>
      </c>
      <c r="O1484">
        <v>107059</v>
      </c>
      <c r="P1484">
        <v>-1.25894635873977E-2</v>
      </c>
      <c r="Q1484">
        <v>-1.26693823488001E-2</v>
      </c>
      <c r="R1484" s="8">
        <v>34.278045654296903</v>
      </c>
      <c r="S1484" s="8">
        <v>-1.1174483542217201E-2</v>
      </c>
      <c r="T1484" s="9">
        <v>-1.1237387132517099E-2</v>
      </c>
      <c r="U1484" s="12">
        <v>1.8984999999999998E-2</v>
      </c>
      <c r="V1484" s="16">
        <v>3.9922</v>
      </c>
      <c r="W1484" s="17">
        <f t="shared" si="23"/>
        <v>3.418287839943579E-3</v>
      </c>
    </row>
    <row r="1485" spans="1:23" x14ac:dyDescent="0.2">
      <c r="A1485" s="15">
        <v>43718</v>
      </c>
      <c r="B1485" s="5">
        <v>-243774986629146</v>
      </c>
      <c r="C1485" s="5">
        <f>[1]!nefin_factors__1[[#This Row],[Rm_minus_Rf]]/B1484-1</f>
        <v>-2.5435290421034256</v>
      </c>
      <c r="D1485" s="5">
        <v>440142108757319</v>
      </c>
      <c r="E1485" s="5">
        <f>[1]!nefin_factors__1[[#This Row],[SMB]]/D1484-1</f>
        <v>-1.812539480626074</v>
      </c>
      <c r="F1485" s="5">
        <v>216923015088483</v>
      </c>
      <c r="G1485" s="5">
        <f>[1]!nefin_factors__1[[#This Row],[HML]]/F1484-1</f>
        <v>2.0627697782735814</v>
      </c>
      <c r="H1485" s="5">
        <v>2151185871202</v>
      </c>
      <c r="I1485" s="6">
        <f>[1]!nefin_factors__1[[#This Row],[Risk_Free]]/H1484-1</f>
        <v>-0.99005215109069966</v>
      </c>
      <c r="J1485">
        <v>107059</v>
      </c>
      <c r="K1485">
        <v>107991</v>
      </c>
      <c r="L1485">
        <v>106312</v>
      </c>
      <c r="M1485">
        <v>107708</v>
      </c>
      <c r="N1485">
        <v>4418200</v>
      </c>
      <c r="O1485">
        <v>107708</v>
      </c>
      <c r="P1485">
        <v>6.0620779196518502E-3</v>
      </c>
      <c r="Q1485">
        <v>6.0437774473174896E-3</v>
      </c>
      <c r="R1485" s="8">
        <v>33.659904479980497</v>
      </c>
      <c r="S1485" s="8">
        <v>-1.8033174271730502E-2</v>
      </c>
      <c r="T1485" s="9">
        <v>-1.8197753552412099E-2</v>
      </c>
      <c r="U1485" s="12">
        <v>1.8984999999999998E-2</v>
      </c>
      <c r="V1485" s="16">
        <v>4.0042999999999997</v>
      </c>
      <c r="W1485" s="17">
        <f t="shared" si="23"/>
        <v>3.0309102750363248E-3</v>
      </c>
    </row>
    <row r="1486" spans="1:23" x14ac:dyDescent="0.2">
      <c r="A1486" s="14">
        <v>43719</v>
      </c>
      <c r="B1486" s="3">
        <v>678601307652393</v>
      </c>
      <c r="C1486" s="3">
        <f>[1]!nefin_factors__1[[#This Row],[Rm_minus_Rf]]/B1485-1</f>
        <v>-3.7837200076837525</v>
      </c>
      <c r="D1486" s="3">
        <v>690700027644434</v>
      </c>
      <c r="E1486" s="3">
        <f>[1]!nefin_factors__1[[#This Row],[SMB]]/D1485-1</f>
        <v>0.56926595729395446</v>
      </c>
      <c r="F1486" s="3">
        <v>-181747882299765</v>
      </c>
      <c r="G1486" s="3">
        <f>[1]!nefin_factors__1[[#This Row],[HML]]/F1485-1</f>
        <v>-1.837845086311519</v>
      </c>
      <c r="H1486" s="3">
        <v>214366577621528</v>
      </c>
      <c r="I1486" s="4">
        <f>[1]!nefin_factors__1[[#This Row],[Risk_Free]]/H1485-1</f>
        <v>98.650420956766595</v>
      </c>
      <c r="J1486">
        <v>107708</v>
      </c>
      <c r="K1486">
        <v>108333</v>
      </c>
      <c r="L1486">
        <v>107148</v>
      </c>
      <c r="M1486">
        <v>108290</v>
      </c>
      <c r="N1486">
        <v>3666100</v>
      </c>
      <c r="O1486">
        <v>108290</v>
      </c>
      <c r="P1486">
        <v>5.4034983473836302E-3</v>
      </c>
      <c r="Q1486">
        <v>5.38895182805583E-3</v>
      </c>
      <c r="R1486" s="8">
        <v>33.2972602844238</v>
      </c>
      <c r="S1486" s="8">
        <v>-1.0773771510038801E-2</v>
      </c>
      <c r="T1486" s="9">
        <v>-1.08322288360434E-2</v>
      </c>
      <c r="U1486" s="12">
        <v>1.8984999999999998E-2</v>
      </c>
      <c r="V1486" s="16">
        <v>4.0350999999999999</v>
      </c>
      <c r="W1486" s="17">
        <f t="shared" si="23"/>
        <v>7.6917313887572281E-3</v>
      </c>
    </row>
    <row r="1487" spans="1:23" x14ac:dyDescent="0.2">
      <c r="A1487" s="15">
        <v>43720</v>
      </c>
      <c r="B1487" s="5">
        <v>762356113362173</v>
      </c>
      <c r="C1487" s="5">
        <f>[1]!nefin_factors__1[[#This Row],[Rm_minus_Rf]]/B1486-1</f>
        <v>0.12342270014115941</v>
      </c>
      <c r="D1487" s="5">
        <v>-718977788850596</v>
      </c>
      <c r="E1487" s="5">
        <f>[1]!nefin_factors__1[[#This Row],[SMB]]/D1486-1</f>
        <v>-2.0409407269065856</v>
      </c>
      <c r="F1487" s="5">
        <v>904381232785759</v>
      </c>
      <c r="G1487" s="5">
        <f>[1]!nefin_factors__1[[#This Row],[HML]]/F1486-1</f>
        <v>-5.9760207455629226</v>
      </c>
      <c r="H1487" s="5">
        <v>213238297216867</v>
      </c>
      <c r="I1487" s="6">
        <f>[1]!nefin_factors__1[[#This Row],[Risk_Free]]/H1486-1</f>
        <v>-5.2633223759956937E-3</v>
      </c>
      <c r="J1487">
        <v>108283</v>
      </c>
      <c r="K1487">
        <v>108708</v>
      </c>
      <c r="L1487">
        <v>107759</v>
      </c>
      <c r="M1487">
        <v>108233</v>
      </c>
      <c r="N1487">
        <v>4186600</v>
      </c>
      <c r="O1487">
        <v>108233</v>
      </c>
      <c r="P1487">
        <v>-5.2636439191056095E-4</v>
      </c>
      <c r="Q1487">
        <v>-5.2650297027770896E-4</v>
      </c>
      <c r="R1487" s="8">
        <v>33.082969665527301</v>
      </c>
      <c r="S1487" s="8">
        <v>-6.4356242659646696E-3</v>
      </c>
      <c r="T1487" s="9">
        <v>-6.4564221755186802E-3</v>
      </c>
      <c r="U1487" s="12">
        <v>1.8984999999999998E-2</v>
      </c>
      <c r="V1487" s="16">
        <v>4.0926999999999998</v>
      </c>
      <c r="W1487" s="17">
        <f t="shared" si="23"/>
        <v>1.4274739163837369E-2</v>
      </c>
    </row>
    <row r="1488" spans="1:23" x14ac:dyDescent="0.2">
      <c r="A1488" s="14">
        <v>43721</v>
      </c>
      <c r="B1488" s="3">
        <v>-873119936914323</v>
      </c>
      <c r="C1488" s="3">
        <f>[1]!nefin_factors__1[[#This Row],[Rm_minus_Rf]]/B1487-1</f>
        <v>-2.1452914479345551</v>
      </c>
      <c r="D1488" s="3">
        <v>250092873834153</v>
      </c>
      <c r="E1488" s="3">
        <f>[1]!nefin_factors__1[[#This Row],[SMB]]/D1487-1</f>
        <v>-1.3478450624100189</v>
      </c>
      <c r="F1488" s="3">
        <v>-291958763803042</v>
      </c>
      <c r="G1488" s="3">
        <f>[1]!nefin_factors__1[[#This Row],[HML]]/F1487-1</f>
        <v>-1.3228270924018664</v>
      </c>
      <c r="H1488" s="3">
        <v>212862132746405</v>
      </c>
      <c r="I1488" s="4">
        <f>[1]!nefin_factors__1[[#This Row],[Risk_Free]]/H1487-1</f>
        <v>-1.7640568104867471E-3</v>
      </c>
      <c r="J1488">
        <v>108246</v>
      </c>
      <c r="K1488">
        <v>109279</v>
      </c>
      <c r="L1488">
        <v>108245</v>
      </c>
      <c r="M1488">
        <v>109061</v>
      </c>
      <c r="N1488">
        <v>4708000</v>
      </c>
      <c r="O1488">
        <v>109061</v>
      </c>
      <c r="P1488">
        <v>7.6501621501761097E-3</v>
      </c>
      <c r="Q1488">
        <v>7.62104805049284E-3</v>
      </c>
      <c r="R1488" s="8">
        <v>33.676387786865199</v>
      </c>
      <c r="S1488" s="8">
        <v>1.7937264108217599E-2</v>
      </c>
      <c r="T1488" s="9">
        <v>1.7778289616580401E-2</v>
      </c>
      <c r="U1488" s="12">
        <v>1.8984999999999998E-2</v>
      </c>
      <c r="V1488" s="16">
        <v>4.1364999999999998</v>
      </c>
      <c r="W1488" s="17">
        <f t="shared" si="23"/>
        <v>1.0701981576954012E-2</v>
      </c>
    </row>
    <row r="1489" spans="1:23" x14ac:dyDescent="0.2">
      <c r="A1489" s="15">
        <v>43724</v>
      </c>
      <c r="B1489" s="5">
        <v>128321946103122</v>
      </c>
      <c r="C1489" s="5">
        <f>[1]!nefin_factors__1[[#This Row],[Rm_minus_Rf]]/B1488-1</f>
        <v>-1.1469694376200161</v>
      </c>
      <c r="D1489" s="5">
        <v>-610488854064929</v>
      </c>
      <c r="E1489" s="5">
        <f>[1]!nefin_factors__1[[#This Row],[SMB]]/D1488-1</f>
        <v>-3.4410485780965097</v>
      </c>
      <c r="F1489" s="5">
        <v>-80863944915033</v>
      </c>
      <c r="G1489" s="5">
        <f>[1]!nefin_factors__1[[#This Row],[HML]]/F1488-1</f>
        <v>-0.72302956807426222</v>
      </c>
      <c r="H1489" s="5">
        <v>211357119675792</v>
      </c>
      <c r="I1489" s="6">
        <f>[1]!nefin_factors__1[[#This Row],[Risk_Free]]/H1488-1</f>
        <v>-7.0703654576551589E-3</v>
      </c>
      <c r="J1489">
        <v>108931</v>
      </c>
      <c r="K1489">
        <v>109198</v>
      </c>
      <c r="L1489">
        <v>108190</v>
      </c>
      <c r="M1489">
        <v>108956</v>
      </c>
      <c r="N1489">
        <v>5223100</v>
      </c>
      <c r="O1489">
        <v>108956</v>
      </c>
      <c r="P1489">
        <v>-9.6276395778505097E-4</v>
      </c>
      <c r="Q1489">
        <v>-9.6322771268581898E-4</v>
      </c>
      <c r="R1489" s="8">
        <v>33.346710205078097</v>
      </c>
      <c r="S1489" s="8">
        <v>-9.7895744172010694E-3</v>
      </c>
      <c r="T1489" s="9">
        <v>-9.8378073455485104E-3</v>
      </c>
      <c r="U1489" s="12">
        <v>1.8984999999999998E-2</v>
      </c>
      <c r="V1489" s="16">
        <v>4.1558999999999999</v>
      </c>
      <c r="W1489" s="17">
        <f t="shared" si="23"/>
        <v>4.6899552761996421E-3</v>
      </c>
    </row>
    <row r="1490" spans="1:23" x14ac:dyDescent="0.2">
      <c r="A1490" s="14">
        <v>43725</v>
      </c>
      <c r="B1490" s="3">
        <v>952732250151499</v>
      </c>
      <c r="C1490" s="3">
        <f>[1]!nefin_factors__1[[#This Row],[Rm_minus_Rf]]/B1489-1</f>
        <v>6.4245464558795335</v>
      </c>
      <c r="D1490" s="3">
        <v>-23862582816076</v>
      </c>
      <c r="E1490" s="3">
        <f>[1]!nefin_factors__1[[#This Row],[SMB]]/D1489-1</f>
        <v>-0.96091233663450626</v>
      </c>
      <c r="F1490" s="3">
        <v>474616372039337</v>
      </c>
      <c r="G1490" s="3">
        <f>[1]!nefin_factors__1[[#This Row],[HML]]/F1489-1</f>
        <v>-6.8693200354995732</v>
      </c>
      <c r="H1490" s="3">
        <v>210227986735534</v>
      </c>
      <c r="I1490" s="4">
        <f>[1]!nefin_factors__1[[#This Row],[Risk_Free]]/H1489-1</f>
        <v>-5.3422990528543268E-3</v>
      </c>
      <c r="J1490">
        <v>108962</v>
      </c>
      <c r="K1490">
        <v>110301</v>
      </c>
      <c r="L1490">
        <v>108962</v>
      </c>
      <c r="M1490">
        <v>110301</v>
      </c>
      <c r="N1490">
        <v>4889500</v>
      </c>
      <c r="O1490">
        <v>110301</v>
      </c>
      <c r="P1490">
        <v>1.23444326150006E-2</v>
      </c>
      <c r="Q1490">
        <v>1.2268861393679E-2</v>
      </c>
      <c r="R1490" s="8">
        <v>33.841224670410199</v>
      </c>
      <c r="S1490" s="8">
        <v>1.4829478724574E-2</v>
      </c>
      <c r="T1490" s="9">
        <v>1.4720597123381401E-2</v>
      </c>
      <c r="U1490" s="12">
        <v>1.8984999999999998E-2</v>
      </c>
      <c r="V1490" s="16">
        <v>4.1756000000000002</v>
      </c>
      <c r="W1490" s="17">
        <f t="shared" si="23"/>
        <v>4.740248802906688E-3</v>
      </c>
    </row>
    <row r="1491" spans="1:23" x14ac:dyDescent="0.2">
      <c r="A1491" s="15">
        <v>43726</v>
      </c>
      <c r="B1491" s="5">
        <v>-108901490879564</v>
      </c>
      <c r="C1491" s="5">
        <f>[1]!nefin_factors__1[[#This Row],[Rm_minus_Rf]]/B1490-1</f>
        <v>-1.1143044027975824</v>
      </c>
      <c r="D1491" s="5">
        <v>73266285838238</v>
      </c>
      <c r="E1491" s="5">
        <f>[1]!nefin_factors__1[[#This Row],[SMB]]/D1490-1</f>
        <v>-4.0703418151734683</v>
      </c>
      <c r="F1491" s="5">
        <v>-407100338952331</v>
      </c>
      <c r="G1491" s="5">
        <f>[1]!nefin_factors__1[[#This Row],[HML]]/F1490-1</f>
        <v>-1.8577460933408125</v>
      </c>
      <c r="H1491" s="5">
        <v>20909853376172</v>
      </c>
      <c r="I1491" s="6">
        <f>[1]!nefin_factors__1[[#This Row],[Risk_Free]]/H1490-1</f>
        <v>-0.90053725148176145</v>
      </c>
      <c r="J1491">
        <v>110297</v>
      </c>
      <c r="K1491">
        <v>111073</v>
      </c>
      <c r="L1491">
        <v>110008</v>
      </c>
      <c r="M1491">
        <v>110622</v>
      </c>
      <c r="N1491">
        <v>4399100</v>
      </c>
      <c r="O1491">
        <v>110622</v>
      </c>
      <c r="P1491">
        <v>2.9102184023717102E-3</v>
      </c>
      <c r="Q1491">
        <v>2.9059919148126398E-3</v>
      </c>
      <c r="R1491" s="8">
        <v>33.544517517089801</v>
      </c>
      <c r="S1491" s="8">
        <v>-8.7676217724930207E-3</v>
      </c>
      <c r="T1491" s="9">
        <v>-8.8062835151765193E-3</v>
      </c>
      <c r="U1491" s="12">
        <v>1.8984999999999998E-2</v>
      </c>
      <c r="V1491" s="16">
        <v>4.1767000000000003</v>
      </c>
      <c r="W1491" s="17">
        <f t="shared" si="23"/>
        <v>2.6343519494198553E-4</v>
      </c>
    </row>
    <row r="1492" spans="1:23" x14ac:dyDescent="0.2">
      <c r="A1492" s="14">
        <v>43727</v>
      </c>
      <c r="B1492" s="3">
        <v>-890458089748074</v>
      </c>
      <c r="C1492" s="3">
        <f>[1]!nefin_factors__1[[#This Row],[Rm_minus_Rf]]/B1491-1</f>
        <v>7.1767300204626832</v>
      </c>
      <c r="D1492" s="3">
        <v>-189303571727916</v>
      </c>
      <c r="E1492" s="3">
        <f>[1]!nefin_factors__1[[#This Row],[SMB]]/D1491-1</f>
        <v>-3.5837746456244903</v>
      </c>
      <c r="F1492" s="3">
        <v>-389306540363474</v>
      </c>
      <c r="G1492" s="3">
        <f>[1]!nefin_factors__1[[#This Row],[HML]]/F1491-1</f>
        <v>-4.370863122995472E-2</v>
      </c>
      <c r="H1492" s="3">
        <v>208345387226361</v>
      </c>
      <c r="I1492" s="4">
        <f>[1]!nefin_factors__1[[#This Row],[Risk_Free]]/H1491-1</f>
        <v>8.9639812617616315</v>
      </c>
      <c r="J1492">
        <v>110623</v>
      </c>
      <c r="K1492">
        <v>111430</v>
      </c>
      <c r="L1492">
        <v>110623</v>
      </c>
      <c r="M1492">
        <v>111126</v>
      </c>
      <c r="N1492">
        <v>4968100</v>
      </c>
      <c r="O1492">
        <v>111126</v>
      </c>
      <c r="P1492">
        <v>4.55605575744422E-3</v>
      </c>
      <c r="Q1492">
        <v>4.5457083524108599E-3</v>
      </c>
      <c r="R1492" s="8">
        <v>34.121448516845703</v>
      </c>
      <c r="S1492" s="8">
        <v>1.7198902657972599E-2</v>
      </c>
      <c r="T1492" s="9">
        <v>1.7052675778352799E-2</v>
      </c>
      <c r="U1492" s="12">
        <v>1.8984999999999998E-2</v>
      </c>
      <c r="V1492" s="16">
        <v>4.1830999999999996</v>
      </c>
      <c r="W1492" s="17">
        <f t="shared" si="23"/>
        <v>1.5323101970452502E-3</v>
      </c>
    </row>
    <row r="1493" spans="1:23" x14ac:dyDescent="0.2">
      <c r="A1493" s="15">
        <v>43728</v>
      </c>
      <c r="B1493" s="5">
        <v>24156804451992</v>
      </c>
      <c r="C1493" s="5">
        <f>[1]!nefin_factors__1[[#This Row],[Rm_minus_Rf]]/B1492-1</f>
        <v>-1.0271285136606783</v>
      </c>
      <c r="D1493" s="5">
        <v>-72111506179971</v>
      </c>
      <c r="E1493" s="5">
        <f>[1]!nefin_factors__1[[#This Row],[SMB]]/D1492-1</f>
        <v>-0.61906948969977127</v>
      </c>
      <c r="F1493" s="5">
        <v>-109608667068214</v>
      </c>
      <c r="G1493" s="5">
        <f>[1]!nefin_factors__1[[#This Row],[HML]]/F1492-1</f>
        <v>-0.71845151389987327</v>
      </c>
      <c r="H1493" s="5">
        <v>208345387226361</v>
      </c>
      <c r="I1493" s="6">
        <f>[1]!nefin_factors__1[[#This Row],[Risk_Free]]/H1492-1</f>
        <v>0</v>
      </c>
      <c r="J1493">
        <v>111125</v>
      </c>
      <c r="K1493">
        <v>111453</v>
      </c>
      <c r="L1493">
        <v>110870</v>
      </c>
      <c r="M1493">
        <v>110977</v>
      </c>
      <c r="N1493">
        <v>4991500</v>
      </c>
      <c r="O1493">
        <v>110977</v>
      </c>
      <c r="P1493">
        <v>-1.3408203300757601E-3</v>
      </c>
      <c r="Q1493">
        <v>-1.34172003397198E-3</v>
      </c>
      <c r="R1493" s="8">
        <v>33.956611633300803</v>
      </c>
      <c r="S1493" s="8">
        <v>-4.8308862457006E-3</v>
      </c>
      <c r="T1493" s="9">
        <v>-4.8425926935556102E-3</v>
      </c>
      <c r="U1493" s="12">
        <v>1.8984999999999998E-2</v>
      </c>
      <c r="V1493" s="16">
        <v>4.1826999999999996</v>
      </c>
      <c r="W1493" s="17">
        <f t="shared" si="23"/>
        <v>-9.5622863426680915E-5</v>
      </c>
    </row>
    <row r="1494" spans="1:23" x14ac:dyDescent="0.2">
      <c r="A1494" s="14">
        <v>43731</v>
      </c>
      <c r="B1494" s="3">
        <v>-132849700667783</v>
      </c>
      <c r="C1494" s="3">
        <f>[1]!nefin_factors__1[[#This Row],[Rm_minus_Rf]]/B1493-1</f>
        <v>-6.4994732822299284</v>
      </c>
      <c r="D1494" s="3">
        <v>-213777861864139</v>
      </c>
      <c r="E1494" s="3">
        <f>[1]!nefin_factors__1[[#This Row],[SMB]]/D1493-1</f>
        <v>1.964545787333948</v>
      </c>
      <c r="F1494" s="3">
        <v>-924432706769544</v>
      </c>
      <c r="G1494" s="3">
        <f>[1]!nefin_factors__1[[#This Row],[HML]]/F1493-1</f>
        <v>7.4339380406316895</v>
      </c>
      <c r="H1494" s="3">
        <v>208345387226361</v>
      </c>
      <c r="I1494" s="4">
        <f>[1]!nefin_factors__1[[#This Row],[Risk_Free]]/H1493-1</f>
        <v>0</v>
      </c>
      <c r="J1494">
        <v>110973</v>
      </c>
      <c r="K1494">
        <v>111184</v>
      </c>
      <c r="L1494">
        <v>110133</v>
      </c>
      <c r="M1494">
        <v>110672</v>
      </c>
      <c r="N1494">
        <v>4758800</v>
      </c>
      <c r="O1494">
        <v>110672</v>
      </c>
      <c r="P1494">
        <v>-2.7483172188832402E-3</v>
      </c>
      <c r="Q1494">
        <v>-2.7521007765187902E-3</v>
      </c>
      <c r="R1494" s="8">
        <v>34.302772521972699</v>
      </c>
      <c r="S1494" s="8">
        <v>1.01942664921664E-2</v>
      </c>
      <c r="T1494" s="9">
        <v>1.01426554191639E-2</v>
      </c>
      <c r="U1494" s="12">
        <v>1.8984999999999998E-2</v>
      </c>
      <c r="V1494" s="16">
        <v>4.2084000000000001</v>
      </c>
      <c r="W1494" s="17">
        <f t="shared" si="23"/>
        <v>6.1443565161261038E-3</v>
      </c>
    </row>
    <row r="1495" spans="1:23" x14ac:dyDescent="0.2">
      <c r="A1495" s="15">
        <v>43732</v>
      </c>
      <c r="B1495" s="5">
        <v>-662477585363714</v>
      </c>
      <c r="C1495" s="5">
        <f>[1]!nefin_factors__1[[#This Row],[Rm_minus_Rf]]/B1494-1</f>
        <v>3.986669763151145</v>
      </c>
      <c r="D1495" s="5">
        <v>-373835570986646</v>
      </c>
      <c r="E1495" s="5">
        <f>[1]!nefin_factors__1[[#This Row],[SMB]]/D1494-1</f>
        <v>0.74871040306422154</v>
      </c>
      <c r="F1495" s="5">
        <v>-802132873987743</v>
      </c>
      <c r="G1495" s="5">
        <f>[1]!nefin_factors__1[[#This Row],[HML]]/F1494-1</f>
        <v>-0.13229717196958679</v>
      </c>
      <c r="H1495" s="5">
        <v>208345387226361</v>
      </c>
      <c r="I1495" s="6">
        <f>[1]!nefin_factors__1[[#This Row],[Risk_Free]]/H1494-1</f>
        <v>0</v>
      </c>
      <c r="J1495">
        <v>110672</v>
      </c>
      <c r="K1495">
        <v>111227</v>
      </c>
      <c r="L1495">
        <v>110530</v>
      </c>
      <c r="M1495">
        <v>110964</v>
      </c>
      <c r="N1495">
        <v>5146100</v>
      </c>
      <c r="O1495">
        <v>110964</v>
      </c>
      <c r="P1495">
        <v>2.63842706375605E-3</v>
      </c>
      <c r="Q1495">
        <v>2.6349525252730701E-3</v>
      </c>
      <c r="R1495" s="8">
        <v>34.459365844726598</v>
      </c>
      <c r="S1495" s="8">
        <v>4.5649477363731697E-3</v>
      </c>
      <c r="T1495" s="9">
        <v>4.5545599635517997E-3</v>
      </c>
      <c r="U1495" s="12">
        <v>1.8984999999999998E-2</v>
      </c>
      <c r="V1495" s="16">
        <v>4.2037000000000004</v>
      </c>
      <c r="W1495" s="17">
        <f t="shared" si="23"/>
        <v>-1.1168139910654462E-3</v>
      </c>
    </row>
    <row r="1496" spans="1:23" x14ac:dyDescent="0.2">
      <c r="A1496" s="14">
        <v>43733</v>
      </c>
      <c r="B1496" s="3">
        <v>416322412358363</v>
      </c>
      <c r="C1496" s="3">
        <f>[1]!nefin_factors__1[[#This Row],[Rm_minus_Rf]]/B1495-1</f>
        <v>-1.6284324504802579</v>
      </c>
      <c r="D1496" s="3">
        <v>-242689658815181</v>
      </c>
      <c r="E1496" s="3">
        <f>[1]!nefin_factors__1[[#This Row],[SMB]]/D1495-1</f>
        <v>-0.35081175348118421</v>
      </c>
      <c r="F1496" s="3">
        <v>-460934218986419</v>
      </c>
      <c r="G1496" s="3">
        <f>[1]!nefin_factors__1[[#This Row],[HML]]/F1495-1</f>
        <v>-0.42536425829935209</v>
      </c>
      <c r="H1496" s="3">
        <v>208345387226361</v>
      </c>
      <c r="I1496" s="4">
        <f>[1]!nefin_factors__1[[#This Row],[Risk_Free]]/H1495-1</f>
        <v>0</v>
      </c>
      <c r="J1496">
        <v>110963</v>
      </c>
      <c r="K1496">
        <v>112445</v>
      </c>
      <c r="L1496">
        <v>110963</v>
      </c>
      <c r="M1496">
        <v>112200</v>
      </c>
      <c r="N1496">
        <v>5682000</v>
      </c>
      <c r="O1496">
        <v>112200</v>
      </c>
      <c r="P1496">
        <v>1.1138747701957301E-2</v>
      </c>
      <c r="Q1496">
        <v>1.1077168705094001E-2</v>
      </c>
      <c r="R1496" s="8">
        <v>35.7945556640625</v>
      </c>
      <c r="S1496" s="8">
        <v>3.8746839288656298E-2</v>
      </c>
      <c r="T1496" s="9">
        <v>3.8015024380153903E-2</v>
      </c>
      <c r="U1496" s="12">
        <v>1.8984999999999998E-2</v>
      </c>
      <c r="V1496" s="16">
        <v>4.2012</v>
      </c>
      <c r="W1496" s="17">
        <f t="shared" si="23"/>
        <v>-5.9471418036505241E-4</v>
      </c>
    </row>
    <row r="1497" spans="1:23" x14ac:dyDescent="0.2">
      <c r="A1497" s="15">
        <v>43734</v>
      </c>
      <c r="B1497" s="5">
        <v>741889394108924</v>
      </c>
      <c r="C1497" s="5">
        <f>[1]!nefin_factors__1[[#This Row],[Rm_minus_Rf]]/B1496-1</f>
        <v>0.7820068583536135</v>
      </c>
      <c r="D1497" s="5">
        <v>19955865906711</v>
      </c>
      <c r="E1497" s="5">
        <f>[1]!nefin_factors__1[[#This Row],[SMB]]/D1496-1</f>
        <v>-1.0822279202341631</v>
      </c>
      <c r="F1497" s="5">
        <v>1706884869415</v>
      </c>
      <c r="G1497" s="5">
        <f>[1]!nefin_factors__1[[#This Row],[HML]]/F1496-1</f>
        <v>-1.0037030986182114</v>
      </c>
      <c r="H1497" s="5">
        <v>207968760572497</v>
      </c>
      <c r="I1497" s="6">
        <f>[1]!nefin_factors__1[[#This Row],[Risk_Free]]/H1496-1</f>
        <v>-1.8077033472059245E-3</v>
      </c>
      <c r="J1497">
        <v>112205</v>
      </c>
      <c r="K1497">
        <v>112829</v>
      </c>
      <c r="L1497">
        <v>111780</v>
      </c>
      <c r="M1497">
        <v>112565</v>
      </c>
      <c r="N1497">
        <v>7712100</v>
      </c>
      <c r="O1497">
        <v>112565</v>
      </c>
      <c r="P1497">
        <v>3.25311942958995E-3</v>
      </c>
      <c r="Q1497">
        <v>3.2478394843411299E-3</v>
      </c>
      <c r="R1497" s="8">
        <v>35.959392547607401</v>
      </c>
      <c r="S1497" s="8">
        <v>4.6050811490063702E-3</v>
      </c>
      <c r="T1497" s="9">
        <v>4.5945102037619799E-3</v>
      </c>
      <c r="U1497" s="12">
        <v>1.8984999999999998E-2</v>
      </c>
      <c r="V1497" s="16">
        <v>4.1832000000000003</v>
      </c>
      <c r="W1497" s="17">
        <f t="shared" si="23"/>
        <v>-4.2844901456726703E-3</v>
      </c>
    </row>
    <row r="1498" spans="1:23" x14ac:dyDescent="0.2">
      <c r="A1498" s="14">
        <v>43735</v>
      </c>
      <c r="B1498" s="3">
        <v>-256645680548971</v>
      </c>
      <c r="C1498" s="3">
        <f>[1]!nefin_factors__1[[#This Row],[Rm_minus_Rf]]/B1497-1</f>
        <v>-1.345935233185569</v>
      </c>
      <c r="D1498" s="3">
        <v>-459814811922609</v>
      </c>
      <c r="E1498" s="3">
        <f>[1]!nefin_factors__1[[#This Row],[SMB]]/D1497-1</f>
        <v>-24.041586572696747</v>
      </c>
      <c r="F1498" s="3">
        <v>-520917772741831</v>
      </c>
      <c r="G1498" s="3">
        <f>[1]!nefin_factors__1[[#This Row],[HML]]/F1497-1</f>
        <v>-306.18623843702181</v>
      </c>
      <c r="H1498" s="3">
        <v>207968760572497</v>
      </c>
      <c r="I1498" s="4">
        <f>[1]!nefin_factors__1[[#This Row],[Risk_Free]]/H1497-1</f>
        <v>0</v>
      </c>
      <c r="J1498">
        <v>112565</v>
      </c>
      <c r="K1498">
        <v>113197</v>
      </c>
      <c r="L1498">
        <v>111896</v>
      </c>
      <c r="M1498">
        <v>111896</v>
      </c>
      <c r="N1498">
        <v>6078300</v>
      </c>
      <c r="O1498">
        <v>111896</v>
      </c>
      <c r="P1498">
        <v>-5.9432327988273598E-3</v>
      </c>
      <c r="Q1498">
        <v>-5.9609640959343499E-3</v>
      </c>
      <c r="R1498" s="8">
        <v>35.753345489502003</v>
      </c>
      <c r="S1498" s="8">
        <v>-5.7299644848243202E-3</v>
      </c>
      <c r="T1498" s="9">
        <v>-5.7464437117303599E-3</v>
      </c>
      <c r="U1498" s="12">
        <v>1.8984999999999998E-2</v>
      </c>
      <c r="V1498" s="16">
        <v>4.2088999999999999</v>
      </c>
      <c r="W1498" s="17">
        <f t="shared" si="23"/>
        <v>6.1436221074775421E-3</v>
      </c>
    </row>
    <row r="1499" spans="1:23" x14ac:dyDescent="0.2">
      <c r="A1499" s="15">
        <v>43738</v>
      </c>
      <c r="B1499" s="5">
        <v>-262760620844694</v>
      </c>
      <c r="C1499" s="5">
        <f>[1]!nefin_factors__1[[#This Row],[Rm_minus_Rf]]/B1498-1</f>
        <v>2.3826390853892487E-2</v>
      </c>
      <c r="D1499" s="5">
        <v>363085479499881</v>
      </c>
      <c r="E1499" s="5">
        <f>[1]!nefin_factors__1[[#This Row],[SMB]]/D1498-1</f>
        <v>-1.7896341528923858</v>
      </c>
      <c r="F1499" s="5">
        <v>274655864659693</v>
      </c>
      <c r="G1499" s="5">
        <f>[1]!nefin_factors__1[[#This Row],[HML]]/F1498-1</f>
        <v>-1.5272537798318</v>
      </c>
      <c r="H1499" s="5">
        <v>207968760572497</v>
      </c>
      <c r="I1499" s="6">
        <f>[1]!nefin_factors__1[[#This Row],[Risk_Free]]/H1498-1</f>
        <v>0</v>
      </c>
      <c r="J1499">
        <v>111897</v>
      </c>
      <c r="K1499">
        <v>112695</v>
      </c>
      <c r="L1499">
        <v>111897</v>
      </c>
      <c r="M1499">
        <v>112616</v>
      </c>
      <c r="N1499">
        <v>5352500</v>
      </c>
      <c r="O1499">
        <v>112616</v>
      </c>
      <c r="P1499">
        <v>6.4345463644812596E-3</v>
      </c>
      <c r="Q1499">
        <v>6.4139330486613797E-3</v>
      </c>
      <c r="R1499" s="8">
        <v>35.159927368164098</v>
      </c>
      <c r="S1499" s="8">
        <v>-1.6597551051363801E-2</v>
      </c>
      <c r="T1499" s="9">
        <v>-1.6736833719991701E-2</v>
      </c>
      <c r="U1499" s="12">
        <v>1.8984999999999998E-2</v>
      </c>
      <c r="V1499" s="16">
        <v>4.2558999999999996</v>
      </c>
      <c r="W1499" s="17">
        <f t="shared" si="23"/>
        <v>1.1166813181591406E-2</v>
      </c>
    </row>
    <row r="1500" spans="1:23" x14ac:dyDescent="0.2">
      <c r="A1500" s="14">
        <v>43739</v>
      </c>
      <c r="B1500" s="3">
        <v>-695444548827079</v>
      </c>
      <c r="C1500" s="3">
        <f>[1]!nefin_factors__1[[#This Row],[Rm_minus_Rf]]/B1499-1</f>
        <v>1.6466848289193421</v>
      </c>
      <c r="D1500" s="3">
        <v>-539323321192544</v>
      </c>
      <c r="E1500" s="3">
        <f>[1]!nefin_factors__1[[#This Row],[SMB]]/D1499-1</f>
        <v>-2.4853893962804996</v>
      </c>
      <c r="F1500" s="3">
        <v>-281865199931296</v>
      </c>
      <c r="G1500" s="3">
        <f>[1]!nefin_factors__1[[#This Row],[HML]]/F1499-1</f>
        <v>-2.0262486121697623</v>
      </c>
      <c r="H1500" s="3">
        <v>207968760572497</v>
      </c>
      <c r="I1500" s="4">
        <f>[1]!nefin_factors__1[[#This Row],[Risk_Free]]/H1499-1</f>
        <v>0</v>
      </c>
      <c r="J1500">
        <v>112618</v>
      </c>
      <c r="K1500">
        <v>114339</v>
      </c>
      <c r="L1500">
        <v>112300</v>
      </c>
      <c r="M1500">
        <v>114315</v>
      </c>
      <c r="N1500">
        <v>7940900</v>
      </c>
      <c r="O1500">
        <v>114315</v>
      </c>
      <c r="P1500">
        <v>1.5086666193080901E-2</v>
      </c>
      <c r="Q1500">
        <v>1.49739942605262E-2</v>
      </c>
      <c r="R1500" s="8">
        <v>35.497844696044901</v>
      </c>
      <c r="S1500" s="8">
        <v>9.6108352275037206E-3</v>
      </c>
      <c r="T1500" s="9">
        <v>9.5649449456211202E-3</v>
      </c>
      <c r="U1500" s="12">
        <v>1.8984999999999998E-2</v>
      </c>
      <c r="V1500" s="16">
        <v>4.2602000000000002</v>
      </c>
      <c r="W1500" s="17">
        <f t="shared" si="23"/>
        <v>1.010362085575478E-3</v>
      </c>
    </row>
    <row r="1501" spans="1:23" x14ac:dyDescent="0.2">
      <c r="A1501" s="15">
        <v>43740</v>
      </c>
      <c r="B1501" s="5">
        <v>-272864185602758</v>
      </c>
      <c r="C1501" s="5">
        <f>[1]!nefin_factors__1[[#This Row],[Rm_minus_Rf]]/B1500-1</f>
        <v>-0.60764062920190465</v>
      </c>
      <c r="D1501" s="5">
        <v>458493198296903</v>
      </c>
      <c r="E1501" s="5">
        <f>[1]!nefin_factors__1[[#This Row],[SMB]]/D1500-1</f>
        <v>-1.8501267797637406</v>
      </c>
      <c r="F1501" s="5">
        <v>-914662131329998</v>
      </c>
      <c r="G1501" s="5">
        <f>[1]!nefin_factors__1[[#This Row],[HML]]/F1500-1</f>
        <v>2.2450339082403392</v>
      </c>
      <c r="H1501" s="5">
        <v>207968760572497</v>
      </c>
      <c r="I1501" s="6">
        <f>[1]!nefin_factors__1[[#This Row],[Risk_Free]]/H1500-1</f>
        <v>0</v>
      </c>
      <c r="J1501">
        <v>114313</v>
      </c>
      <c r="K1501">
        <v>115132</v>
      </c>
      <c r="L1501">
        <v>113712</v>
      </c>
      <c r="M1501">
        <v>115131</v>
      </c>
      <c r="N1501">
        <v>5784600</v>
      </c>
      <c r="O1501">
        <v>115131</v>
      </c>
      <c r="P1501">
        <v>7.1381708437212596E-3</v>
      </c>
      <c r="Q1501">
        <v>7.1128146950666504E-3</v>
      </c>
      <c r="R1501" s="8">
        <v>36.750614166259801</v>
      </c>
      <c r="S1501" s="8">
        <v>3.52914152383541E-2</v>
      </c>
      <c r="T1501" s="9">
        <v>3.4682947703347997E-2</v>
      </c>
      <c r="U1501" s="12">
        <v>1.8984999999999998E-2</v>
      </c>
      <c r="V1501" s="16">
        <v>4.2480000000000002</v>
      </c>
      <c r="W1501" s="17">
        <f t="shared" si="23"/>
        <v>-2.8637153185296915E-3</v>
      </c>
    </row>
    <row r="1502" spans="1:23" x14ac:dyDescent="0.2">
      <c r="A1502" s="14">
        <v>43741</v>
      </c>
      <c r="B1502" s="3">
        <v>40304897793016</v>
      </c>
      <c r="C1502" s="3">
        <f>[1]!nefin_factors__1[[#This Row],[Rm_minus_Rf]]/B1501-1</f>
        <v>-1.147710472534101</v>
      </c>
      <c r="D1502" s="3">
        <v>13760218553824</v>
      </c>
      <c r="E1502" s="3">
        <f>[1]!nefin_factors__1[[#This Row],[SMB]]/D1501-1</f>
        <v>-0.96998817298721762</v>
      </c>
      <c r="F1502" s="3">
        <v>395006559314404</v>
      </c>
      <c r="G1502" s="3">
        <f>[1]!nefin_factors__1[[#This Row],[HML]]/F1501-1</f>
        <v>-1.4318606245784224</v>
      </c>
      <c r="H1502" s="3">
        <v>207968760572497</v>
      </c>
      <c r="I1502" s="4">
        <f>[1]!nefin_factors__1[[#This Row],[Risk_Free]]/H1501-1</f>
        <v>0</v>
      </c>
      <c r="J1502">
        <v>115133</v>
      </c>
      <c r="K1502">
        <v>115171</v>
      </c>
      <c r="L1502">
        <v>114526</v>
      </c>
      <c r="M1502">
        <v>115121</v>
      </c>
      <c r="N1502">
        <v>6887400</v>
      </c>
      <c r="O1502">
        <v>115121</v>
      </c>
      <c r="P1502">
        <v>-8.6857579626675702E-5</v>
      </c>
      <c r="Q1502">
        <v>-8.6861351964683995E-5</v>
      </c>
      <c r="R1502" s="8">
        <v>35.926422119140597</v>
      </c>
      <c r="S1502" s="8">
        <v>-2.2426615043382898E-2</v>
      </c>
      <c r="T1502" s="9">
        <v>-2.26819158161208E-2</v>
      </c>
      <c r="U1502" s="12">
        <v>1.8984999999999998E-2</v>
      </c>
      <c r="V1502" s="16">
        <v>4.2240000000000002</v>
      </c>
      <c r="W1502" s="17">
        <f t="shared" si="23"/>
        <v>-5.6497175141243527E-3</v>
      </c>
    </row>
    <row r="1503" spans="1:23" x14ac:dyDescent="0.2">
      <c r="A1503" s="15">
        <v>43742</v>
      </c>
      <c r="B1503" s="5">
        <v>107832069922787</v>
      </c>
      <c r="C1503" s="5">
        <f>[1]!nefin_factors__1[[#This Row],[Rm_minus_Rf]]/B1502-1</f>
        <v>1.6754085936789562</v>
      </c>
      <c r="D1503" s="5">
        <v>-652949812861989</v>
      </c>
      <c r="E1503" s="5">
        <f>[1]!nefin_factors__1[[#This Row],[SMB]]/D1502-1</f>
        <v>-48.451994334823453</v>
      </c>
      <c r="F1503" s="5">
        <v>-8865298625682</v>
      </c>
      <c r="G1503" s="5">
        <f>[1]!nefin_factors__1[[#This Row],[HML]]/F1502-1</f>
        <v>-1.0224434212967732</v>
      </c>
      <c r="H1503" s="5">
        <v>207215400458871</v>
      </c>
      <c r="I1503" s="6">
        <f>[1]!nefin_factors__1[[#This Row],[Risk_Free]]/H1502-1</f>
        <v>-3.6224676800118427E-3</v>
      </c>
      <c r="J1503">
        <v>115119</v>
      </c>
      <c r="K1503">
        <v>115863</v>
      </c>
      <c r="L1503">
        <v>114964</v>
      </c>
      <c r="M1503">
        <v>115863</v>
      </c>
      <c r="N1503">
        <v>3995200</v>
      </c>
      <c r="O1503">
        <v>115863</v>
      </c>
      <c r="P1503">
        <v>6.4453922394698297E-3</v>
      </c>
      <c r="Q1503">
        <v>6.4247095234830198E-3</v>
      </c>
      <c r="R1503" s="8">
        <v>35.819278717041001</v>
      </c>
      <c r="S1503" s="8">
        <v>-2.9822730738061601E-3</v>
      </c>
      <c r="T1503" s="9">
        <v>-2.9867289113709701E-3</v>
      </c>
      <c r="U1503" s="12">
        <v>1.8984999999999998E-2</v>
      </c>
      <c r="V1503" s="16">
        <v>4.2260999999999997</v>
      </c>
      <c r="W1503" s="17">
        <f t="shared" si="23"/>
        <v>4.9715909090908283E-4</v>
      </c>
    </row>
    <row r="1504" spans="1:23" x14ac:dyDescent="0.2">
      <c r="A1504" s="14">
        <v>43745</v>
      </c>
      <c r="B1504" s="3">
        <v>-191457466009892</v>
      </c>
      <c r="C1504" s="3">
        <f>[1]!nefin_factors__1[[#This Row],[Rm_minus_Rf]]/B1503-1</f>
        <v>-2.7755150777220994</v>
      </c>
      <c r="D1504" s="3">
        <v>876418063541109</v>
      </c>
      <c r="E1504" s="3">
        <f>[1]!nefin_factors__1[[#This Row],[SMB]]/D1503-1</f>
        <v>-2.342244145380211</v>
      </c>
      <c r="F1504" s="3">
        <v>-770600019569433</v>
      </c>
      <c r="G1504" s="3">
        <f>[1]!nefin_factors__1[[#This Row],[HML]]/F1503-1</f>
        <v>85.923188051113328</v>
      </c>
      <c r="H1504" s="3">
        <v>205708252819292</v>
      </c>
      <c r="I1504" s="4">
        <f>[1]!nefin_factors__1[[#This Row],[Risk_Free]]/H1503-1</f>
        <v>-7.2733379673589615E-3</v>
      </c>
      <c r="J1504">
        <v>115864</v>
      </c>
      <c r="K1504">
        <v>117220</v>
      </c>
      <c r="L1504">
        <v>115673</v>
      </c>
      <c r="M1504">
        <v>117203</v>
      </c>
      <c r="N1504">
        <v>3788900</v>
      </c>
      <c r="O1504">
        <v>117203</v>
      </c>
      <c r="P1504">
        <v>1.1565383254360699E-2</v>
      </c>
      <c r="Q1504">
        <v>1.14990154321569E-2</v>
      </c>
      <c r="R1504" s="8">
        <v>35.8769721984863</v>
      </c>
      <c r="S1504" s="8">
        <v>1.13231362273261E-2</v>
      </c>
      <c r="T1504" s="9">
        <v>1.1259509373508799E-2</v>
      </c>
      <c r="U1504" s="12">
        <v>1.8984999999999998E-2</v>
      </c>
      <c r="V1504" s="16">
        <v>4.2008000000000001</v>
      </c>
      <c r="W1504" s="17">
        <f t="shared" si="23"/>
        <v>-5.9866070372209812E-3</v>
      </c>
    </row>
    <row r="1505" spans="1:23" x14ac:dyDescent="0.2">
      <c r="A1505" s="15">
        <v>43746</v>
      </c>
      <c r="B1505" s="5">
        <v>-699692507454134</v>
      </c>
      <c r="C1505" s="5">
        <f>[1]!nefin_factors__1[[#This Row],[Rm_minus_Rf]]/B1504-1</f>
        <v>2.654558487773901</v>
      </c>
      <c r="D1505" s="5">
        <v>538954354436464</v>
      </c>
      <c r="E1505" s="5">
        <f>[1]!nefin_factors__1[[#This Row],[SMB]]/D1504-1</f>
        <v>-0.38504878338671533</v>
      </c>
      <c r="F1505" s="5">
        <v>86993314347975</v>
      </c>
      <c r="G1505" s="5">
        <f>[1]!nefin_factors__1[[#This Row],[HML]]/F1504-1</f>
        <v>-1.1128903609379375</v>
      </c>
      <c r="H1505" s="5">
        <v>204577517891158</v>
      </c>
      <c r="I1505" s="6">
        <f>[1]!nefin_factors__1[[#This Row],[Risk_Free]]/H1504-1</f>
        <v>-5.4967893248664135E-3</v>
      </c>
      <c r="J1505">
        <v>117205</v>
      </c>
      <c r="K1505">
        <v>117803</v>
      </c>
      <c r="L1505">
        <v>115995</v>
      </c>
      <c r="M1505">
        <v>116534</v>
      </c>
      <c r="N1505">
        <v>3905900</v>
      </c>
      <c r="O1505">
        <v>116534</v>
      </c>
      <c r="P1505">
        <v>-5.7080450159126004E-3</v>
      </c>
      <c r="Q1505">
        <v>-5.7243981642268599E-3</v>
      </c>
      <c r="R1505" s="8">
        <v>36.396213531494098</v>
      </c>
      <c r="S1505" s="8">
        <v>1.44728303752935E-2</v>
      </c>
      <c r="T1505" s="9">
        <v>1.43690986291913E-2</v>
      </c>
      <c r="U1505" s="12">
        <v>1.8984999999999998E-2</v>
      </c>
      <c r="V1505" s="16">
        <v>4.1925999999999997</v>
      </c>
      <c r="W1505" s="17">
        <f t="shared" si="23"/>
        <v>-1.9520091411160401E-3</v>
      </c>
    </row>
    <row r="1506" spans="1:23" x14ac:dyDescent="0.2">
      <c r="A1506" s="14">
        <v>43747</v>
      </c>
      <c r="B1506" s="3">
        <v>113577883580532</v>
      </c>
      <c r="C1506" s="3">
        <f>[1]!nefin_factors__1[[#This Row],[Rm_minus_Rf]]/B1505-1</f>
        <v>-1.1623254249124244</v>
      </c>
      <c r="D1506" s="3">
        <v>533569430862499</v>
      </c>
      <c r="E1506" s="3">
        <f>[1]!nefin_factors__1[[#This Row],[SMB]]/D1505-1</f>
        <v>-9.9914279004119644E-3</v>
      </c>
      <c r="F1506" s="3">
        <v>203528025045412</v>
      </c>
      <c r="G1506" s="3">
        <f>[1]!nefin_factors__1[[#This Row],[HML]]/F1505-1</f>
        <v>1.3395823756213705</v>
      </c>
      <c r="H1506" s="3">
        <v>203823516314428</v>
      </c>
      <c r="I1506" s="4">
        <f>[1]!nefin_factors__1[[#This Row],[Risk_Free]]/H1505-1</f>
        <v>-3.6856521894608196E-3</v>
      </c>
      <c r="J1506">
        <v>116530</v>
      </c>
      <c r="K1506">
        <v>117086</v>
      </c>
      <c r="L1506">
        <v>115790</v>
      </c>
      <c r="M1506">
        <v>115964</v>
      </c>
      <c r="N1506">
        <v>3667900</v>
      </c>
      <c r="O1506">
        <v>115964</v>
      </c>
      <c r="P1506">
        <v>-4.8912763656958598E-3</v>
      </c>
      <c r="Q1506">
        <v>-4.9032778088488899E-3</v>
      </c>
      <c r="R1506" s="8">
        <v>36.099502563476598</v>
      </c>
      <c r="S1506" s="8">
        <v>-8.1522482485940594E-3</v>
      </c>
      <c r="T1506" s="9">
        <v>-8.1856595329699508E-3</v>
      </c>
      <c r="U1506" s="12">
        <v>1.8984999999999998E-2</v>
      </c>
      <c r="V1506" s="16">
        <v>4.2135999999999996</v>
      </c>
      <c r="W1506" s="17">
        <f t="shared" si="23"/>
        <v>5.0088250727471362E-3</v>
      </c>
    </row>
    <row r="1507" spans="1:23" x14ac:dyDescent="0.2">
      <c r="A1507" s="15">
        <v>43748</v>
      </c>
      <c r="B1507" s="5">
        <v>358700581019722</v>
      </c>
      <c r="C1507" s="5">
        <f>[1]!nefin_factors__1[[#This Row],[Rm_minus_Rf]]/B1506-1</f>
        <v>2.1581903950991181</v>
      </c>
      <c r="D1507" s="5">
        <v>327466775546911</v>
      </c>
      <c r="E1507" s="5">
        <f>[1]!nefin_factors__1[[#This Row],[SMB]]/D1506-1</f>
        <v>-0.38627148294914349</v>
      </c>
      <c r="F1507" s="5">
        <v>616829960611916</v>
      </c>
      <c r="G1507" s="5">
        <f>[1]!nefin_factors__1[[#This Row],[HML]]/F1506-1</f>
        <v>2.0306880857036096</v>
      </c>
      <c r="H1507" s="5">
        <v>202692246377367</v>
      </c>
      <c r="I1507" s="6">
        <f>[1]!nefin_factors__1[[#This Row],[Risk_Free]]/H1506-1</f>
        <v>-5.5502424720994537E-3</v>
      </c>
      <c r="J1507">
        <v>115652</v>
      </c>
      <c r="K1507">
        <v>118573</v>
      </c>
      <c r="L1507">
        <v>115649</v>
      </c>
      <c r="M1507">
        <v>118573</v>
      </c>
      <c r="N1507">
        <v>5162700</v>
      </c>
      <c r="O1507">
        <v>118573</v>
      </c>
      <c r="P1507">
        <v>2.2498361560484299E-2</v>
      </c>
      <c r="Q1507">
        <v>2.2249006547701601E-2</v>
      </c>
      <c r="R1507" s="8">
        <v>36.849517822265597</v>
      </c>
      <c r="S1507" s="8">
        <v>2.0776332235333601E-2</v>
      </c>
      <c r="T1507" s="9">
        <v>2.0563447833461701E-2</v>
      </c>
      <c r="U1507" s="12">
        <v>1.8984999999999998E-2</v>
      </c>
      <c r="V1507" s="16">
        <v>4.1783000000000001</v>
      </c>
      <c r="W1507" s="17">
        <f t="shared" si="23"/>
        <v>-8.3776343269411635E-3</v>
      </c>
    </row>
    <row r="1508" spans="1:23" x14ac:dyDescent="0.2">
      <c r="A1508" s="14">
        <v>43749</v>
      </c>
      <c r="B1508" s="3">
        <v>186617760933638</v>
      </c>
      <c r="C1508" s="3">
        <f>[1]!nefin_factors__1[[#This Row],[Rm_minus_Rf]]/B1507-1</f>
        <v>-0.479739451764709</v>
      </c>
      <c r="D1508" s="3">
        <v>-577762823684978</v>
      </c>
      <c r="E1508" s="3">
        <f>[1]!nefin_factors__1[[#This Row],[SMB]]/D1507-1</f>
        <v>-2.7643402837434143</v>
      </c>
      <c r="F1508" s="3">
        <v>-362701730597367</v>
      </c>
      <c r="G1508" s="3">
        <f>[1]!nefin_factors__1[[#This Row],[HML]]/F1507-1</f>
        <v>-1.5880092630999227</v>
      </c>
      <c r="H1508" s="3">
        <v>202692246377367</v>
      </c>
      <c r="I1508" s="4">
        <f>[1]!nefin_factors__1[[#This Row],[Risk_Free]]/H1507-1</f>
        <v>0</v>
      </c>
      <c r="J1508">
        <v>118564</v>
      </c>
      <c r="K1508">
        <v>118792</v>
      </c>
      <c r="L1508">
        <v>117341</v>
      </c>
      <c r="M1508">
        <v>117707</v>
      </c>
      <c r="N1508">
        <v>6834500</v>
      </c>
      <c r="O1508">
        <v>117707</v>
      </c>
      <c r="P1508">
        <v>-7.3035176642237704E-3</v>
      </c>
      <c r="Q1508">
        <v>-7.3303189247466297E-3</v>
      </c>
      <c r="R1508" s="8">
        <v>36.4291801452637</v>
      </c>
      <c r="S1508" s="8">
        <v>-1.14068704787224E-2</v>
      </c>
      <c r="T1508" s="9">
        <v>-1.14724278387909E-2</v>
      </c>
      <c r="U1508" s="12">
        <v>1.8984999999999998E-2</v>
      </c>
      <c r="V1508" s="16">
        <v>4.1502999999999997</v>
      </c>
      <c r="W1508" s="17">
        <f t="shared" si="23"/>
        <v>-6.7012899983247554E-3</v>
      </c>
    </row>
    <row r="1509" spans="1:23" x14ac:dyDescent="0.2">
      <c r="A1509" s="15">
        <v>43752</v>
      </c>
      <c r="B1509" s="5">
        <v>43525493583727</v>
      </c>
      <c r="C1509" s="5">
        <f>[1]!nefin_factors__1[[#This Row],[Rm_minus_Rf]]/B1508-1</f>
        <v>-0.76676660696189125</v>
      </c>
      <c r="D1509" s="5">
        <v>690082922253278</v>
      </c>
      <c r="E1509" s="5">
        <f>[1]!nefin_factors__1[[#This Row],[SMB]]/D1508-1</f>
        <v>-2.1944052022106946</v>
      </c>
      <c r="F1509" s="5">
        <v>260230690143549</v>
      </c>
      <c r="G1509" s="5">
        <f>[1]!nefin_factors__1[[#This Row],[HML]]/F1508-1</f>
        <v>-1.7174784904250417</v>
      </c>
      <c r="H1509" s="5">
        <v>201183386709269</v>
      </c>
      <c r="I1509" s="6">
        <f>[1]!nefin_factors__1[[#This Row],[Risk_Free]]/H1508-1</f>
        <v>-7.4440916959834791E-3</v>
      </c>
      <c r="J1509">
        <v>117707</v>
      </c>
      <c r="K1509">
        <v>117707</v>
      </c>
      <c r="L1509">
        <v>116269</v>
      </c>
      <c r="M1509">
        <v>116878</v>
      </c>
      <c r="N1509">
        <v>6570000</v>
      </c>
      <c r="O1509">
        <v>116878</v>
      </c>
      <c r="P1509">
        <v>-7.0429116365211498E-3</v>
      </c>
      <c r="Q1509">
        <v>-7.0678300061915496E-3</v>
      </c>
      <c r="R1509" s="8">
        <v>36.115989685058601</v>
      </c>
      <c r="S1509" s="8">
        <v>-8.5972415233120901E-3</v>
      </c>
      <c r="T1509" s="9">
        <v>-8.6344109941602892E-3</v>
      </c>
      <c r="U1509" s="12">
        <v>1.8984999999999998E-2</v>
      </c>
      <c r="V1509" s="16">
        <v>4.1426999999999996</v>
      </c>
      <c r="W1509" s="17">
        <f t="shared" si="23"/>
        <v>-1.8311929258125748E-3</v>
      </c>
    </row>
    <row r="1510" spans="1:23" x14ac:dyDescent="0.2">
      <c r="A1510" s="14">
        <v>43753</v>
      </c>
      <c r="B1510" s="3">
        <v>123637691407244</v>
      </c>
      <c r="C1510" s="3">
        <f>[1]!nefin_factors__1[[#This Row],[Rm_minus_Rf]]/B1509-1</f>
        <v>1.840581030273917</v>
      </c>
      <c r="D1510" s="3">
        <v>-106034043533199</v>
      </c>
      <c r="E1510" s="3">
        <f>[1]!nefin_factors__1[[#This Row],[SMB]]/D1509-1</f>
        <v>-1.1536540611481496</v>
      </c>
      <c r="F1510" s="3">
        <v>-452925346909449</v>
      </c>
      <c r="G1510" s="3">
        <f>[1]!nefin_factors__1[[#This Row],[HML]]/F1509-1</f>
        <v>-2.7404762930137307</v>
      </c>
      <c r="H1510" s="3">
        <v>200806082505833</v>
      </c>
      <c r="I1510" s="4">
        <f>[1]!nefin_factors__1[[#This Row],[Risk_Free]]/H1509-1</f>
        <v>-1.875424256483238E-3</v>
      </c>
      <c r="J1510">
        <v>116872</v>
      </c>
      <c r="K1510">
        <v>117076</v>
      </c>
      <c r="L1510">
        <v>115965</v>
      </c>
      <c r="M1510">
        <v>116662</v>
      </c>
      <c r="N1510">
        <v>4854100</v>
      </c>
      <c r="O1510">
        <v>116662</v>
      </c>
      <c r="P1510">
        <v>-1.8480809048751999E-3</v>
      </c>
      <c r="Q1510">
        <v>-1.84979071329162E-3</v>
      </c>
      <c r="R1510" s="8">
        <v>36.594017028808601</v>
      </c>
      <c r="S1510" s="8">
        <v>1.3235892133055999E-2</v>
      </c>
      <c r="T1510" s="9">
        <v>1.31490630472189E-2</v>
      </c>
      <c r="U1510" s="12">
        <v>1.8984999999999998E-2</v>
      </c>
      <c r="V1510" s="16">
        <v>4.1153000000000004</v>
      </c>
      <c r="W1510" s="17">
        <f t="shared" si="23"/>
        <v>-6.6140439809784235E-3</v>
      </c>
    </row>
    <row r="1511" spans="1:23" x14ac:dyDescent="0.2">
      <c r="A1511" s="15">
        <v>43754</v>
      </c>
      <c r="B1511" s="5">
        <v>85457561224347</v>
      </c>
      <c r="C1511" s="5">
        <f>[1]!nefin_factors__1[[#This Row],[Rm_minus_Rf]]/B1510-1</f>
        <v>-0.30880656010582874</v>
      </c>
      <c r="D1511" s="5">
        <v>-453634471473348</v>
      </c>
      <c r="E1511" s="5">
        <f>[1]!nefin_factors__1[[#This Row],[SMB]]/D1510-1</f>
        <v>3.2781964768825977</v>
      </c>
      <c r="F1511" s="5">
        <v>-571748868573454</v>
      </c>
      <c r="G1511" s="5">
        <f>[1]!nefin_factors__1[[#This Row],[HML]]/F1510-1</f>
        <v>0.26234681382881564</v>
      </c>
      <c r="H1511" s="5">
        <v>19929650834194</v>
      </c>
      <c r="I1511" s="6">
        <f>[1]!nefin_factors__1[[#This Row],[Risk_Free]]/H1510-1</f>
        <v>-0.90075175719034761</v>
      </c>
      <c r="J1511">
        <v>116667</v>
      </c>
      <c r="K1511">
        <v>117335</v>
      </c>
      <c r="L1511">
        <v>115693</v>
      </c>
      <c r="M1511">
        <v>116247</v>
      </c>
      <c r="N1511">
        <v>5910500</v>
      </c>
      <c r="O1511">
        <v>116247</v>
      </c>
      <c r="P1511">
        <v>-3.5572851485488098E-3</v>
      </c>
      <c r="Q1511">
        <v>-3.5636273324677601E-3</v>
      </c>
      <c r="R1511" s="8">
        <v>36.544567108154297</v>
      </c>
      <c r="S1511" s="8">
        <v>-1.35131162603352E-3</v>
      </c>
      <c r="T1511" s="9">
        <v>-1.35222547094112E-3</v>
      </c>
      <c r="U1511" s="12">
        <v>1.7089E-2</v>
      </c>
      <c r="V1511" s="16">
        <v>4.1092000000000004</v>
      </c>
      <c r="W1511" s="17">
        <f t="shared" si="23"/>
        <v>-1.4822734673048954E-3</v>
      </c>
    </row>
    <row r="1512" spans="1:23" x14ac:dyDescent="0.2">
      <c r="A1512" s="14">
        <v>43755</v>
      </c>
      <c r="B1512" s="3">
        <v>-338657325222376</v>
      </c>
      <c r="C1512" s="3">
        <f>[1]!nefin_factors__1[[#This Row],[Rm_minus_Rf]]/B1511-1</f>
        <v>-4.9628713992120339</v>
      </c>
      <c r="D1512" s="3">
        <v>347409226848686</v>
      </c>
      <c r="E1512" s="3">
        <f>[1]!nefin_factors__1[[#This Row],[SMB]]/D1511-1</f>
        <v>-1.7658351573687607</v>
      </c>
      <c r="F1512" s="3">
        <v>752094636013829</v>
      </c>
      <c r="G1512" s="3">
        <f>[1]!nefin_factors__1[[#This Row],[HML]]/F1511-1</f>
        <v>-2.3154282891549012</v>
      </c>
      <c r="H1512" s="3">
        <v>198163952311869</v>
      </c>
      <c r="I1512" s="4">
        <f>[1]!nefin_factors__1[[#This Row],[Risk_Free]]/H1511-1</f>
        <v>8.9431723094652593</v>
      </c>
      <c r="J1512">
        <v>116248</v>
      </c>
      <c r="K1512">
        <v>116820</v>
      </c>
      <c r="L1512">
        <v>115411</v>
      </c>
      <c r="M1512">
        <v>115947</v>
      </c>
      <c r="N1512">
        <v>5953500</v>
      </c>
      <c r="O1512">
        <v>115947</v>
      </c>
      <c r="P1512">
        <v>-2.5807117603035001E-3</v>
      </c>
      <c r="Q1512">
        <v>-2.5840475372535402E-3</v>
      </c>
      <c r="R1512" s="8">
        <v>35.761585235595703</v>
      </c>
      <c r="S1512" s="8">
        <v>-2.1425397385098199E-2</v>
      </c>
      <c r="T1512" s="9">
        <v>-2.1658253238364799E-2</v>
      </c>
      <c r="U1512" s="12">
        <v>1.7089E-2</v>
      </c>
      <c r="V1512" s="16">
        <v>4.0949</v>
      </c>
      <c r="W1512" s="17">
        <f t="shared" si="23"/>
        <v>-3.4799961062981222E-3</v>
      </c>
    </row>
    <row r="1513" spans="1:23" x14ac:dyDescent="0.2">
      <c r="A1513" s="15">
        <v>43756</v>
      </c>
      <c r="B1513" s="5">
        <v>-184616630257806</v>
      </c>
      <c r="C1513" s="5">
        <f>[1]!nefin_factors__1[[#This Row],[Rm_minus_Rf]]/B1512-1</f>
        <v>-0.45485711807184648</v>
      </c>
      <c r="D1513" s="5">
        <v>200209012641207</v>
      </c>
      <c r="E1513" s="5">
        <f>[1]!nefin_factors__1[[#This Row],[SMB]]/D1512-1</f>
        <v>-0.42370841886589272</v>
      </c>
      <c r="F1513" s="5">
        <v>277098937770577</v>
      </c>
      <c r="G1513" s="5">
        <f>[1]!nefin_factors__1[[#This Row],[HML]]/F1512-1</f>
        <v>-0.63156373612870453</v>
      </c>
      <c r="H1513" s="5">
        <v>197786362093</v>
      </c>
      <c r="I1513" s="6">
        <f>[1]!nefin_factors__1[[#This Row],[Risk_Free]]/H1512-1</f>
        <v>-0.99900190544352019</v>
      </c>
      <c r="J1513">
        <v>115948</v>
      </c>
      <c r="K1513">
        <v>116745</v>
      </c>
      <c r="L1513">
        <v>114952</v>
      </c>
      <c r="M1513">
        <v>115503</v>
      </c>
      <c r="N1513">
        <v>4783400</v>
      </c>
      <c r="O1513">
        <v>115503</v>
      </c>
      <c r="P1513">
        <v>-3.82933581722689E-3</v>
      </c>
      <c r="Q1513">
        <v>-3.83668649510402E-3</v>
      </c>
      <c r="R1513" s="8">
        <v>34.648929595947301</v>
      </c>
      <c r="S1513" s="8">
        <v>-3.1113152068576101E-2</v>
      </c>
      <c r="T1513" s="9">
        <v>-3.1607445910346199E-2</v>
      </c>
      <c r="U1513" s="12">
        <v>1.7089E-2</v>
      </c>
      <c r="V1513" s="16">
        <v>4.0800999999999998</v>
      </c>
      <c r="W1513" s="17">
        <f t="shared" si="23"/>
        <v>-3.614251874282659E-3</v>
      </c>
    </row>
    <row r="1514" spans="1:23" x14ac:dyDescent="0.2">
      <c r="A1514" s="14">
        <v>43759</v>
      </c>
      <c r="B1514" s="3">
        <v>101868380951558</v>
      </c>
      <c r="C1514" s="3">
        <f>[1]!nefin_factors__1[[#This Row],[Rm_minus_Rf]]/B1513-1</f>
        <v>-1.5517833404786174</v>
      </c>
      <c r="D1514" s="3">
        <v>544016394974223</v>
      </c>
      <c r="E1514" s="3">
        <f>[1]!nefin_factors__1[[#This Row],[SMB]]/D1513-1</f>
        <v>1.7172422849372446</v>
      </c>
      <c r="F1514" s="3">
        <v>116499129040073</v>
      </c>
      <c r="G1514" s="3">
        <f>[1]!nefin_factors__1[[#This Row],[HML]]/F1513-1</f>
        <v>-0.57957569243182006</v>
      </c>
      <c r="H1514" s="3">
        <v>196275643324029</v>
      </c>
      <c r="I1514" s="4">
        <f>[1]!nefin_factors__1[[#This Row],[Risk_Free]]/H1513-1</f>
        <v>991.36186583855238</v>
      </c>
      <c r="J1514">
        <v>115503</v>
      </c>
      <c r="K1514">
        <v>117333</v>
      </c>
      <c r="L1514">
        <v>115503</v>
      </c>
      <c r="M1514">
        <v>117325</v>
      </c>
      <c r="N1514">
        <v>5685100</v>
      </c>
      <c r="O1514">
        <v>117325</v>
      </c>
      <c r="P1514">
        <v>1.57744820480854E-2</v>
      </c>
      <c r="Q1514">
        <v>1.5651358029978302E-2</v>
      </c>
      <c r="R1514" s="8">
        <v>34.286285400390597</v>
      </c>
      <c r="S1514" s="8">
        <v>-1.0466245271803599E-2</v>
      </c>
      <c r="T1514" s="9">
        <v>-1.05214016075577E-2</v>
      </c>
      <c r="U1514" s="12">
        <v>1.7089E-2</v>
      </c>
      <c r="V1514" s="16">
        <v>4.0686999999999998</v>
      </c>
      <c r="W1514" s="17">
        <f t="shared" si="23"/>
        <v>-2.794049165461665E-3</v>
      </c>
    </row>
    <row r="1515" spans="1:23" x14ac:dyDescent="0.2">
      <c r="A1515" s="15">
        <v>43760</v>
      </c>
      <c r="B1515" s="5">
        <v>992657580307597</v>
      </c>
      <c r="C1515" s="5">
        <f>[1]!nefin_factors__1[[#This Row],[Rm_minus_Rf]]/B1514-1</f>
        <v>8.7445112117727746</v>
      </c>
      <c r="D1515" s="5">
        <v>766960368372754</v>
      </c>
      <c r="E1515" s="5">
        <f>[1]!nefin_factors__1[[#This Row],[SMB]]/D1514-1</f>
        <v>0.40981112969783706</v>
      </c>
      <c r="F1515" s="5">
        <v>595469260761679</v>
      </c>
      <c r="G1515" s="5">
        <f>[1]!nefin_factors__1[[#This Row],[HML]]/F1514-1</f>
        <v>4.1113623395145842</v>
      </c>
      <c r="H1515" s="5">
        <v>195897874124773</v>
      </c>
      <c r="I1515" s="6">
        <f>[1]!nefin_factors__1[[#This Row],[Risk_Free]]/H1514-1</f>
        <v>-1.9246871025782042E-3</v>
      </c>
      <c r="J1515">
        <v>117325</v>
      </c>
      <c r="K1515">
        <v>117705</v>
      </c>
      <c r="L1515">
        <v>116610</v>
      </c>
      <c r="M1515">
        <v>117632</v>
      </c>
      <c r="N1515">
        <v>5361700</v>
      </c>
      <c r="O1515">
        <v>117632</v>
      </c>
      <c r="P1515">
        <v>2.6166631152779699E-3</v>
      </c>
      <c r="Q1515">
        <v>2.61324561268571E-3</v>
      </c>
      <c r="R1515" s="8">
        <v>35.0280570983887</v>
      </c>
      <c r="S1515" s="8">
        <v>2.1634647478889501E-2</v>
      </c>
      <c r="T1515" s="9">
        <v>2.14039400777838E-2</v>
      </c>
      <c r="U1515" s="12">
        <v>1.7089E-2</v>
      </c>
      <c r="V1515" s="16">
        <v>4.0548000000000002</v>
      </c>
      <c r="W1515" s="17">
        <f t="shared" si="23"/>
        <v>-3.416324624572864E-3</v>
      </c>
    </row>
    <row r="1516" spans="1:23" x14ac:dyDescent="0.2">
      <c r="A1516" s="14">
        <v>43761</v>
      </c>
      <c r="B1516" s="3">
        <v>927980774332002</v>
      </c>
      <c r="C1516" s="3">
        <f>[1]!nefin_factors__1[[#This Row],[Rm_minus_Rf]]/B1515-1</f>
        <v>-6.5155202819841884E-2</v>
      </c>
      <c r="D1516" s="3">
        <v>-439070547689973</v>
      </c>
      <c r="E1516" s="3">
        <f>[1]!nefin_factors__1[[#This Row],[SMB]]/D1515-1</f>
        <v>-1.5724814029459449</v>
      </c>
      <c r="F1516" s="3">
        <v>-27622070733627</v>
      </c>
      <c r="G1516" s="3">
        <f>[1]!nefin_factors__1[[#This Row],[HML]]/F1515-1</f>
        <v>-1.046387064041383</v>
      </c>
      <c r="H1516" s="3">
        <v>195142228269773</v>
      </c>
      <c r="I1516" s="4">
        <f>[1]!nefin_factors__1[[#This Row],[Risk_Free]]/H1515-1</f>
        <v>-3.8573458664421523E-3</v>
      </c>
      <c r="J1516">
        <v>117632</v>
      </c>
      <c r="K1516">
        <v>117632</v>
      </c>
      <c r="L1516">
        <v>116188</v>
      </c>
      <c r="M1516">
        <v>116414</v>
      </c>
      <c r="N1516">
        <v>5569400</v>
      </c>
      <c r="O1516">
        <v>116414</v>
      </c>
      <c r="P1516">
        <v>-1.0354325353645199E-2</v>
      </c>
      <c r="Q1516">
        <v>-1.04083043141879E-2</v>
      </c>
      <c r="R1516" s="8">
        <v>34.113208770752003</v>
      </c>
      <c r="S1516" s="8">
        <v>-2.6117586969412701E-2</v>
      </c>
      <c r="T1516" s="9">
        <v>-2.6464708468838999E-2</v>
      </c>
      <c r="U1516" s="12">
        <v>1.7089E-2</v>
      </c>
      <c r="V1516" s="16">
        <v>4.0632999999999999</v>
      </c>
      <c r="W1516" s="17">
        <f t="shared" si="23"/>
        <v>2.0962809509716962E-3</v>
      </c>
    </row>
    <row r="1517" spans="1:23" x14ac:dyDescent="0.2">
      <c r="A1517" s="15">
        <v>43762</v>
      </c>
      <c r="B1517" s="5">
        <v>-370268308950616</v>
      </c>
      <c r="C1517" s="5">
        <f>[1]!nefin_factors__1[[#This Row],[Rm_minus_Rf]]/B1516-1</f>
        <v>-1.3990042888734953</v>
      </c>
      <c r="D1517" s="5">
        <v>-193343770712198</v>
      </c>
      <c r="E1517" s="5">
        <f>[1]!nefin_factors__1[[#This Row],[SMB]]/D1516-1</f>
        <v>-0.55965215218963471</v>
      </c>
      <c r="F1517" s="5">
        <v>-542399104208268</v>
      </c>
      <c r="G1517" s="5">
        <f>[1]!nefin_factors__1[[#This Row],[HML]]/F1516-1</f>
        <v>18.636438898404293</v>
      </c>
      <c r="H1517" s="5">
        <v>194008490744579</v>
      </c>
      <c r="I1517" s="6">
        <f>[1]!nefin_factors__1[[#This Row],[Risk_Free]]/H1516-1</f>
        <v>-5.8098010627749552E-3</v>
      </c>
      <c r="J1517">
        <v>116415</v>
      </c>
      <c r="K1517">
        <v>117106</v>
      </c>
      <c r="L1517">
        <v>115961</v>
      </c>
      <c r="M1517">
        <v>116704</v>
      </c>
      <c r="N1517">
        <v>5422700</v>
      </c>
      <c r="O1517">
        <v>116704</v>
      </c>
      <c r="P1517">
        <v>2.49110931674879E-3</v>
      </c>
      <c r="Q1517">
        <v>2.4880116472904301E-3</v>
      </c>
      <c r="R1517" s="8">
        <v>33.849464416503899</v>
      </c>
      <c r="S1517" s="8">
        <v>-7.7314437354886198E-3</v>
      </c>
      <c r="T1517" s="9">
        <v>-7.7614862950254396E-3</v>
      </c>
      <c r="U1517" s="12">
        <v>1.7089E-2</v>
      </c>
      <c r="V1517" s="16">
        <v>4.0777000000000001</v>
      </c>
      <c r="W1517" s="17">
        <f t="shared" si="23"/>
        <v>3.5439175054758909E-3</v>
      </c>
    </row>
    <row r="1518" spans="1:23" x14ac:dyDescent="0.2">
      <c r="A1518" s="14">
        <v>43763</v>
      </c>
      <c r="B1518" s="3">
        <v>-130235556555777</v>
      </c>
      <c r="C1518" s="3">
        <f>[1]!nefin_factors__1[[#This Row],[Rm_minus_Rf]]/B1517-1</f>
        <v>-0.64826707172190923</v>
      </c>
      <c r="D1518" s="3">
        <v>-347972068994722</v>
      </c>
      <c r="E1518" s="3">
        <f>[1]!nefin_factors__1[[#This Row],[SMB]]/D1517-1</f>
        <v>0.79975836673163925</v>
      </c>
      <c r="F1518" s="3">
        <v>-230581831467377</v>
      </c>
      <c r="G1518" s="3">
        <f>[1]!nefin_factors__1[[#This Row],[HML]]/F1517-1</f>
        <v>-0.57488530184069186</v>
      </c>
      <c r="H1518" s="3">
        <v>192874430564371</v>
      </c>
      <c r="I1518" s="4">
        <f>[1]!nefin_factors__1[[#This Row],[Risk_Free]]/H1517-1</f>
        <v>-5.8454151973227342E-3</v>
      </c>
      <c r="J1518">
        <v>116710</v>
      </c>
      <c r="K1518">
        <v>118479</v>
      </c>
      <c r="L1518">
        <v>116710</v>
      </c>
      <c r="M1518">
        <v>118478</v>
      </c>
      <c r="N1518">
        <v>4947200</v>
      </c>
      <c r="O1518">
        <v>118478</v>
      </c>
      <c r="P1518">
        <v>1.520085001371E-2</v>
      </c>
      <c r="Q1518">
        <v>1.5086474704638701E-2</v>
      </c>
      <c r="R1518" s="8">
        <v>34.319255828857401</v>
      </c>
      <c r="S1518" s="8">
        <v>1.38788432978709E-2</v>
      </c>
      <c r="T1518" s="9">
        <v>1.3783414103069399E-2</v>
      </c>
      <c r="U1518" s="12">
        <v>1.7089E-2</v>
      </c>
      <c r="V1518" s="16">
        <v>4.0757000000000003</v>
      </c>
      <c r="W1518" s="17">
        <f t="shared" si="23"/>
        <v>-4.9047257032142078E-4</v>
      </c>
    </row>
    <row r="1519" spans="1:23" x14ac:dyDescent="0.2">
      <c r="A1519" s="15">
        <v>43766</v>
      </c>
      <c r="B1519" s="5">
        <v>724055221538372</v>
      </c>
      <c r="C1519" s="5">
        <f>[1]!nefin_factors__1[[#This Row],[Rm_minus_Rf]]/B1518-1</f>
        <v>-6.5595817354861552</v>
      </c>
      <c r="D1519" s="5">
        <v>-183161083332928</v>
      </c>
      <c r="E1519" s="5">
        <f>[1]!nefin_factors__1[[#This Row],[SMB]]/D1518-1</f>
        <v>-0.47363280086797377</v>
      </c>
      <c r="F1519" s="5">
        <v>603423517994866</v>
      </c>
      <c r="G1519" s="5">
        <f>[1]!nefin_factors__1[[#This Row],[HML]]/F1518-1</f>
        <v>-3.6169603830223678</v>
      </c>
      <c r="H1519" s="5">
        <v>190605341503503</v>
      </c>
      <c r="I1519" s="6">
        <f>[1]!nefin_factors__1[[#This Row],[Risk_Free]]/H1518-1</f>
        <v>-1.1764592404645891E-2</v>
      </c>
      <c r="J1519">
        <v>118478</v>
      </c>
      <c r="K1519">
        <v>118862</v>
      </c>
      <c r="L1519">
        <v>117928</v>
      </c>
      <c r="M1519">
        <v>118862</v>
      </c>
      <c r="N1519">
        <v>3843500</v>
      </c>
      <c r="O1519">
        <v>118862</v>
      </c>
      <c r="P1519">
        <v>3.2411080538159399E-3</v>
      </c>
      <c r="Q1519">
        <v>3.2358669846352999E-3</v>
      </c>
      <c r="R1519" s="8">
        <v>33.791774749755902</v>
      </c>
      <c r="S1519" s="8">
        <v>-1.5369828580549499E-2</v>
      </c>
      <c r="T1519" s="9">
        <v>-1.5489168800852601E-2</v>
      </c>
      <c r="U1519" s="12">
        <v>1.7089E-2</v>
      </c>
      <c r="V1519" s="16">
        <v>4.0812999999999997</v>
      </c>
      <c r="W1519" s="17">
        <f t="shared" si="23"/>
        <v>1.373997104791691E-3</v>
      </c>
    </row>
    <row r="1520" spans="1:23" x14ac:dyDescent="0.2">
      <c r="A1520" s="14">
        <v>43767</v>
      </c>
      <c r="B1520" s="3">
        <v>-507925641562267</v>
      </c>
      <c r="C1520" s="3">
        <f>[1]!nefin_factors__1[[#This Row],[Rm_minus_Rf]]/B1519-1</f>
        <v>-1.7015012480444476</v>
      </c>
      <c r="D1520" s="3">
        <v>-303970899691595</v>
      </c>
      <c r="E1520" s="3">
        <f>[1]!nefin_factors__1[[#This Row],[SMB]]/D1519-1</f>
        <v>0.65958234227668089</v>
      </c>
      <c r="F1520" s="3">
        <v>-397187223399045</v>
      </c>
      <c r="G1520" s="3">
        <f>[1]!nefin_factors__1[[#This Row],[HML]]/F1519-1</f>
        <v>-1.6582229753306108</v>
      </c>
      <c r="H1520" s="3">
        <v>190605341503503</v>
      </c>
      <c r="I1520" s="4">
        <f>[1]!nefin_factors__1[[#This Row],[Risk_Free]]/H1519-1</f>
        <v>0</v>
      </c>
      <c r="J1520">
        <v>118861</v>
      </c>
      <c r="K1520">
        <v>118861</v>
      </c>
      <c r="L1520">
        <v>117026</v>
      </c>
      <c r="M1520">
        <v>117026</v>
      </c>
      <c r="N1520">
        <v>5085600</v>
      </c>
      <c r="O1520">
        <v>117026</v>
      </c>
      <c r="P1520">
        <v>-1.5446484158099299E-2</v>
      </c>
      <c r="Q1520">
        <v>-1.55670239832659E-2</v>
      </c>
      <c r="R1520" s="8">
        <v>32.415374755859403</v>
      </c>
      <c r="S1520" s="8">
        <v>-4.07318054197916E-2</v>
      </c>
      <c r="T1520" s="9">
        <v>-4.1584582528875001E-2</v>
      </c>
      <c r="U1520" s="12">
        <v>1.7089E-2</v>
      </c>
      <c r="V1520" s="16">
        <v>4.0601000000000003</v>
      </c>
      <c r="W1520" s="17">
        <f t="shared" si="23"/>
        <v>-5.1944233455025746E-3</v>
      </c>
    </row>
    <row r="1521" spans="1:23" x14ac:dyDescent="0.2">
      <c r="A1521" s="15">
        <v>43768</v>
      </c>
      <c r="B1521" s="5">
        <v>800350768867014</v>
      </c>
      <c r="C1521" s="5">
        <f>[1]!nefin_factors__1[[#This Row],[Rm_minus_Rf]]/B1520-1</f>
        <v>-2.5757242859512113</v>
      </c>
      <c r="D1521" s="5">
        <v>-130775303330967</v>
      </c>
      <c r="E1521" s="5">
        <f>[1]!nefin_factors__1[[#This Row],[SMB]]/D1520-1</f>
        <v>-0.56977689817133825</v>
      </c>
      <c r="F1521" s="5">
        <v>606669478941056</v>
      </c>
      <c r="G1521" s="5">
        <f>[1]!nefin_factors__1[[#This Row],[HML]]/F1520-1</f>
        <v>-2.5274143859646485</v>
      </c>
      <c r="H1521" s="5">
        <v>189470312254247</v>
      </c>
      <c r="I1521" s="6">
        <f>[1]!nefin_factors__1[[#This Row],[Risk_Free]]/H1520-1</f>
        <v>-5.9548659040866703E-3</v>
      </c>
      <c r="J1521">
        <v>117035</v>
      </c>
      <c r="K1521">
        <v>118401</v>
      </c>
      <c r="L1521">
        <v>117035</v>
      </c>
      <c r="M1521">
        <v>118391</v>
      </c>
      <c r="N1521">
        <v>5765700</v>
      </c>
      <c r="O1521">
        <v>118391</v>
      </c>
      <c r="P1521">
        <v>1.1664074650077801E-2</v>
      </c>
      <c r="Q1521">
        <v>1.15965737149406E-2</v>
      </c>
      <c r="R1521" s="8">
        <v>32.7532958984375</v>
      </c>
      <c r="S1521" s="8">
        <v>1.0424718058119601E-2</v>
      </c>
      <c r="T1521" s="9">
        <v>1.0370755391216501E-2</v>
      </c>
      <c r="U1521" s="12">
        <v>1.7089E-2</v>
      </c>
      <c r="V1521" s="16">
        <v>4.0545</v>
      </c>
      <c r="W1521" s="17">
        <f t="shared" si="23"/>
        <v>-1.3792763725032353E-3</v>
      </c>
    </row>
    <row r="1522" spans="1:23" x14ac:dyDescent="0.2">
      <c r="A1522" s="14">
        <v>43769</v>
      </c>
      <c r="B1522" s="3">
        <v>-973047125420197</v>
      </c>
      <c r="C1522" s="3">
        <f>[1]!nefin_factors__1[[#This Row],[Rm_minus_Rf]]/B1521-1</f>
        <v>-2.2157758363844069</v>
      </c>
      <c r="D1522" s="3">
        <v>36623064629564</v>
      </c>
      <c r="E1522" s="3">
        <f>[1]!nefin_factors__1[[#This Row],[SMB]]/D1521-1</f>
        <v>-1.2800457249705481</v>
      </c>
      <c r="F1522" s="3">
        <v>346393702979501</v>
      </c>
      <c r="G1522" s="3">
        <f>[1]!nefin_factors__1[[#This Row],[HML]]/F1521-1</f>
        <v>-0.42902401554115988</v>
      </c>
      <c r="H1522" s="3">
        <v>189848691260597</v>
      </c>
      <c r="I1522" s="4">
        <f>[1]!nefin_factors__1[[#This Row],[Risk_Free]]/H1521-1</f>
        <v>1.9970358514123099E-3</v>
      </c>
      <c r="J1522">
        <v>118391</v>
      </c>
      <c r="K1522">
        <v>119535</v>
      </c>
      <c r="L1522">
        <v>116906</v>
      </c>
      <c r="M1522">
        <v>119528</v>
      </c>
      <c r="N1522">
        <v>6572400</v>
      </c>
      <c r="O1522">
        <v>119528</v>
      </c>
      <c r="P1522">
        <v>9.6037705568834397E-3</v>
      </c>
      <c r="Q1522">
        <v>9.5579475015653195E-3</v>
      </c>
      <c r="R1522" s="8">
        <v>33.305500030517599</v>
      </c>
      <c r="S1522" s="8">
        <v>1.6859498164471E-2</v>
      </c>
      <c r="T1522" s="9">
        <v>1.67189542917776E-2</v>
      </c>
      <c r="U1522" s="12">
        <v>1.7089E-2</v>
      </c>
      <c r="V1522" s="16">
        <v>4.0307000000000004</v>
      </c>
      <c r="W1522" s="17">
        <f t="shared" si="23"/>
        <v>-5.8700209643605117E-3</v>
      </c>
    </row>
    <row r="1523" spans="1:23" x14ac:dyDescent="0.2">
      <c r="A1523" s="15">
        <v>43770</v>
      </c>
      <c r="B1523" s="5">
        <v>899308809656003</v>
      </c>
      <c r="C1523" s="5">
        <f>[1]!nefin_factors__1[[#This Row],[Rm_minus_Rf]]/B1522-1</f>
        <v>-1.9242191731131717</v>
      </c>
      <c r="D1523" s="5">
        <v>103196340246927</v>
      </c>
      <c r="E1523" s="5">
        <f>[1]!nefin_factors__1[[#This Row],[SMB]]/D1522-1</f>
        <v>1.8177964157489339</v>
      </c>
      <c r="F1523" s="5">
        <v>78629064154146</v>
      </c>
      <c r="G1523" s="5">
        <f>[1]!nefin_factors__1[[#This Row],[HML]]/F1522-1</f>
        <v>-0.77300665838374338</v>
      </c>
      <c r="H1523" s="5">
        <v>189848691260597</v>
      </c>
      <c r="I1523" s="6">
        <f>[1]!nefin_factors__1[[#This Row],[Risk_Free]]/H1522-1</f>
        <v>0</v>
      </c>
      <c r="J1523">
        <v>119528</v>
      </c>
      <c r="K1523">
        <v>119593</v>
      </c>
      <c r="L1523">
        <v>118108</v>
      </c>
      <c r="M1523">
        <v>118376</v>
      </c>
      <c r="N1523">
        <v>4778700</v>
      </c>
      <c r="O1523">
        <v>118376</v>
      </c>
      <c r="P1523">
        <v>-9.6379091091627293E-3</v>
      </c>
      <c r="Q1523">
        <v>-9.6846543485506198E-3</v>
      </c>
      <c r="R1523" s="8">
        <v>32.588455200195298</v>
      </c>
      <c r="S1523" s="8">
        <v>-2.15293218737218E-2</v>
      </c>
      <c r="T1523" s="9">
        <v>-2.1764458740857799E-2</v>
      </c>
      <c r="U1523" s="12">
        <v>1.7089E-2</v>
      </c>
      <c r="V1523" s="16">
        <v>4.0307000000000004</v>
      </c>
      <c r="W1523" s="17">
        <f t="shared" si="23"/>
        <v>0</v>
      </c>
    </row>
    <row r="1524" spans="1:23" x14ac:dyDescent="0.2">
      <c r="A1524" s="14">
        <v>43773</v>
      </c>
      <c r="B1524" s="3">
        <v>402890076708773</v>
      </c>
      <c r="C1524" s="3">
        <f>[1]!nefin_factors__1[[#This Row],[Rm_minus_Rf]]/B1523-1</f>
        <v>-0.55200030024960656</v>
      </c>
      <c r="D1524" s="3">
        <v>787429535835567</v>
      </c>
      <c r="E1524" s="3">
        <f>[1]!nefin_factors__1[[#This Row],[SMB]]/D1523-1</f>
        <v>6.6304017560255994</v>
      </c>
      <c r="F1524" s="3">
        <v>14272300980776</v>
      </c>
      <c r="G1524" s="3">
        <f>[1]!nefin_factors__1[[#This Row],[HML]]/F1523-1</f>
        <v>-0.81848568167114011</v>
      </c>
      <c r="H1524" s="3">
        <v>189091897315308</v>
      </c>
      <c r="I1524" s="4">
        <f>[1]!nefin_factors__1[[#This Row],[Risk_Free]]/H1523-1</f>
        <v>-3.9863005652758243E-3</v>
      </c>
      <c r="J1524">
        <v>118347</v>
      </c>
      <c r="K1524">
        <v>118347</v>
      </c>
      <c r="L1524">
        <v>114376</v>
      </c>
      <c r="M1524">
        <v>114482</v>
      </c>
      <c r="N1524">
        <v>6097800</v>
      </c>
      <c r="O1524">
        <v>114482</v>
      </c>
      <c r="P1524">
        <v>-3.2895181455700501E-2</v>
      </c>
      <c r="Q1524">
        <v>-3.3448393804152397E-2</v>
      </c>
      <c r="R1524" s="8">
        <v>31.170850753784201</v>
      </c>
      <c r="S1524" s="8">
        <v>-4.3500203912784301E-2</v>
      </c>
      <c r="T1524" s="9">
        <v>-4.4474703288244599E-2</v>
      </c>
      <c r="U1524" s="12">
        <v>1.7089E-2</v>
      </c>
      <c r="V1524" s="16">
        <v>4.0213000000000001</v>
      </c>
      <c r="W1524" s="17">
        <f t="shared" si="23"/>
        <v>-2.3321011238743861E-3</v>
      </c>
    </row>
    <row r="1525" spans="1:23" x14ac:dyDescent="0.2">
      <c r="A1525" s="15">
        <v>43774</v>
      </c>
      <c r="B1525" s="5">
        <v>-251505622216185</v>
      </c>
      <c r="C1525" s="5">
        <f>[1]!nefin_factors__1[[#This Row],[Rm_minus_Rf]]/B1524-1</f>
        <v>-1.6242537028232258</v>
      </c>
      <c r="D1525" s="5">
        <v>-420036432735313</v>
      </c>
      <c r="E1525" s="5">
        <f>[1]!nefin_factors__1[[#This Row],[SMB]]/D1524-1</f>
        <v>-1.5334273272967831</v>
      </c>
      <c r="F1525" s="5">
        <v>-577540487714705</v>
      </c>
      <c r="G1525" s="5">
        <f>[1]!nefin_factors__1[[#This Row],[HML]]/F1524-1</f>
        <v>-41.465828775095204</v>
      </c>
      <c r="H1525" s="5">
        <v>18833495961279</v>
      </c>
      <c r="I1525" s="6">
        <f>[1]!nefin_factors__1[[#This Row],[Risk_Free]]/H1524-1</f>
        <v>-0.90040030150062744</v>
      </c>
      <c r="J1525">
        <v>114482</v>
      </c>
      <c r="K1525">
        <v>116797</v>
      </c>
      <c r="L1525">
        <v>114475</v>
      </c>
      <c r="M1525">
        <v>116479</v>
      </c>
      <c r="N1525">
        <v>5229400</v>
      </c>
      <c r="O1525">
        <v>116479</v>
      </c>
      <c r="P1525">
        <v>1.7443790290176699E-2</v>
      </c>
      <c r="Q1525">
        <v>1.7293393850607301E-2</v>
      </c>
      <c r="R1525" s="8">
        <v>31.657121658325199</v>
      </c>
      <c r="S1525" s="8">
        <v>1.5600180706713001E-2</v>
      </c>
      <c r="T1525" s="9">
        <v>1.547974877936E-2</v>
      </c>
      <c r="U1525" s="12">
        <v>1.7089E-2</v>
      </c>
      <c r="V1525" s="16">
        <v>4.0522</v>
      </c>
      <c r="W1525" s="17">
        <f t="shared" si="23"/>
        <v>7.6840822619550497E-3</v>
      </c>
    </row>
    <row r="1526" spans="1:23" x14ac:dyDescent="0.2">
      <c r="A1526" s="14">
        <v>43775</v>
      </c>
      <c r="B1526" s="3">
        <v>-277965344121862</v>
      </c>
      <c r="C1526" s="3">
        <f>[1]!nefin_factors__1[[#This Row],[Rm_minus_Rf]]/B1525-1</f>
        <v>0.10520528993555933</v>
      </c>
      <c r="D1526" s="3">
        <v>560332461661448</v>
      </c>
      <c r="E1526" s="3">
        <f>[1]!nefin_factors__1[[#This Row],[SMB]]/D1525-1</f>
        <v>-2.3340091906135747</v>
      </c>
      <c r="F1526" s="3">
        <v>177278013759303</v>
      </c>
      <c r="G1526" s="3">
        <f>[1]!nefin_factors__1[[#This Row],[HML]]/F1525-1</f>
        <v>-1.306953395528653</v>
      </c>
      <c r="H1526" s="3">
        <v>187956436835446</v>
      </c>
      <c r="I1526" s="4">
        <f>[1]!nefin_factors__1[[#This Row],[Risk_Free]]/H1525-1</f>
        <v>8.9799016190025345</v>
      </c>
      <c r="J1526">
        <v>116494</v>
      </c>
      <c r="K1526">
        <v>117171</v>
      </c>
      <c r="L1526">
        <v>115164</v>
      </c>
      <c r="M1526">
        <v>115385</v>
      </c>
      <c r="N1526">
        <v>5097800</v>
      </c>
      <c r="O1526">
        <v>115385</v>
      </c>
      <c r="P1526">
        <v>-9.392250963693E-3</v>
      </c>
      <c r="Q1526">
        <v>-9.4366362901454302E-3</v>
      </c>
      <c r="R1526" s="8">
        <v>30.503257751464801</v>
      </c>
      <c r="S1526" s="8">
        <v>-3.6448794028528103E-2</v>
      </c>
      <c r="T1526" s="9">
        <v>-3.7129646746990298E-2</v>
      </c>
      <c r="U1526" s="12">
        <v>1.7089E-2</v>
      </c>
      <c r="V1526" s="16">
        <v>4.0553999999999997</v>
      </c>
      <c r="W1526" s="17">
        <f t="shared" si="23"/>
        <v>7.8969448694521382E-4</v>
      </c>
    </row>
    <row r="1527" spans="1:23" x14ac:dyDescent="0.2">
      <c r="A1527" s="15">
        <v>43776</v>
      </c>
      <c r="B1527" s="5">
        <v>10356902913349</v>
      </c>
      <c r="C1527" s="5">
        <f>[1]!nefin_factors__1[[#This Row],[Rm_minus_Rf]]/B1526-1</f>
        <v>-1.0372596912973744</v>
      </c>
      <c r="D1527" s="5">
        <v>-388787149980646</v>
      </c>
      <c r="E1527" s="5">
        <f>[1]!nefin_factors__1[[#This Row],[SMB]]/D1526-1</f>
        <v>-1.6938508413877162</v>
      </c>
      <c r="F1527" s="5">
        <v>-215477410935055</v>
      </c>
      <c r="G1527" s="5">
        <f>[1]!nefin_factors__1[[#This Row],[HML]]/F1526-1</f>
        <v>-2.2154773531455332</v>
      </c>
      <c r="H1527" s="5">
        <v>187577878098422</v>
      </c>
      <c r="I1527" s="6">
        <f>[1]!nefin_factors__1[[#This Row],[Risk_Free]]/H1526-1</f>
        <v>-2.0140770031484845E-3</v>
      </c>
      <c r="J1527">
        <v>115375</v>
      </c>
      <c r="K1527">
        <v>115528</v>
      </c>
      <c r="L1527">
        <v>112825</v>
      </c>
      <c r="M1527">
        <v>115528</v>
      </c>
      <c r="N1527">
        <v>6315600</v>
      </c>
      <c r="O1527">
        <v>115528</v>
      </c>
      <c r="P1527">
        <v>1.23932920223591E-3</v>
      </c>
      <c r="Q1527">
        <v>1.2385618677214301E-3</v>
      </c>
      <c r="R1527" s="8">
        <v>29.860389709472699</v>
      </c>
      <c r="S1527" s="8">
        <v>-2.10753896265823E-2</v>
      </c>
      <c r="T1527" s="9">
        <v>-2.1300646185525601E-2</v>
      </c>
      <c r="U1527" s="12">
        <v>1.7089E-2</v>
      </c>
      <c r="V1527" s="16">
        <v>4.0841000000000003</v>
      </c>
      <c r="W1527" s="17">
        <f t="shared" si="23"/>
        <v>7.0769837747202136E-3</v>
      </c>
    </row>
    <row r="1528" spans="1:23" x14ac:dyDescent="0.2">
      <c r="A1528" s="14">
        <v>43777</v>
      </c>
      <c r="B1528" s="3">
        <v>-169768671324227</v>
      </c>
      <c r="C1528" s="3">
        <f>[1]!nefin_factors__1[[#This Row],[Rm_minus_Rf]]/B1527-1</f>
        <v>-17.391837670449952</v>
      </c>
      <c r="D1528" s="3">
        <v>188158606844033</v>
      </c>
      <c r="E1528" s="3">
        <f>[1]!nefin_factors__1[[#This Row],[SMB]]/D1527-1</f>
        <v>-1.483963029265241</v>
      </c>
      <c r="F1528" s="3">
        <v>196421145188543</v>
      </c>
      <c r="G1528" s="3">
        <f>[1]!nefin_factors__1[[#This Row],[HML]]/F1527-1</f>
        <v>-1.9115625825286364</v>
      </c>
      <c r="H1528" s="3">
        <v>187577878098422</v>
      </c>
      <c r="I1528" s="4">
        <f>[1]!nefin_factors__1[[#This Row],[Risk_Free]]/H1527-1</f>
        <v>0</v>
      </c>
      <c r="J1528">
        <v>115518</v>
      </c>
      <c r="K1528">
        <v>115518</v>
      </c>
      <c r="L1528">
        <v>113148</v>
      </c>
      <c r="M1528">
        <v>113761</v>
      </c>
      <c r="N1528">
        <v>6219900</v>
      </c>
      <c r="O1528">
        <v>113761</v>
      </c>
      <c r="P1528">
        <v>-1.52949934215082E-2</v>
      </c>
      <c r="Q1528">
        <v>-1.54131683719633E-2</v>
      </c>
      <c r="R1528" s="8">
        <v>30.082920074462901</v>
      </c>
      <c r="S1528" s="8">
        <v>7.45235970311664E-3</v>
      </c>
      <c r="T1528" s="9">
        <v>7.4247280662243899E-3</v>
      </c>
      <c r="U1528" s="12">
        <v>1.7089E-2</v>
      </c>
      <c r="V1528" s="16">
        <v>4.0671999999999997</v>
      </c>
      <c r="W1528" s="17">
        <f t="shared" si="23"/>
        <v>-4.1379985798586372E-3</v>
      </c>
    </row>
    <row r="1529" spans="1:23" x14ac:dyDescent="0.2">
      <c r="A1529" s="15">
        <v>43780</v>
      </c>
      <c r="B1529" s="5">
        <v>661860486099108</v>
      </c>
      <c r="C1529" s="5">
        <f>[1]!nefin_factors__1[[#This Row],[Rm_minus_Rf]]/B1528-1</f>
        <v>-4.8986020267253902</v>
      </c>
      <c r="D1529" s="5">
        <v>177006613834566</v>
      </c>
      <c r="E1529" s="5">
        <f>[1]!nefin_factors__1[[#This Row],[SMB]]/D1528-1</f>
        <v>-5.9269109165497991E-2</v>
      </c>
      <c r="F1529" s="5">
        <v>-736964792645001</v>
      </c>
      <c r="G1529" s="5">
        <f>[1]!nefin_factors__1[[#This Row],[HML]]/F1528-1</f>
        <v>-4.751962610428702</v>
      </c>
      <c r="H1529" s="5">
        <v>186441986059771</v>
      </c>
      <c r="I1529" s="6">
        <f>[1]!nefin_factors__1[[#This Row],[Risk_Free]]/H1528-1</f>
        <v>-6.0555756903007962E-3</v>
      </c>
      <c r="J1529">
        <v>113761</v>
      </c>
      <c r="K1529">
        <v>115299</v>
      </c>
      <c r="L1529">
        <v>113467</v>
      </c>
      <c r="M1529">
        <v>114629</v>
      </c>
      <c r="N1529">
        <v>5512200</v>
      </c>
      <c r="O1529">
        <v>114629</v>
      </c>
      <c r="P1529">
        <v>7.6300313815806896E-3</v>
      </c>
      <c r="Q1529">
        <v>7.6010699167715799E-3</v>
      </c>
      <c r="R1529" s="8">
        <v>30.214790344238299</v>
      </c>
      <c r="S1529" s="8">
        <v>4.3835594898693504E-3</v>
      </c>
      <c r="T1529" s="9">
        <v>4.3739796785476999E-3</v>
      </c>
      <c r="U1529" s="12">
        <v>1.7089E-2</v>
      </c>
      <c r="V1529" s="16">
        <v>4.0743999999999998</v>
      </c>
      <c r="W1529" s="17">
        <f t="shared" si="23"/>
        <v>1.770259638080196E-3</v>
      </c>
    </row>
    <row r="1530" spans="1:23" x14ac:dyDescent="0.2">
      <c r="A1530" s="14">
        <v>43781</v>
      </c>
      <c r="B1530" s="3">
        <v>-143637468172765</v>
      </c>
      <c r="C1530" s="3">
        <f>[1]!nefin_factors__1[[#This Row],[Rm_minus_Rf]]/B1529-1</f>
        <v>-1.2170207637252068</v>
      </c>
      <c r="D1530" s="3">
        <v>434230016189585</v>
      </c>
      <c r="E1530" s="3">
        <f>[1]!nefin_factors__1[[#This Row],[SMB]]/D1529-1</f>
        <v>1.4531852611757503</v>
      </c>
      <c r="F1530" s="3">
        <v>664333775342232</v>
      </c>
      <c r="G1530" s="3">
        <f>[1]!nefin_factors__1[[#This Row],[HML]]/F1529-1</f>
        <v>-1.9014457433684275</v>
      </c>
      <c r="H1530" s="3">
        <v>186063283414972</v>
      </c>
      <c r="I1530" s="4">
        <f>[1]!nefin_factors__1[[#This Row],[Risk_Free]]/H1529-1</f>
        <v>-2.0312090254047677E-3</v>
      </c>
      <c r="J1530">
        <v>114631</v>
      </c>
      <c r="K1530">
        <v>116556</v>
      </c>
      <c r="L1530">
        <v>114631</v>
      </c>
      <c r="M1530">
        <v>115557</v>
      </c>
      <c r="N1530">
        <v>5829400</v>
      </c>
      <c r="O1530">
        <v>115557</v>
      </c>
      <c r="P1530">
        <v>8.0956825934099808E-3</v>
      </c>
      <c r="Q1530">
        <v>8.0630883520022706E-3</v>
      </c>
      <c r="R1530" s="8">
        <v>30.659852981567401</v>
      </c>
      <c r="S1530" s="8">
        <v>1.4729959475425301E-2</v>
      </c>
      <c r="T1530" s="9">
        <v>1.46225273183239E-2</v>
      </c>
      <c r="U1530" s="12">
        <v>1.7089E-2</v>
      </c>
      <c r="V1530" s="16">
        <v>4.0744999999999996</v>
      </c>
      <c r="W1530" s="17">
        <f t="shared" si="23"/>
        <v>2.4543491066175704E-5</v>
      </c>
    </row>
    <row r="1531" spans="1:23" x14ac:dyDescent="0.2">
      <c r="A1531" s="15">
        <v>43782</v>
      </c>
      <c r="B1531" s="5">
        <v>-629428865926319</v>
      </c>
      <c r="C1531" s="5">
        <f>[1]!nefin_factors__1[[#This Row],[Rm_minus_Rf]]/B1530-1</f>
        <v>3.3820660022303608</v>
      </c>
      <c r="D1531" s="5">
        <v>418948131332931</v>
      </c>
      <c r="E1531" s="5">
        <f>[1]!nefin_factors__1[[#This Row],[SMB]]/D1530-1</f>
        <v>-3.519306424450841E-2</v>
      </c>
      <c r="F1531" s="5">
        <v>-25568309210256</v>
      </c>
      <c r="G1531" s="5">
        <f>[1]!nefin_factors__1[[#This Row],[HML]]/F1530-1</f>
        <v>-1.0384871432994423</v>
      </c>
      <c r="H1531" s="5">
        <v>185684544776077</v>
      </c>
      <c r="I1531" s="6">
        <f>[1]!nefin_factors__1[[#This Row],[Risk_Free]]/H1530-1</f>
        <v>-2.0355366837760958E-3</v>
      </c>
      <c r="J1531">
        <v>115563</v>
      </c>
      <c r="K1531">
        <v>117701</v>
      </c>
      <c r="L1531">
        <v>115562</v>
      </c>
      <c r="M1531">
        <v>116028</v>
      </c>
      <c r="N1531">
        <v>7173800</v>
      </c>
      <c r="O1531">
        <v>116028</v>
      </c>
      <c r="P1531">
        <v>4.0759105895791202E-3</v>
      </c>
      <c r="Q1531">
        <v>4.0676265683361398E-3</v>
      </c>
      <c r="R1531" s="8">
        <v>30.4950141906738</v>
      </c>
      <c r="S1531" s="8">
        <v>-5.37637251531031E-3</v>
      </c>
      <c r="T1531" s="9">
        <v>-5.3908772178374803E-3</v>
      </c>
      <c r="U1531" s="12">
        <v>1.7089E-2</v>
      </c>
      <c r="V1531" s="16">
        <v>4.1308999999999996</v>
      </c>
      <c r="W1531" s="17">
        <f t="shared" si="23"/>
        <v>1.384218922567193E-2</v>
      </c>
    </row>
    <row r="1532" spans="1:23" x14ac:dyDescent="0.2">
      <c r="A1532" s="14">
        <v>43783</v>
      </c>
      <c r="B1532" s="3">
        <v>42184720631529</v>
      </c>
      <c r="C1532" s="3">
        <f>[1]!nefin_factors__1[[#This Row],[Rm_minus_Rf]]/B1531-1</f>
        <v>-1.0670206323782856</v>
      </c>
      <c r="D1532" s="3">
        <v>152828584105145</v>
      </c>
      <c r="E1532" s="3">
        <f>[1]!nefin_factors__1[[#This Row],[SMB]]/D1531-1</f>
        <v>-0.63520881781020599</v>
      </c>
      <c r="F1532" s="3">
        <v>808501979545866</v>
      </c>
      <c r="G1532" s="3">
        <f>[1]!nefin_factors__1[[#This Row],[HML]]/F1531-1</f>
        <v>-32.621253204398769</v>
      </c>
      <c r="H1532" s="3">
        <v>185684544776077</v>
      </c>
      <c r="I1532" s="4">
        <f>[1]!nefin_factors__1[[#This Row],[Risk_Free]]/H1531-1</f>
        <v>0</v>
      </c>
      <c r="J1532">
        <v>116033</v>
      </c>
      <c r="K1532">
        <v>117382</v>
      </c>
      <c r="L1532">
        <v>114723</v>
      </c>
      <c r="M1532">
        <v>115190</v>
      </c>
      <c r="N1532">
        <v>7382400</v>
      </c>
      <c r="O1532">
        <v>115190</v>
      </c>
      <c r="P1532">
        <v>-7.2223945944082102E-3</v>
      </c>
      <c r="Q1532">
        <v>-7.2486023509957401E-3</v>
      </c>
      <c r="R1532" s="8">
        <v>30.099403381347699</v>
      </c>
      <c r="S1532" s="8">
        <v>-1.29729668873924E-2</v>
      </c>
      <c r="T1532" s="9">
        <v>-1.30578507518904E-2</v>
      </c>
      <c r="U1532" s="12">
        <v>1.7089E-2</v>
      </c>
      <c r="V1532" s="16">
        <v>4.1443000000000003</v>
      </c>
      <c r="W1532" s="17">
        <f t="shared" si="23"/>
        <v>3.2438451669130064E-3</v>
      </c>
    </row>
    <row r="1533" spans="1:23" x14ac:dyDescent="0.2">
      <c r="A1533" s="15">
        <v>43787</v>
      </c>
      <c r="B1533" s="5">
        <v>-144153711119873</v>
      </c>
      <c r="C1533" s="5">
        <f>[1]!nefin_factors__1[[#This Row],[Rm_minus_Rf]]/B1532-1</f>
        <v>-4.4172019859752734</v>
      </c>
      <c r="D1533" s="5">
        <v>-178585292225148</v>
      </c>
      <c r="E1533" s="5">
        <f>[1]!nefin_factors__1[[#This Row],[SMB]]/D1532-1</f>
        <v>-2.1685333164003051</v>
      </c>
      <c r="F1533" s="5">
        <v>-361547311971795</v>
      </c>
      <c r="G1533" s="5">
        <f>[1]!nefin_factors__1[[#This Row],[HML]]/F1532-1</f>
        <v>-1.447181727588194</v>
      </c>
      <c r="H1533" s="5">
        <v>184548112826421</v>
      </c>
      <c r="I1533" s="6">
        <f>[1]!nefin_factors__1[[#This Row],[Risk_Free]]/H1532-1</f>
        <v>-6.1202290746731336E-3</v>
      </c>
      <c r="J1533">
        <v>115190</v>
      </c>
      <c r="K1533">
        <v>115190</v>
      </c>
      <c r="L1533">
        <v>113769</v>
      </c>
      <c r="M1533">
        <v>113770</v>
      </c>
      <c r="N1533">
        <v>6594100</v>
      </c>
      <c r="O1533">
        <v>113770</v>
      </c>
      <c r="P1533">
        <v>-1.2327458980814301E-2</v>
      </c>
      <c r="Q1533">
        <v>-1.2404072386789901E-2</v>
      </c>
      <c r="R1533" s="8">
        <v>28.846635818481399</v>
      </c>
      <c r="S1533" s="8">
        <v>-4.1621009791926303E-2</v>
      </c>
      <c r="T1533" s="9">
        <v>-4.2511973597387002E-2</v>
      </c>
      <c r="U1533" s="12">
        <v>1.7089E-2</v>
      </c>
      <c r="V1533" s="16">
        <v>4.1622000000000003</v>
      </c>
      <c r="W1533" s="17">
        <f t="shared" si="23"/>
        <v>4.3191853871582531E-3</v>
      </c>
    </row>
    <row r="1534" spans="1:23" x14ac:dyDescent="0.2">
      <c r="A1534" s="14">
        <v>43788</v>
      </c>
      <c r="B1534" s="3">
        <v>-320596069947107</v>
      </c>
      <c r="C1534" s="3">
        <f>[1]!nefin_factors__1[[#This Row],[Rm_minus_Rf]]/B1533-1</f>
        <v>1.2239876272107275</v>
      </c>
      <c r="D1534" s="3">
        <v>575087547540102</v>
      </c>
      <c r="E1534" s="3">
        <f>[1]!nefin_factors__1[[#This Row],[SMB]]/D1533-1</f>
        <v>-4.2202402581679088</v>
      </c>
      <c r="F1534" s="3">
        <v>-196724475786146</v>
      </c>
      <c r="G1534" s="3">
        <f>[1]!nefin_factors__1[[#This Row],[HML]]/F1533-1</f>
        <v>-0.45588179120111161</v>
      </c>
      <c r="H1534" s="3">
        <v>183790311430787</v>
      </c>
      <c r="I1534" s="4">
        <f>[1]!nefin_factors__1[[#This Row],[Risk_Free]]/H1533-1</f>
        <v>-4.1062538328243692E-3</v>
      </c>
      <c r="J1534">
        <v>113771</v>
      </c>
      <c r="K1534">
        <v>114176</v>
      </c>
      <c r="L1534">
        <v>112134</v>
      </c>
      <c r="M1534">
        <v>112570</v>
      </c>
      <c r="N1534">
        <v>7486300</v>
      </c>
      <c r="O1534">
        <v>112570</v>
      </c>
      <c r="P1534">
        <v>-1.0547596027072101E-2</v>
      </c>
      <c r="Q1534">
        <v>-1.06036161849125E-2</v>
      </c>
      <c r="R1534" s="8">
        <v>27.1075954437256</v>
      </c>
      <c r="S1534" s="8">
        <v>-6.0285725715082998E-2</v>
      </c>
      <c r="T1534" s="9">
        <v>-6.2179413451047799E-2</v>
      </c>
      <c r="U1534" s="12">
        <v>1.7089E-2</v>
      </c>
      <c r="V1534" s="16">
        <v>4.1726000000000001</v>
      </c>
      <c r="W1534" s="17">
        <f t="shared" si="23"/>
        <v>2.4986785834413272E-3</v>
      </c>
    </row>
    <row r="1535" spans="1:23" x14ac:dyDescent="0.2">
      <c r="A1535" s="15">
        <v>43790</v>
      </c>
      <c r="B1535" s="5">
        <v>151040950213783</v>
      </c>
      <c r="C1535" s="5">
        <f>[1]!nefin_factors__1[[#This Row],[Rm_minus_Rf]]/B1534-1</f>
        <v>-1.4711253953883534</v>
      </c>
      <c r="D1535" s="5">
        <v>-600949702883533</v>
      </c>
      <c r="E1535" s="5">
        <f>[1]!nefin_factors__1[[#This Row],[SMB]]/D1534-1</f>
        <v>-2.0449708143639254</v>
      </c>
      <c r="F1535" s="5">
        <v>457260706802777</v>
      </c>
      <c r="G1535" s="5">
        <f>[1]!nefin_factors__1[[#This Row],[HML]]/F1534-1</f>
        <v>-3.3243712048309284</v>
      </c>
      <c r="H1535" s="5">
        <v>18265333905565</v>
      </c>
      <c r="I1535" s="6">
        <f>[1]!nefin_factors__1[[#This Row],[Risk_Free]]/H1534-1</f>
        <v>-0.90061862476116716</v>
      </c>
      <c r="J1535">
        <v>112574</v>
      </c>
      <c r="K1535">
        <v>115576</v>
      </c>
      <c r="L1535">
        <v>112574</v>
      </c>
      <c r="M1535">
        <v>115371</v>
      </c>
      <c r="N1535">
        <v>6767900</v>
      </c>
      <c r="O1535">
        <v>115371</v>
      </c>
      <c r="P1535">
        <v>2.4882295460602302E-2</v>
      </c>
      <c r="Q1535">
        <v>2.4577772299504301E-2</v>
      </c>
      <c r="R1535" s="8">
        <v>28.516960144043001</v>
      </c>
      <c r="S1535" s="8">
        <v>5.1991505600088098E-2</v>
      </c>
      <c r="T1535" s="9">
        <v>5.0685039758287899E-2</v>
      </c>
      <c r="U1535" s="12">
        <v>1.7089E-2</v>
      </c>
      <c r="V1535" s="16">
        <v>4.1837</v>
      </c>
      <c r="W1535" s="17">
        <f t="shared" si="23"/>
        <v>2.6602118583136658E-3</v>
      </c>
    </row>
    <row r="1536" spans="1:23" x14ac:dyDescent="0.2">
      <c r="A1536" s="14">
        <v>43791</v>
      </c>
      <c r="B1536" s="3">
        <v>984298864880043</v>
      </c>
      <c r="C1536" s="3">
        <f>[1]!nefin_factors__1[[#This Row],[Rm_minus_Rf]]/B1535-1</f>
        <v>5.5167682240271176</v>
      </c>
      <c r="D1536" s="3">
        <v>425990116318724</v>
      </c>
      <c r="E1536" s="3">
        <f>[1]!nefin_factors__1[[#This Row],[SMB]]/D1535-1</f>
        <v>-1.7088615141578378</v>
      </c>
      <c r="F1536" s="3">
        <v>397114328986239</v>
      </c>
      <c r="G1536" s="3">
        <f>[1]!nefin_factors__1[[#This Row],[HML]]/F1535-1</f>
        <v>-0.13153629192652228</v>
      </c>
      <c r="H1536" s="3">
        <v>18265333905565</v>
      </c>
      <c r="I1536" s="4">
        <f>[1]!nefin_factors__1[[#This Row],[Risk_Free]]/H1535-1</f>
        <v>0</v>
      </c>
      <c r="J1536">
        <v>115371</v>
      </c>
      <c r="K1536">
        <v>117581</v>
      </c>
      <c r="L1536">
        <v>115371</v>
      </c>
      <c r="M1536">
        <v>116674</v>
      </c>
      <c r="N1536">
        <v>8159200</v>
      </c>
      <c r="O1536">
        <v>116674</v>
      </c>
      <c r="P1536">
        <v>1.1293999358591E-2</v>
      </c>
      <c r="Q1536">
        <v>1.12306983165624E-2</v>
      </c>
      <c r="R1536" s="8">
        <v>27.8081569671631</v>
      </c>
      <c r="S1536" s="8">
        <v>-2.4855495582264901E-2</v>
      </c>
      <c r="T1536" s="9">
        <v>-2.5169609307040802E-2</v>
      </c>
      <c r="U1536" s="12">
        <v>1.7089E-2</v>
      </c>
      <c r="V1536" s="16">
        <v>4.1829000000000001</v>
      </c>
      <c r="W1536" s="17">
        <f t="shared" si="23"/>
        <v>-1.9121829959123371E-4</v>
      </c>
    </row>
    <row r="1537" spans="1:23" x14ac:dyDescent="0.2">
      <c r="A1537" s="15">
        <v>43794</v>
      </c>
      <c r="B1537" s="5">
        <v>-18523104526678</v>
      </c>
      <c r="C1537" s="5">
        <f>[1]!nefin_factors__1[[#This Row],[Rm_minus_Rf]]/B1536-1</f>
        <v>-1.0188185775556446</v>
      </c>
      <c r="D1537" s="5">
        <v>202499975847167</v>
      </c>
      <c r="E1537" s="5">
        <f>[1]!nefin_factors__1[[#This Row],[SMB]]/D1536-1</f>
        <v>-0.52463691506011989</v>
      </c>
      <c r="F1537" s="5">
        <v>-97062401339731</v>
      </c>
      <c r="G1537" s="5">
        <f>[1]!nefin_factors__1[[#This Row],[HML]]/F1536-1</f>
        <v>-1.2444192874820552</v>
      </c>
      <c r="H1537" s="5">
        <v>18189517720435</v>
      </c>
      <c r="I1537" s="6">
        <f>[1]!nefin_factors__1[[#This Row],[Risk_Free]]/H1536-1</f>
        <v>-4.1508239335772412E-3</v>
      </c>
      <c r="J1537">
        <v>116660</v>
      </c>
      <c r="K1537">
        <v>116660</v>
      </c>
      <c r="L1537">
        <v>114801</v>
      </c>
      <c r="M1537">
        <v>115662</v>
      </c>
      <c r="N1537">
        <v>5635700</v>
      </c>
      <c r="O1537">
        <v>115662</v>
      </c>
      <c r="P1537">
        <v>-8.6737405077395007E-3</v>
      </c>
      <c r="Q1537">
        <v>-8.7115763392700708E-3</v>
      </c>
      <c r="R1537" s="8">
        <v>27.9235439300537</v>
      </c>
      <c r="S1537" s="8">
        <v>4.14939267736725E-3</v>
      </c>
      <c r="T1537" s="9">
        <v>4.1408076877069398E-3</v>
      </c>
      <c r="U1537" s="12">
        <v>1.7089E-2</v>
      </c>
      <c r="V1537" s="16">
        <v>4.2013999999999996</v>
      </c>
      <c r="W1537" s="17">
        <f t="shared" si="23"/>
        <v>4.4227688923950126E-3</v>
      </c>
    </row>
    <row r="1538" spans="1:23" x14ac:dyDescent="0.2">
      <c r="A1538" s="14">
        <v>43795</v>
      </c>
      <c r="B1538" s="3">
        <v>-125114432435151</v>
      </c>
      <c r="C1538" s="3">
        <f>[1]!nefin_factors__1[[#This Row],[Rm_minus_Rf]]/B1537-1</f>
        <v>5.7545066354808005</v>
      </c>
      <c r="D1538" s="3">
        <v>918298060552581</v>
      </c>
      <c r="E1538" s="3">
        <f>[1]!nefin_factors__1[[#This Row],[SMB]]/D1537-1</f>
        <v>3.5348057781777165</v>
      </c>
      <c r="F1538" s="3">
        <v>56947853019104</v>
      </c>
      <c r="G1538" s="3">
        <f>[1]!nefin_factors__1[[#This Row],[HML]]/F1537-1</f>
        <v>-1.5867138277341719</v>
      </c>
      <c r="H1538" s="3">
        <v>182274276161243</v>
      </c>
      <c r="I1538" s="4">
        <f>[1]!nefin_factors__1[[#This Row],[Risk_Free]]/H1537-1</f>
        <v>9.020841616733307</v>
      </c>
      <c r="J1538">
        <v>115663</v>
      </c>
      <c r="K1538">
        <v>115663</v>
      </c>
      <c r="L1538">
        <v>114132</v>
      </c>
      <c r="M1538">
        <v>114381</v>
      </c>
      <c r="N1538">
        <v>5335900</v>
      </c>
      <c r="O1538">
        <v>114381</v>
      </c>
      <c r="P1538">
        <v>-1.10753747989832E-2</v>
      </c>
      <c r="Q1538">
        <v>-1.11371634073566E-2</v>
      </c>
      <c r="R1538" s="8">
        <v>27.280675888061499</v>
      </c>
      <c r="S1538" s="8">
        <v>-2.3022437395572699E-2</v>
      </c>
      <c r="T1538" s="9">
        <v>-2.3291592807543501E-2</v>
      </c>
      <c r="U1538" s="12">
        <v>1.7089E-2</v>
      </c>
      <c r="V1538" s="16">
        <v>4.1889000000000003</v>
      </c>
      <c r="W1538" s="17">
        <f t="shared" si="23"/>
        <v>-2.9751987432758975E-3</v>
      </c>
    </row>
    <row r="1539" spans="1:23" x14ac:dyDescent="0.2">
      <c r="A1539" s="15">
        <v>43796</v>
      </c>
      <c r="B1539" s="5">
        <v>58487290266026</v>
      </c>
      <c r="C1539" s="5">
        <f>[1]!nefin_factors__1[[#This Row],[Rm_minus_Rf]]/B1538-1</f>
        <v>-1.4674703719440281</v>
      </c>
      <c r="D1539" s="5">
        <v>-122622084810785</v>
      </c>
      <c r="E1539" s="5">
        <f>[1]!nefin_factors__1[[#This Row],[SMB]]/D1538-1</f>
        <v>-1.1335319000205639</v>
      </c>
      <c r="F1539" s="5">
        <v>-565194736708206</v>
      </c>
      <c r="G1539" s="5">
        <f>[1]!nefin_factors__1[[#This Row],[HML]]/F1538-1</f>
        <v>-10.924776909826663</v>
      </c>
      <c r="H1539" s="5">
        <v>18189517720435</v>
      </c>
      <c r="I1539" s="6">
        <f>[1]!nefin_factors__1[[#This Row],[Risk_Free]]/H1538-1</f>
        <v>-0.9002079826977657</v>
      </c>
      <c r="J1539">
        <v>114381</v>
      </c>
      <c r="K1539">
        <v>115696</v>
      </c>
      <c r="L1539">
        <v>114381</v>
      </c>
      <c r="M1539">
        <v>115309</v>
      </c>
      <c r="N1539">
        <v>0</v>
      </c>
      <c r="O1539">
        <v>115309</v>
      </c>
      <c r="P1539">
        <v>8.1132355898270204E-3</v>
      </c>
      <c r="Q1539">
        <v>8.0805002345300907E-3</v>
      </c>
      <c r="R1539" s="8">
        <v>27.478481292724599</v>
      </c>
      <c r="S1539" s="8">
        <v>7.2507516116802097E-3</v>
      </c>
      <c r="T1539" s="9">
        <v>7.2245912907589402E-3</v>
      </c>
      <c r="U1539" s="12">
        <v>1.7089E-2</v>
      </c>
      <c r="V1539" s="16">
        <v>4.1661999999999999</v>
      </c>
      <c r="W1539" s="17">
        <f t="shared" si="23"/>
        <v>-5.4190837690086813E-3</v>
      </c>
    </row>
    <row r="1540" spans="1:23" x14ac:dyDescent="0.2">
      <c r="A1540" s="14">
        <v>43797</v>
      </c>
      <c r="B1540" s="3">
        <v>541602031394748</v>
      </c>
      <c r="C1540" s="3">
        <f>[1]!nefin_factors__1[[#This Row],[Rm_minus_Rf]]/B1539-1</f>
        <v>8.2601662503306787</v>
      </c>
      <c r="D1540" s="3">
        <v>149327736697293</v>
      </c>
      <c r="E1540" s="3">
        <f>[1]!nefin_factors__1[[#This Row],[SMB]]/D1539-1</f>
        <v>-2.2177882714008392</v>
      </c>
      <c r="F1540" s="3">
        <v>364864853352249</v>
      </c>
      <c r="G1540" s="3">
        <f>[1]!nefin_factors__1[[#This Row],[HML]]/F1539-1</f>
        <v>-1.6455559998263367</v>
      </c>
      <c r="H1540" s="3">
        <v>181136871074905</v>
      </c>
      <c r="I1540" s="4">
        <f>[1]!nefin_factors__1[[#This Row],[Risk_Free]]/H1539-1</f>
        <v>8.9583108171915367</v>
      </c>
      <c r="J1540">
        <v>115309</v>
      </c>
      <c r="K1540">
        <v>115309</v>
      </c>
      <c r="L1540">
        <v>113532</v>
      </c>
      <c r="M1540">
        <v>114977</v>
      </c>
      <c r="N1540">
        <v>5548400</v>
      </c>
      <c r="O1540">
        <v>114977</v>
      </c>
      <c r="P1540">
        <v>-2.8792201822928098E-3</v>
      </c>
      <c r="Q1540">
        <v>-2.8833731100998202E-3</v>
      </c>
      <c r="R1540" s="8">
        <v>26.7944030761719</v>
      </c>
      <c r="S1540" s="8">
        <v>-2.4895051850403999E-2</v>
      </c>
      <c r="T1540" s="9">
        <v>-2.52101746491743E-2</v>
      </c>
      <c r="U1540" s="12">
        <v>1.7089E-2</v>
      </c>
      <c r="V1540" s="16">
        <v>4.1768999999999998</v>
      </c>
      <c r="W1540" s="17">
        <f t="shared" ref="W1540:W1603" si="24">V1540/V1539-1</f>
        <v>2.5682876482164829E-3</v>
      </c>
    </row>
    <row r="1541" spans="1:23" x14ac:dyDescent="0.2">
      <c r="A1541" s="15">
        <v>43798</v>
      </c>
      <c r="B1541" s="5">
        <v>-4681023677</v>
      </c>
      <c r="C1541" s="5">
        <f>[1]!nefin_factors__1[[#This Row],[Rm_minus_Rf]]/B1540-1</f>
        <v>-1.0000086429211961</v>
      </c>
      <c r="D1541" s="5">
        <v>-164429553343039</v>
      </c>
      <c r="E1541" s="5">
        <f>[1]!nefin_factors__1[[#This Row],[SMB]]/D1540-1</f>
        <v>-2.1011320266398958</v>
      </c>
      <c r="F1541" s="5">
        <v>-179584467312308</v>
      </c>
      <c r="G1541" s="5">
        <f>[1]!nefin_factors__1[[#This Row],[HML]]/F1540-1</f>
        <v>-1.4921944814973258</v>
      </c>
      <c r="H1541" s="5">
        <v>180757663888587</v>
      </c>
      <c r="I1541" s="6">
        <f>[1]!nefin_factors__1[[#This Row],[Risk_Free]]/H1540-1</f>
        <v>-2.0934842479485294E-3</v>
      </c>
      <c r="J1541">
        <v>114982</v>
      </c>
      <c r="K1541">
        <v>116545</v>
      </c>
      <c r="L1541">
        <v>114774</v>
      </c>
      <c r="M1541">
        <v>116518</v>
      </c>
      <c r="N1541">
        <v>6334100</v>
      </c>
      <c r="O1541">
        <v>116518</v>
      </c>
      <c r="P1541">
        <v>1.34026805361072E-2</v>
      </c>
      <c r="Q1541">
        <v>1.33136591480501E-2</v>
      </c>
      <c r="R1541" s="8">
        <v>26.868579864501999</v>
      </c>
      <c r="S1541" s="8">
        <v>2.7683687566841799E-3</v>
      </c>
      <c r="T1541" s="9">
        <v>2.7645438813817601E-3</v>
      </c>
      <c r="U1541" s="12">
        <v>1.7089E-2</v>
      </c>
      <c r="V1541" s="16">
        <v>4.2195999999999998</v>
      </c>
      <c r="W1541" s="17">
        <f t="shared" si="24"/>
        <v>1.0222892575833642E-2</v>
      </c>
    </row>
    <row r="1542" spans="1:23" x14ac:dyDescent="0.2">
      <c r="A1542" s="14">
        <v>43801</v>
      </c>
      <c r="B1542" s="3">
        <v>435836731018901</v>
      </c>
      <c r="C1542" s="3">
        <f>[1]!nefin_factors__1[[#This Row],[Rm_minus_Rf]]/B1541-1</f>
        <v>-93108.140893212156</v>
      </c>
      <c r="D1542" s="3">
        <v>8707414425.0968304</v>
      </c>
      <c r="E1542" s="3">
        <f>[1]!nefin_factors__1[[#This Row],[SMB]]/D1541-1</f>
        <v>-1.0000529552884385</v>
      </c>
      <c r="F1542" s="3">
        <v>619269950034318</v>
      </c>
      <c r="G1542" s="3">
        <f>[1]!nefin_factors__1[[#This Row],[HML]]/F1541-1</f>
        <v>-4.4483491768660084</v>
      </c>
      <c r="H1542" s="3">
        <v>179999141238119</v>
      </c>
      <c r="I1542" s="4">
        <f>[1]!nefin_factors__1[[#This Row],[Risk_Free]]/H1541-1</f>
        <v>-4.1963512591949303E-3</v>
      </c>
      <c r="J1542">
        <v>116518</v>
      </c>
      <c r="K1542">
        <v>116552</v>
      </c>
      <c r="L1542">
        <v>114379</v>
      </c>
      <c r="M1542">
        <v>114586</v>
      </c>
      <c r="N1542">
        <v>6793000</v>
      </c>
      <c r="O1542">
        <v>114586</v>
      </c>
      <c r="P1542">
        <v>-1.6581129095933698E-2</v>
      </c>
      <c r="Q1542">
        <v>-1.67201347394948E-2</v>
      </c>
      <c r="R1542" s="8">
        <v>26.431760787963899</v>
      </c>
      <c r="S1542" s="8">
        <v>-1.6257616842459199E-2</v>
      </c>
      <c r="T1542" s="9">
        <v>-1.6391221941194099E-2</v>
      </c>
      <c r="U1542" s="12">
        <v>1.7089E-2</v>
      </c>
      <c r="V1542" s="16">
        <v>4.2064000000000004</v>
      </c>
      <c r="W1542" s="17">
        <f t="shared" si="24"/>
        <v>-3.1282586027110426E-3</v>
      </c>
    </row>
    <row r="1543" spans="1:23" x14ac:dyDescent="0.2">
      <c r="A1543" s="15">
        <v>43802</v>
      </c>
      <c r="B1543" s="5">
        <v>574737187869372</v>
      </c>
      <c r="C1543" s="5">
        <f>[1]!nefin_factors__1[[#This Row],[Rm_minus_Rf]]/B1542-1</f>
        <v>0.31869837249776745</v>
      </c>
      <c r="D1543" s="5">
        <v>614800994146396</v>
      </c>
      <c r="E1543" s="5">
        <f>[1]!nefin_factors__1[[#This Row],[SMB]]/D1542-1</f>
        <v>70605.607671548743</v>
      </c>
      <c r="F1543" s="5">
        <v>120548867436649</v>
      </c>
      <c r="G1543" s="5">
        <f>[1]!nefin_factors__1[[#This Row],[HML]]/F1542-1</f>
        <v>-0.80533712732231144</v>
      </c>
      <c r="H1543" s="5">
        <v>178861086465476</v>
      </c>
      <c r="I1543" s="6">
        <f>[1]!nefin_factors__1[[#This Row],[Risk_Free]]/H1542-1</f>
        <v>-6.3225566789648635E-3</v>
      </c>
      <c r="J1543">
        <v>114585</v>
      </c>
      <c r="K1543">
        <v>114585</v>
      </c>
      <c r="L1543">
        <v>112661</v>
      </c>
      <c r="M1543">
        <v>113681</v>
      </c>
      <c r="N1543">
        <v>5896200</v>
      </c>
      <c r="O1543">
        <v>113681</v>
      </c>
      <c r="P1543">
        <v>-7.8979980102281706E-3</v>
      </c>
      <c r="Q1543">
        <v>-7.9293523968861496E-3</v>
      </c>
      <c r="R1543" s="8">
        <v>25.450973510742202</v>
      </c>
      <c r="S1543" s="8">
        <v>-3.7106392006555099E-2</v>
      </c>
      <c r="T1543" s="9">
        <v>-3.7812353044935201E-2</v>
      </c>
      <c r="U1543" s="12">
        <v>1.7089E-2</v>
      </c>
      <c r="V1543" s="16">
        <v>4.2012999999999998</v>
      </c>
      <c r="W1543" s="17">
        <f t="shared" si="24"/>
        <v>-1.2124381894257352E-3</v>
      </c>
    </row>
    <row r="1544" spans="1:23" x14ac:dyDescent="0.2">
      <c r="A1544" s="14">
        <v>43803</v>
      </c>
      <c r="B1544" s="3">
        <v>133440644660276</v>
      </c>
      <c r="C1544" s="3">
        <f>[1]!nefin_factors__1[[#This Row],[Rm_minus_Rf]]/B1543-1</f>
        <v>-0.76782319384106956</v>
      </c>
      <c r="D1544" s="3">
        <v>407358895981428</v>
      </c>
      <c r="E1544" s="3">
        <f>[1]!nefin_factors__1[[#This Row],[SMB]]/D1543-1</f>
        <v>-0.33741340716760782</v>
      </c>
      <c r="F1544" s="3">
        <v>344880425133362</v>
      </c>
      <c r="G1544" s="3">
        <f>[1]!nefin_factors__1[[#This Row],[HML]]/F1543-1</f>
        <v>1.8609180033533206</v>
      </c>
      <c r="H1544" s="3">
        <v>177722706570904</v>
      </c>
      <c r="I1544" s="4">
        <f>[1]!nefin_factors__1[[#This Row],[Risk_Free]]/H1543-1</f>
        <v>-6.3646034868055645E-3</v>
      </c>
      <c r="J1544">
        <v>113647</v>
      </c>
      <c r="K1544">
        <v>113647</v>
      </c>
      <c r="L1544">
        <v>105053</v>
      </c>
      <c r="M1544">
        <v>105718</v>
      </c>
      <c r="N1544">
        <v>9369800</v>
      </c>
      <c r="O1544">
        <v>105718</v>
      </c>
      <c r="P1544">
        <v>-7.0046885583342794E-2</v>
      </c>
      <c r="Q1544">
        <v>-7.2621108711439397E-2</v>
      </c>
      <c r="R1544" s="8">
        <v>22.566310882568398</v>
      </c>
      <c r="S1544" s="8">
        <v>-0.113341936682944</v>
      </c>
      <c r="T1544" s="9">
        <v>-0.12029586894745301</v>
      </c>
      <c r="U1544" s="12">
        <v>1.7089E-2</v>
      </c>
      <c r="V1544" s="16">
        <v>4.2523</v>
      </c>
      <c r="W1544" s="17">
        <f t="shared" si="24"/>
        <v>1.213909980244221E-2</v>
      </c>
    </row>
    <row r="1545" spans="1:23" x14ac:dyDescent="0.2">
      <c r="A1545" s="15">
        <v>43804</v>
      </c>
      <c r="B1545" s="5">
        <v>378241124657184</v>
      </c>
      <c r="C1545" s="5">
        <f>[1]!nefin_factors__1[[#This Row],[Rm_minus_Rf]]/B1544-1</f>
        <v>1.8345271084394179</v>
      </c>
      <c r="D1545" s="5">
        <v>315454079481626</v>
      </c>
      <c r="E1545" s="5">
        <f>[1]!nefin_factors__1[[#This Row],[SMB]]/D1544-1</f>
        <v>-0.22561141393114947</v>
      </c>
      <c r="F1545" s="5">
        <v>-394457817877197</v>
      </c>
      <c r="G1545" s="5">
        <f>[1]!nefin_factors__1[[#This Row],[HML]]/F1544-1</f>
        <v>-2.1437524113601514</v>
      </c>
      <c r="H1545" s="5">
        <v>177343174324385</v>
      </c>
      <c r="I1545" s="6">
        <f>[1]!nefin_factors__1[[#This Row],[Risk_Free]]/H1544-1</f>
        <v>-2.1355304217560711E-3</v>
      </c>
      <c r="J1545">
        <v>105711</v>
      </c>
      <c r="K1545">
        <v>106656</v>
      </c>
      <c r="L1545">
        <v>102984</v>
      </c>
      <c r="M1545">
        <v>102984</v>
      </c>
      <c r="N1545">
        <v>11237700</v>
      </c>
      <c r="O1545">
        <v>102984</v>
      </c>
      <c r="P1545">
        <v>-2.5861253523524901E-2</v>
      </c>
      <c r="Q1545">
        <v>-2.6201535303479601E-2</v>
      </c>
      <c r="R1545" s="8">
        <v>21.602008819580099</v>
      </c>
      <c r="S1545" s="8">
        <v>-4.2731932038265398E-2</v>
      </c>
      <c r="T1545" s="9">
        <v>-4.36718139407722E-2</v>
      </c>
      <c r="U1545" s="12">
        <v>1.7089E-2</v>
      </c>
      <c r="V1545" s="16">
        <v>4.2694999999999999</v>
      </c>
      <c r="W1545" s="17">
        <f t="shared" si="24"/>
        <v>4.0448698351480683E-3</v>
      </c>
    </row>
    <row r="1546" spans="1:23" x14ac:dyDescent="0.2">
      <c r="A1546" s="14">
        <v>43805</v>
      </c>
      <c r="B1546" s="3">
        <v>532877637640412</v>
      </c>
      <c r="C1546" s="3">
        <f>[1]!nefin_factors__1[[#This Row],[Rm_minus_Rf]]/B1545-1</f>
        <v>0.40883051287292371</v>
      </c>
      <c r="D1546" s="3">
        <v>130354168921164</v>
      </c>
      <c r="E1546" s="3">
        <f>[1]!nefin_factors__1[[#This Row],[SMB]]/D1545-1</f>
        <v>-0.58677291751823213</v>
      </c>
      <c r="F1546" s="3">
        <v>631444169174134</v>
      </c>
      <c r="G1546" s="3">
        <f>[1]!nefin_factors__1[[#This Row],[HML]]/F1545-1</f>
        <v>-2.6007900986024213</v>
      </c>
      <c r="H1546" s="3">
        <v>175444970670346</v>
      </c>
      <c r="I1546" s="4">
        <f>[1]!nefin_factors__1[[#This Row],[Risk_Free]]/H1545-1</f>
        <v>-1.0703561957038921E-2</v>
      </c>
      <c r="J1546">
        <v>102984</v>
      </c>
      <c r="K1546">
        <v>104172</v>
      </c>
      <c r="L1546">
        <v>99951</v>
      </c>
      <c r="M1546">
        <v>104172</v>
      </c>
      <c r="N1546">
        <v>11228400</v>
      </c>
      <c r="O1546">
        <v>104172</v>
      </c>
      <c r="P1546">
        <v>1.15357725471918E-2</v>
      </c>
      <c r="Q1546">
        <v>1.1469742840338E-2</v>
      </c>
      <c r="R1546" s="8">
        <v>21.206398010253899</v>
      </c>
      <c r="S1546" s="8">
        <v>-1.8313612064059001E-2</v>
      </c>
      <c r="T1546" s="9">
        <v>-1.8483382188144399E-2</v>
      </c>
      <c r="U1546" s="12">
        <v>1.7089E-2</v>
      </c>
      <c r="V1546" s="16">
        <v>4.2474999999999996</v>
      </c>
      <c r="W1546" s="17">
        <f t="shared" si="24"/>
        <v>-5.152828200023496E-3</v>
      </c>
    </row>
    <row r="1547" spans="1:23" x14ac:dyDescent="0.2">
      <c r="A1547" s="15">
        <v>43808</v>
      </c>
      <c r="B1547" s="5">
        <v>-490417245837371</v>
      </c>
      <c r="C1547" s="5">
        <f>[1]!nefin_factors__1[[#This Row],[Rm_minus_Rf]]/B1546-1</f>
        <v>-1.9203186833077552</v>
      </c>
      <c r="D1547" s="5">
        <v>860455165851338</v>
      </c>
      <c r="E1547" s="5">
        <f>[1]!nefin_factors__1[[#This Row],[SMB]]/D1546-1</f>
        <v>5.6009025485922646</v>
      </c>
      <c r="F1547" s="5">
        <v>-5875693904.2658796</v>
      </c>
      <c r="G1547" s="5">
        <f>[1]!nefin_factors__1[[#This Row],[HML]]/F1546-1</f>
        <v>-1.0000093051677268</v>
      </c>
      <c r="H1547" s="5">
        <v>173545862346414</v>
      </c>
      <c r="I1547" s="6">
        <f>[1]!nefin_factors__1[[#This Row],[Risk_Free]]/H1546-1</f>
        <v>-1.0824524160913951E-2</v>
      </c>
      <c r="J1547">
        <v>104260</v>
      </c>
      <c r="K1547">
        <v>107220</v>
      </c>
      <c r="L1547">
        <v>103779</v>
      </c>
      <c r="M1547">
        <v>106625</v>
      </c>
      <c r="N1547">
        <v>8858400</v>
      </c>
      <c r="O1547">
        <v>106625</v>
      </c>
      <c r="P1547">
        <v>2.3547594363168702E-2</v>
      </c>
      <c r="Q1547">
        <v>2.3274626614172001E-2</v>
      </c>
      <c r="R1547" s="8">
        <v>18.9563598632812</v>
      </c>
      <c r="S1547" s="8">
        <v>-0.10610185406709299</v>
      </c>
      <c r="T1547" s="9">
        <v>-0.112163441023039</v>
      </c>
      <c r="U1547" s="12">
        <v>1.7089E-2</v>
      </c>
      <c r="V1547" s="16">
        <v>4.2381000000000002</v>
      </c>
      <c r="W1547" s="17">
        <f t="shared" si="24"/>
        <v>-2.2130665097114255E-3</v>
      </c>
    </row>
    <row r="1548" spans="1:23" x14ac:dyDescent="0.2">
      <c r="A1548" s="14">
        <v>43809</v>
      </c>
      <c r="B1548" s="3">
        <v>-293995218694392</v>
      </c>
      <c r="C1548" s="3">
        <f>[1]!nefin_factors__1[[#This Row],[Rm_minus_Rf]]/B1547-1</f>
        <v>-0.40052022805110565</v>
      </c>
      <c r="D1548" s="3">
        <v>982221661166143</v>
      </c>
      <c r="E1548" s="3">
        <f>[1]!nefin_factors__1[[#This Row],[SMB]]/D1547-1</f>
        <v>0.14151404994393713</v>
      </c>
      <c r="F1548" s="3">
        <v>874546929981791</v>
      </c>
      <c r="G1548" s="3">
        <f>[1]!nefin_factors__1[[#This Row],[HML]]/F1547-1</f>
        <v>-148842.47204245123</v>
      </c>
      <c r="H1548" s="3">
        <v>173545862346414</v>
      </c>
      <c r="I1548" s="4">
        <f>[1]!nefin_factors__1[[#This Row],[Risk_Free]]/H1547-1</f>
        <v>0</v>
      </c>
      <c r="J1548">
        <v>106630</v>
      </c>
      <c r="K1548">
        <v>108804</v>
      </c>
      <c r="L1548">
        <v>104405</v>
      </c>
      <c r="M1548">
        <v>105537</v>
      </c>
      <c r="N1548">
        <v>9385600</v>
      </c>
      <c r="O1548">
        <v>105537</v>
      </c>
      <c r="P1548">
        <v>-1.02039859320047E-2</v>
      </c>
      <c r="Q1548">
        <v>-1.02564034799408E-2</v>
      </c>
      <c r="R1548" s="8">
        <v>18.552507400512699</v>
      </c>
      <c r="S1548" s="8">
        <v>-2.1304325602660799E-2</v>
      </c>
      <c r="T1548" s="9">
        <v>-2.15345383033211E-2</v>
      </c>
      <c r="U1548" s="12">
        <v>1.7089E-2</v>
      </c>
      <c r="V1548" s="16">
        <v>4.2449000000000003</v>
      </c>
      <c r="W1548" s="17">
        <f t="shared" si="24"/>
        <v>1.6044925792217946E-3</v>
      </c>
    </row>
    <row r="1549" spans="1:23" x14ac:dyDescent="0.2">
      <c r="A1549" s="15">
        <v>43810</v>
      </c>
      <c r="B1549" s="5">
        <v>407970861177486</v>
      </c>
      <c r="C1549" s="5">
        <f>[1]!nefin_factors__1[[#This Row],[Rm_minus_Rf]]/B1548-1</f>
        <v>-2.3876785581386333</v>
      </c>
      <c r="D1549" s="5">
        <v>675682329961065</v>
      </c>
      <c r="E1549" s="5">
        <f>[1]!nefin_factors__1[[#This Row],[SMB]]/D1548-1</f>
        <v>-0.31208773266223744</v>
      </c>
      <c r="F1549" s="5">
        <v>207116550552067</v>
      </c>
      <c r="G1549" s="5">
        <f>[1]!nefin_factors__1[[#This Row],[HML]]/F1548-1</f>
        <v>-0.76317274299232929</v>
      </c>
      <c r="H1549" s="5">
        <v>172405962751032</v>
      </c>
      <c r="I1549" s="6">
        <f>[1]!nefin_factors__1[[#This Row],[Risk_Free]]/H1548-1</f>
        <v>-6.5682902488718442E-3</v>
      </c>
      <c r="J1549">
        <v>105540</v>
      </c>
      <c r="K1549">
        <v>107809</v>
      </c>
      <c r="L1549">
        <v>105042</v>
      </c>
      <c r="M1549">
        <v>107224</v>
      </c>
      <c r="N1549">
        <v>8410500</v>
      </c>
      <c r="O1549">
        <v>107224</v>
      </c>
      <c r="P1549">
        <v>1.59849152429954E-2</v>
      </c>
      <c r="Q1549">
        <v>1.5858501844293198E-2</v>
      </c>
      <c r="R1549" s="8">
        <v>18.280525207519499</v>
      </c>
      <c r="S1549" s="8">
        <v>-1.4660131222243701E-2</v>
      </c>
      <c r="T1549" s="9">
        <v>-1.47686528797703E-2</v>
      </c>
      <c r="U1549" s="12">
        <v>1.6136999999999999E-2</v>
      </c>
      <c r="V1549" s="16">
        <v>4.2477</v>
      </c>
      <c r="W1549" s="17">
        <f t="shared" si="24"/>
        <v>6.596150674926804E-4</v>
      </c>
    </row>
    <row r="1550" spans="1:23" x14ac:dyDescent="0.2">
      <c r="A1550" s="14">
        <v>43811</v>
      </c>
      <c r="B1550" s="3">
        <v>115059888304588</v>
      </c>
      <c r="C1550" s="3">
        <f>[1]!nefin_factors__1[[#This Row],[Rm_minus_Rf]]/B1549-1</f>
        <v>-0.7179703276540339</v>
      </c>
      <c r="D1550" s="3">
        <v>502766629612442</v>
      </c>
      <c r="E1550" s="3">
        <f>[1]!nefin_factors__1[[#This Row],[SMB]]/D1549-1</f>
        <v>-0.25591271619991451</v>
      </c>
      <c r="F1550" s="3">
        <v>-42921548309704</v>
      </c>
      <c r="G1550" s="3">
        <f>[1]!nefin_factors__1[[#This Row],[HML]]/F1549-1</f>
        <v>-1.2072337927379393</v>
      </c>
      <c r="H1550" s="3">
        <v>17088558920153</v>
      </c>
      <c r="I1550" s="4">
        <f>[1]!nefin_factors__1[[#This Row],[Risk_Free]]/H1549-1</f>
        <v>-0.90088185670915433</v>
      </c>
      <c r="J1550">
        <v>107217</v>
      </c>
      <c r="K1550">
        <v>107217</v>
      </c>
      <c r="L1550">
        <v>100536</v>
      </c>
      <c r="M1550">
        <v>102233</v>
      </c>
      <c r="N1550">
        <v>8598600</v>
      </c>
      <c r="O1550">
        <v>102233</v>
      </c>
      <c r="P1550">
        <v>-4.6547414757890003E-2</v>
      </c>
      <c r="Q1550">
        <v>-4.7665582244576302E-2</v>
      </c>
      <c r="R1550" s="8">
        <v>16.483791351318398</v>
      </c>
      <c r="S1550" s="8">
        <v>-9.8286774357123102E-2</v>
      </c>
      <c r="T1550" s="9">
        <v>-0.10345874113028</v>
      </c>
      <c r="U1550" s="12">
        <v>1.6136999999999999E-2</v>
      </c>
      <c r="V1550" s="16">
        <v>4.3075999999999999</v>
      </c>
      <c r="W1550" s="17">
        <f t="shared" si="24"/>
        <v>1.4101749181910206E-2</v>
      </c>
    </row>
    <row r="1551" spans="1:23" x14ac:dyDescent="0.2">
      <c r="A1551" s="15">
        <v>43812</v>
      </c>
      <c r="B1551" s="5">
        <v>525305594767432</v>
      </c>
      <c r="C1551" s="5">
        <f>[1]!nefin_factors__1[[#This Row],[Rm_minus_Rf]]/B1550-1</f>
        <v>3.5654971728882296</v>
      </c>
      <c r="D1551" s="5">
        <v>10784549767062</v>
      </c>
      <c r="E1551" s="5">
        <f>[1]!nefin_factors__1[[#This Row],[SMB]]/D1550-1</f>
        <v>-0.97854959113858597</v>
      </c>
      <c r="F1551" s="5">
        <v>309943150417678</v>
      </c>
      <c r="G1551" s="5">
        <f>[1]!nefin_factors__1[[#This Row],[HML]]/F1550-1</f>
        <v>-8.221154935540941</v>
      </c>
      <c r="H1551" s="5">
        <v>17088558920153</v>
      </c>
      <c r="I1551" s="6">
        <f>[1]!nefin_factors__1[[#This Row],[Risk_Free]]/H1550-1</f>
        <v>0</v>
      </c>
      <c r="J1551">
        <v>102231</v>
      </c>
      <c r="K1551">
        <v>102231</v>
      </c>
      <c r="L1551">
        <v>96886</v>
      </c>
      <c r="M1551">
        <v>97997</v>
      </c>
      <c r="N1551">
        <v>11864200</v>
      </c>
      <c r="O1551">
        <v>97997</v>
      </c>
      <c r="P1551">
        <v>-4.1434761769682998E-2</v>
      </c>
      <c r="Q1551">
        <v>-4.2317655974509601E-2</v>
      </c>
      <c r="R1551" s="8">
        <v>18.857458114623999</v>
      </c>
      <c r="S1551" s="8">
        <v>0.144000049061275</v>
      </c>
      <c r="T1551" s="9">
        <v>0.134530935843335</v>
      </c>
      <c r="U1551" s="12">
        <v>1.6136999999999999E-2</v>
      </c>
      <c r="V1551" s="16">
        <v>4.3194999999999997</v>
      </c>
      <c r="W1551" s="17">
        <f t="shared" si="24"/>
        <v>2.7625591976969677E-3</v>
      </c>
    </row>
    <row r="1552" spans="1:23" x14ac:dyDescent="0.2">
      <c r="A1552" s="14">
        <v>43815</v>
      </c>
      <c r="B1552" s="3">
        <v>-502293208790872</v>
      </c>
      <c r="C1552" s="3">
        <f>[1]!nefin_factors__1[[#This Row],[Rm_minus_Rf]]/B1551-1</f>
        <v>-1.9561923836224355</v>
      </c>
      <c r="D1552" s="3">
        <v>108711566284517</v>
      </c>
      <c r="E1552" s="3">
        <f>[1]!nefin_factors__1[[#This Row],[SMB]]/D1551-1</f>
        <v>9.0803064228552337</v>
      </c>
      <c r="F1552" s="3">
        <v>113204635402811</v>
      </c>
      <c r="G1552" s="3">
        <f>[1]!nefin_factors__1[[#This Row],[HML]]/F1551-1</f>
        <v>-0.63475677636283634</v>
      </c>
      <c r="H1552" s="3">
        <v>171265736976345</v>
      </c>
      <c r="I1552" s="4">
        <f>[1]!nefin_factors__1[[#This Row],[Risk_Free]]/H1551-1</f>
        <v>9.0222457479645453</v>
      </c>
      <c r="J1552">
        <v>97982</v>
      </c>
      <c r="K1552">
        <v>97982</v>
      </c>
      <c r="L1552">
        <v>85880</v>
      </c>
      <c r="M1552">
        <v>86067</v>
      </c>
      <c r="N1552">
        <v>14645500</v>
      </c>
      <c r="O1552">
        <v>86067</v>
      </c>
      <c r="P1552">
        <v>-0.121738420563895</v>
      </c>
      <c r="Q1552">
        <v>-0.12981080325348501</v>
      </c>
      <c r="R1552" s="8">
        <v>16.071697235107401</v>
      </c>
      <c r="S1552" s="8">
        <v>-0.14772727387665399</v>
      </c>
      <c r="T1552" s="9">
        <v>-0.15984870229050399</v>
      </c>
      <c r="U1552" s="12">
        <v>1.6136999999999999E-2</v>
      </c>
      <c r="V1552" s="16">
        <v>4.3148</v>
      </c>
      <c r="W1552" s="17">
        <f t="shared" si="24"/>
        <v>-1.0880888991781079E-3</v>
      </c>
    </row>
    <row r="1553" spans="1:23" x14ac:dyDescent="0.2">
      <c r="A1553" s="15">
        <v>43816</v>
      </c>
      <c r="B1553" s="5">
        <v>475689734996761</v>
      </c>
      <c r="C1553" s="5">
        <f>[1]!nefin_factors__1[[#This Row],[Rm_minus_Rf]]/B1552-1</f>
        <v>-1.9470359675812634</v>
      </c>
      <c r="D1553" s="5">
        <v>-578041517295353</v>
      </c>
      <c r="E1553" s="5">
        <f>[1]!nefin_factors__1[[#This Row],[SMB]]/D1552-1</f>
        <v>-6.3172034683275395</v>
      </c>
      <c r="F1553" s="5">
        <v>-398694393059565</v>
      </c>
      <c r="G1553" s="5">
        <f>[1]!nefin_factors__1[[#This Row],[HML]]/F1552-1</f>
        <v>-4.5218910572072293</v>
      </c>
      <c r="H1553" s="5">
        <v>171265736976345</v>
      </c>
      <c r="I1553" s="6">
        <f>[1]!nefin_factors__1[[#This Row],[Risk_Free]]/H1552-1</f>
        <v>0</v>
      </c>
      <c r="J1553">
        <v>86071</v>
      </c>
      <c r="K1553">
        <v>92230</v>
      </c>
      <c r="L1553">
        <v>86071</v>
      </c>
      <c r="M1553">
        <v>92214</v>
      </c>
      <c r="N1553">
        <v>13531700</v>
      </c>
      <c r="O1553">
        <v>92214</v>
      </c>
      <c r="P1553">
        <v>7.1421102164592701E-2</v>
      </c>
      <c r="Q1553">
        <v>6.8985900149604998E-2</v>
      </c>
      <c r="R1553" s="8">
        <v>17.934364318847699</v>
      </c>
      <c r="S1553" s="8">
        <v>0.115897347771795</v>
      </c>
      <c r="T1553" s="9">
        <v>0.109658877445151</v>
      </c>
      <c r="U1553" s="12">
        <v>1.6136999999999999E-2</v>
      </c>
      <c r="V1553" s="16">
        <v>4.3365999999999998</v>
      </c>
      <c r="W1553" s="17">
        <f t="shared" si="24"/>
        <v>5.0523778622415527E-3</v>
      </c>
    </row>
    <row r="1554" spans="1:23" x14ac:dyDescent="0.2">
      <c r="A1554" s="14">
        <v>43817</v>
      </c>
      <c r="B1554" s="3">
        <v>141364899425085</v>
      </c>
      <c r="C1554" s="3">
        <f>[1]!nefin_factors__1[[#This Row],[Rm_minus_Rf]]/B1553-1</f>
        <v>-0.70282121091797878</v>
      </c>
      <c r="D1554" s="3">
        <v>104167234187111</v>
      </c>
      <c r="E1554" s="3">
        <f>[1]!nefin_factors__1[[#This Row],[SMB]]/D1553-1</f>
        <v>-1.1802071842079922</v>
      </c>
      <c r="F1554" s="3">
        <v>-284855497633222</v>
      </c>
      <c r="G1554" s="3">
        <f>[1]!nefin_factors__1[[#This Row],[HML]]/F1553-1</f>
        <v>-0.28552921086436112</v>
      </c>
      <c r="H1554" s="3">
        <v>171265736976345</v>
      </c>
      <c r="I1554" s="4">
        <f>[1]!nefin_factors__1[[#This Row],[Risk_Free]]/H1553-1</f>
        <v>0</v>
      </c>
      <c r="J1554">
        <v>92202</v>
      </c>
      <c r="K1554">
        <v>92202</v>
      </c>
      <c r="L1554">
        <v>80796</v>
      </c>
      <c r="M1554">
        <v>85171</v>
      </c>
      <c r="N1554">
        <v>11786900</v>
      </c>
      <c r="O1554">
        <v>85171</v>
      </c>
      <c r="P1554">
        <v>-7.6376689006007803E-2</v>
      </c>
      <c r="Q1554">
        <v>-7.9450962545732598E-2</v>
      </c>
      <c r="R1554" s="8">
        <v>15.8574066162109</v>
      </c>
      <c r="S1554" s="8">
        <v>-0.11580882743939799</v>
      </c>
      <c r="T1554" s="9">
        <v>-0.123081981172286</v>
      </c>
      <c r="U1554" s="12">
        <v>1.6136999999999999E-2</v>
      </c>
      <c r="V1554" s="16">
        <v>4.3388999999999998</v>
      </c>
      <c r="W1554" s="17">
        <f t="shared" si="24"/>
        <v>5.3036941382655911E-4</v>
      </c>
    </row>
    <row r="1555" spans="1:23" x14ac:dyDescent="0.2">
      <c r="A1555" s="15">
        <v>43818</v>
      </c>
      <c r="B1555" s="5">
        <v>68444984112701</v>
      </c>
      <c r="C1555" s="5">
        <f>[1]!nefin_factors__1[[#This Row],[Rm_minus_Rf]]/B1554-1</f>
        <v>-0.51582758951437746</v>
      </c>
      <c r="D1555" s="5">
        <v>-211034025931969</v>
      </c>
      <c r="E1555" s="5">
        <f>[1]!nefin_factors__1[[#This Row],[SMB]]/D1554-1</f>
        <v>-3.0259156113610342</v>
      </c>
      <c r="F1555" s="5">
        <v>-652178956596179</v>
      </c>
      <c r="G1555" s="5">
        <f>[1]!nefin_factors__1[[#This Row],[HML]]/F1554-1</f>
        <v>1.2895080558912722</v>
      </c>
      <c r="H1555" s="5">
        <v>171265736976345</v>
      </c>
      <c r="I1555" s="6">
        <f>[1]!nefin_factors__1[[#This Row],[Risk_Free]]/H1554-1</f>
        <v>0</v>
      </c>
      <c r="J1555">
        <v>85103</v>
      </c>
      <c r="K1555">
        <v>85103</v>
      </c>
      <c r="L1555">
        <v>68488</v>
      </c>
      <c r="M1555">
        <v>72583</v>
      </c>
      <c r="N1555">
        <v>12008700</v>
      </c>
      <c r="O1555">
        <v>72583</v>
      </c>
      <c r="P1555">
        <v>-0.14779678529076801</v>
      </c>
      <c r="Q1555">
        <v>-0.15993026567604299</v>
      </c>
      <c r="R1555" s="8">
        <v>11.241946220398001</v>
      </c>
      <c r="S1555" s="8">
        <v>-0.29106022866908299</v>
      </c>
      <c r="T1555" s="9">
        <v>-0.343984704815882</v>
      </c>
      <c r="U1555" s="12">
        <v>1.6136999999999999E-2</v>
      </c>
      <c r="V1555" s="16">
        <v>4.3163</v>
      </c>
      <c r="W1555" s="17">
        <f t="shared" si="24"/>
        <v>-5.2086934476479607E-3</v>
      </c>
    </row>
    <row r="1556" spans="1:23" x14ac:dyDescent="0.2">
      <c r="A1556" s="14">
        <v>43819</v>
      </c>
      <c r="B1556" s="3">
        <v>162915306164084</v>
      </c>
      <c r="C1556" s="3">
        <f>[1]!nefin_factors__1[[#This Row],[Rm_minus_Rf]]/B1555-1</f>
        <v>1.3802373289447898</v>
      </c>
      <c r="D1556" s="3">
        <v>-635195102465427</v>
      </c>
      <c r="E1556" s="3">
        <f>[1]!nefin_factors__1[[#This Row],[SMB]]/D1555-1</f>
        <v>2.0099179488249668</v>
      </c>
      <c r="F1556" s="3">
        <v>139074444593729</v>
      </c>
      <c r="G1556" s="3">
        <f>[1]!nefin_factors__1[[#This Row],[HML]]/F1555-1</f>
        <v>-1.2132458325849389</v>
      </c>
      <c r="H1556" s="3">
        <v>171265736976345</v>
      </c>
      <c r="I1556" s="4">
        <f>[1]!nefin_factors__1[[#This Row],[Risk_Free]]/H1555-1</f>
        <v>0</v>
      </c>
      <c r="J1556">
        <v>72621</v>
      </c>
      <c r="K1556">
        <v>83758</v>
      </c>
      <c r="L1556">
        <v>72621</v>
      </c>
      <c r="M1556">
        <v>82678</v>
      </c>
      <c r="N1556">
        <v>15766300</v>
      </c>
      <c r="O1556">
        <v>82678</v>
      </c>
      <c r="P1556">
        <v>0.139082154223441</v>
      </c>
      <c r="Q1556">
        <v>0.13022281024270799</v>
      </c>
      <c r="R1556" s="8">
        <v>12.651309967041</v>
      </c>
      <c r="S1556" s="8">
        <v>0.12536652631248499</v>
      </c>
      <c r="T1556" s="9">
        <v>0.118108783761362</v>
      </c>
      <c r="U1556" s="12">
        <v>1.6136999999999999E-2</v>
      </c>
      <c r="V1556" s="16">
        <v>4.3156999999999996</v>
      </c>
      <c r="W1556" s="17">
        <f t="shared" si="24"/>
        <v>-1.3900794662102811E-4</v>
      </c>
    </row>
    <row r="1557" spans="1:23" x14ac:dyDescent="0.2">
      <c r="A1557" s="15">
        <v>43822</v>
      </c>
      <c r="B1557" s="5">
        <v>799780316224678</v>
      </c>
      <c r="C1557" s="5">
        <f>[1]!nefin_factors__1[[#This Row],[Rm_minus_Rf]]/B1556-1</f>
        <v>3.90917848700576</v>
      </c>
      <c r="D1557" s="5">
        <v>128170564695971</v>
      </c>
      <c r="E1557" s="5">
        <f>[1]!nefin_factors__1[[#This Row],[SMB]]/D1556-1</f>
        <v>-1.2017814120393777</v>
      </c>
      <c r="F1557" s="5">
        <v>107778289579024</v>
      </c>
      <c r="G1557" s="5">
        <f>[1]!nefin_factors__1[[#This Row],[HML]]/F1556-1</f>
        <v>-0.22503167354814069</v>
      </c>
      <c r="H1557" s="5">
        <v>171265736976345</v>
      </c>
      <c r="I1557" s="6">
        <f>[1]!nefin_factors__1[[#This Row],[Risk_Free]]/H1556-1</f>
        <v>0</v>
      </c>
      <c r="J1557">
        <v>82565</v>
      </c>
      <c r="K1557">
        <v>82565</v>
      </c>
      <c r="L1557">
        <v>70855</v>
      </c>
      <c r="M1557">
        <v>71168</v>
      </c>
      <c r="N1557">
        <v>12847800</v>
      </c>
      <c r="O1557">
        <v>71168</v>
      </c>
      <c r="P1557">
        <v>-0.13921478506978899</v>
      </c>
      <c r="Q1557">
        <v>-0.1499102656861</v>
      </c>
      <c r="R1557" s="8">
        <v>8.5715713500976598</v>
      </c>
      <c r="S1557" s="8">
        <v>-0.322475587711615</v>
      </c>
      <c r="T1557" s="9">
        <v>-0.38930969397946502</v>
      </c>
      <c r="U1557" s="12">
        <v>1.6136999999999999E-2</v>
      </c>
      <c r="V1557" s="16">
        <v>4.3471000000000002</v>
      </c>
      <c r="W1557" s="17">
        <f t="shared" si="24"/>
        <v>7.2757605950368731E-3</v>
      </c>
    </row>
    <row r="1558" spans="1:23" x14ac:dyDescent="0.2">
      <c r="A1558" s="14">
        <v>43825</v>
      </c>
      <c r="B1558" s="3">
        <v>122121586831804</v>
      </c>
      <c r="C1558" s="3">
        <f>[1]!nefin_factors__1[[#This Row],[Rm_minus_Rf]]/B1557-1</f>
        <v>-0.8473060859908722</v>
      </c>
      <c r="D1558" s="3">
        <v>96045250563308</v>
      </c>
      <c r="E1558" s="3">
        <f>[1]!nefin_factors__1[[#This Row],[SMB]]/D1557-1</f>
        <v>-0.25064502297283586</v>
      </c>
      <c r="F1558" s="3">
        <v>626649939883532</v>
      </c>
      <c r="G1558" s="3">
        <f>[1]!nefin_factors__1[[#This Row],[HML]]/F1557-1</f>
        <v>4.8142501827704987</v>
      </c>
      <c r="H1558" s="3">
        <v>171265736976345</v>
      </c>
      <c r="I1558" s="4">
        <f>[1]!nefin_factors__1[[#This Row],[Risk_Free]]/H1557-1</f>
        <v>0</v>
      </c>
      <c r="J1558">
        <v>71178</v>
      </c>
      <c r="K1558">
        <v>77255</v>
      </c>
      <c r="L1558">
        <v>70783</v>
      </c>
      <c r="M1558">
        <v>74617</v>
      </c>
      <c r="N1558">
        <v>14945900</v>
      </c>
      <c r="O1558">
        <v>74617</v>
      </c>
      <c r="P1558">
        <v>4.8462792266187098E-2</v>
      </c>
      <c r="Q1558">
        <v>4.7325084098018701E-2</v>
      </c>
      <c r="R1558" s="8">
        <v>8.2006864547729492</v>
      </c>
      <c r="S1558" s="8">
        <v>-4.3269183697628798E-2</v>
      </c>
      <c r="T1558" s="9">
        <v>-4.4233205776358399E-2</v>
      </c>
      <c r="U1558" s="12">
        <v>1.6136999999999999E-2</v>
      </c>
      <c r="V1558" s="16">
        <v>4.3727999999999998</v>
      </c>
      <c r="W1558" s="17">
        <f t="shared" si="24"/>
        <v>5.9119873018793623E-3</v>
      </c>
    </row>
    <row r="1559" spans="1:23" x14ac:dyDescent="0.2">
      <c r="A1559" s="15">
        <v>43826</v>
      </c>
      <c r="B1559" s="5">
        <v>-335527449214849</v>
      </c>
      <c r="C1559" s="5">
        <f>[1]!nefin_factors__1[[#This Row],[Rm_minus_Rf]]/B1558-1</f>
        <v>-3.7474868114591837</v>
      </c>
      <c r="D1559" s="5">
        <v>66186794330541</v>
      </c>
      <c r="E1559" s="5">
        <f>[1]!nefin_factors__1[[#This Row],[SMB]]/D1558-1</f>
        <v>-0.31087904979836423</v>
      </c>
      <c r="F1559" s="5">
        <v>302181283403898</v>
      </c>
      <c r="G1559" s="5">
        <f>[1]!nefin_factors__1[[#This Row],[HML]]/F1558-1</f>
        <v>-0.51778295317468492</v>
      </c>
      <c r="H1559" s="5">
        <v>171265736976345</v>
      </c>
      <c r="I1559" s="6">
        <f>[1]!nefin_factors__1[[#This Row],[Risk_Free]]/H1558-1</f>
        <v>0</v>
      </c>
      <c r="J1559">
        <v>74576</v>
      </c>
      <c r="K1559">
        <v>74576</v>
      </c>
      <c r="L1559">
        <v>63547</v>
      </c>
      <c r="M1559">
        <v>66895</v>
      </c>
      <c r="N1559">
        <v>16751500</v>
      </c>
      <c r="O1559">
        <v>66895</v>
      </c>
      <c r="P1559">
        <v>-0.103488481177212</v>
      </c>
      <c r="Q1559">
        <v>-0.109244137360499</v>
      </c>
      <c r="R1559" s="8">
        <v>5.3489899635314897</v>
      </c>
      <c r="S1559" s="8">
        <v>-0.34773875418462302</v>
      </c>
      <c r="T1559" s="9">
        <v>-0.42731011354187198</v>
      </c>
      <c r="U1559" s="12">
        <v>1.6136999999999999E-2</v>
      </c>
      <c r="V1559" s="16">
        <v>4.3872999999999998</v>
      </c>
      <c r="W1559" s="17">
        <f t="shared" si="24"/>
        <v>3.3159531650202023E-3</v>
      </c>
    </row>
    <row r="1560" spans="1:23" x14ac:dyDescent="0.2">
      <c r="A1560" s="14">
        <v>43829</v>
      </c>
      <c r="B1560" s="3">
        <v>-716545485749048</v>
      </c>
      <c r="C1560" s="3">
        <f>[1]!nefin_factors__1[[#This Row],[Rm_minus_Rf]]/B1559-1</f>
        <v>1.1355793316636249</v>
      </c>
      <c r="D1560" s="3">
        <v>832780336665011</v>
      </c>
      <c r="E1560" s="3">
        <f>[1]!nefin_factors__1[[#This Row],[SMB]]/D1559-1</f>
        <v>11.582273323377073</v>
      </c>
      <c r="F1560" s="3">
        <v>518635314670512</v>
      </c>
      <c r="G1560" s="3">
        <f>[1]!nefin_factors__1[[#This Row],[HML]]/F1559-1</f>
        <v>0.71630522191309831</v>
      </c>
      <c r="H1560" s="3">
        <v>171265736976345</v>
      </c>
      <c r="I1560" s="4">
        <f>[1]!nefin_factors__1[[#This Row],[Risk_Free]]/H1559-1</f>
        <v>0</v>
      </c>
      <c r="J1560">
        <v>66883</v>
      </c>
      <c r="K1560">
        <v>70071</v>
      </c>
      <c r="L1560">
        <v>61691</v>
      </c>
      <c r="M1560">
        <v>68332</v>
      </c>
      <c r="N1560">
        <v>16144700</v>
      </c>
      <c r="O1560">
        <v>68332</v>
      </c>
      <c r="P1560">
        <v>2.14814261155543E-2</v>
      </c>
      <c r="Q1560">
        <v>2.1253952159228599E-2</v>
      </c>
      <c r="R1560" s="8">
        <v>6.1402120590209996</v>
      </c>
      <c r="S1560" s="8">
        <v>0.14791990654009801</v>
      </c>
      <c r="T1560" s="9">
        <v>0.137951527641273</v>
      </c>
      <c r="U1560" s="12">
        <v>1.6136999999999999E-2</v>
      </c>
      <c r="V1560" s="16">
        <v>4.3924000000000003</v>
      </c>
      <c r="W1560" s="17">
        <f t="shared" si="24"/>
        <v>1.1624461513917161E-3</v>
      </c>
    </row>
    <row r="1561" spans="1:23" x14ac:dyDescent="0.2">
      <c r="A1561" s="15">
        <v>43832</v>
      </c>
      <c r="B1561" s="5">
        <v>226785442224214</v>
      </c>
      <c r="C1561" s="5">
        <f>[1]!nefin_factors__1[[#This Row],[Rm_minus_Rf]]/B1560-1</f>
        <v>-1.3164983196944455</v>
      </c>
      <c r="D1561" s="5">
        <v>-680513893872755</v>
      </c>
      <c r="E1561" s="5">
        <f>[1]!nefin_factors__1[[#This Row],[SMB]]/D1560-1</f>
        <v>-1.8171589360502567</v>
      </c>
      <c r="F1561" s="5">
        <v>509333521246543</v>
      </c>
      <c r="G1561" s="5">
        <f>[1]!nefin_factors__1[[#This Row],[HML]]/F1560-1</f>
        <v>-1.7935133148189952E-2</v>
      </c>
      <c r="H1561" s="5">
        <v>171265736976345</v>
      </c>
      <c r="I1561" s="6">
        <f>[1]!nefin_factors__1[[#This Row],[Risk_Free]]/H1560-1</f>
        <v>0</v>
      </c>
      <c r="J1561">
        <v>68344</v>
      </c>
      <c r="K1561">
        <v>72247</v>
      </c>
      <c r="L1561">
        <v>66120</v>
      </c>
      <c r="M1561">
        <v>67069</v>
      </c>
      <c r="N1561">
        <v>15152400</v>
      </c>
      <c r="O1561">
        <v>67069</v>
      </c>
      <c r="P1561">
        <v>-1.8483287478779999E-2</v>
      </c>
      <c r="Q1561">
        <v>-1.86562378800532E-2</v>
      </c>
      <c r="R1561" s="8">
        <v>6.7665958404540998</v>
      </c>
      <c r="S1561" s="8">
        <v>0.102013379246869</v>
      </c>
      <c r="T1561" s="9">
        <v>9.7138851534399204E-2</v>
      </c>
      <c r="U1561" s="12">
        <v>1.6136999999999999E-2</v>
      </c>
      <c r="V1561" s="16">
        <v>4.4359000000000002</v>
      </c>
      <c r="W1561" s="17">
        <f t="shared" si="24"/>
        <v>9.9034696293598401E-3</v>
      </c>
    </row>
    <row r="1562" spans="1:23" x14ac:dyDescent="0.2">
      <c r="A1562" s="14">
        <v>43833</v>
      </c>
      <c r="B1562" s="3">
        <v>-368141907237518</v>
      </c>
      <c r="C1562" s="3">
        <f>[1]!nefin_factors__1[[#This Row],[Rm_minus_Rf]]/B1561-1</f>
        <v>-2.6233048454386694</v>
      </c>
      <c r="D1562" s="3">
        <v>-685850373119621</v>
      </c>
      <c r="E1562" s="3">
        <f>[1]!nefin_factors__1[[#This Row],[SMB]]/D1561-1</f>
        <v>7.8418373157622678E-3</v>
      </c>
      <c r="F1562" s="3">
        <v>832324286981472</v>
      </c>
      <c r="G1562" s="3">
        <f>[1]!nefin_factors__1[[#This Row],[HML]]/F1561-1</f>
        <v>0.63414393960256388</v>
      </c>
      <c r="H1562" s="3">
        <v>17088558920153</v>
      </c>
      <c r="I1562" s="4">
        <f>[1]!nefin_factors__1[[#This Row],[Risk_Free]]/H1561-1</f>
        <v>-0.90022196370478202</v>
      </c>
      <c r="J1562">
        <v>67067</v>
      </c>
      <c r="K1562">
        <v>67604</v>
      </c>
      <c r="L1562">
        <v>62161</v>
      </c>
      <c r="M1562">
        <v>63570</v>
      </c>
      <c r="N1562">
        <v>11962200</v>
      </c>
      <c r="O1562">
        <v>63570</v>
      </c>
      <c r="P1562">
        <v>-5.2170153125885202E-2</v>
      </c>
      <c r="Q1562">
        <v>-5.3580279256440502E-2</v>
      </c>
      <c r="R1562" s="8">
        <v>6.2720818519592303</v>
      </c>
      <c r="S1562" s="8">
        <v>-7.3081649939607904E-2</v>
      </c>
      <c r="T1562" s="9">
        <v>-7.5889797057784203E-2</v>
      </c>
      <c r="U1562" s="12">
        <v>1.6136999999999999E-2</v>
      </c>
      <c r="V1562" s="16">
        <v>4.4763999999999999</v>
      </c>
      <c r="W1562" s="17">
        <f t="shared" si="24"/>
        <v>9.1300525259812026E-3</v>
      </c>
    </row>
    <row r="1563" spans="1:23" x14ac:dyDescent="0.2">
      <c r="A1563" s="15">
        <v>43836</v>
      </c>
      <c r="B1563" s="5">
        <v>-635516266867479</v>
      </c>
      <c r="C1563" s="5">
        <f>[1]!nefin_factors__1[[#This Row],[Rm_minus_Rf]]/B1562-1</f>
        <v>0.72628069332366518</v>
      </c>
      <c r="D1563" s="5">
        <v>771793414256798</v>
      </c>
      <c r="E1563" s="5">
        <f>[1]!nefin_factors__1[[#This Row],[SMB]]/D1562-1</f>
        <v>-2.1253087327870963</v>
      </c>
      <c r="F1563" s="5">
        <v>218741568782905</v>
      </c>
      <c r="G1563" s="5">
        <f>[1]!nefin_factors__1[[#This Row],[HML]]/F1562-1</f>
        <v>-0.73719189478875036</v>
      </c>
      <c r="H1563" s="5">
        <v>17088558920153</v>
      </c>
      <c r="I1563" s="6">
        <f>[1]!nefin_factors__1[[#This Row],[Risk_Free]]/H1562-1</f>
        <v>0</v>
      </c>
      <c r="J1563">
        <v>63604</v>
      </c>
      <c r="K1563">
        <v>71535</v>
      </c>
      <c r="L1563">
        <v>63604</v>
      </c>
      <c r="M1563">
        <v>69729</v>
      </c>
      <c r="N1563">
        <v>11679900</v>
      </c>
      <c r="O1563">
        <v>69729</v>
      </c>
      <c r="P1563">
        <v>9.6885323265691395E-2</v>
      </c>
      <c r="Q1563">
        <v>9.2474639152082594E-2</v>
      </c>
      <c r="R1563" s="8">
        <v>7.2116580009460396</v>
      </c>
      <c r="S1563" s="8">
        <v>0.14980291570865201</v>
      </c>
      <c r="T1563" s="9">
        <v>0.13959055004368201</v>
      </c>
      <c r="U1563" s="12">
        <v>1.6136999999999999E-2</v>
      </c>
      <c r="V1563" s="16">
        <v>4.4987000000000004</v>
      </c>
      <c r="W1563" s="17">
        <f t="shared" si="24"/>
        <v>4.9816817085157616E-3</v>
      </c>
    </row>
    <row r="1564" spans="1:23" x14ac:dyDescent="0.2">
      <c r="A1564" s="14">
        <v>43837</v>
      </c>
      <c r="B1564" s="3">
        <v>-191529017443796</v>
      </c>
      <c r="C1564" s="3">
        <f>[1]!nefin_factors__1[[#This Row],[Rm_minus_Rf]]/B1563-1</f>
        <v>-0.69862452398290131</v>
      </c>
      <c r="D1564" s="3">
        <v>442301920813166</v>
      </c>
      <c r="E1564" s="3">
        <f>[1]!nefin_factors__1[[#This Row],[SMB]]/D1563-1</f>
        <v>-0.42691669474909599</v>
      </c>
      <c r="F1564" s="3">
        <v>531709694743172</v>
      </c>
      <c r="G1564" s="3">
        <f>[1]!nefin_factors__1[[#This Row],[HML]]/F1563-1</f>
        <v>1.4307665785778436</v>
      </c>
      <c r="H1564" s="3">
        <v>17050540515684</v>
      </c>
      <c r="I1564" s="4">
        <f>[1]!nefin_factors__1[[#This Row],[Risk_Free]]/H1563-1</f>
        <v>-2.2247870429942251E-3</v>
      </c>
      <c r="J1564">
        <v>69727</v>
      </c>
      <c r="K1564">
        <v>76714</v>
      </c>
      <c r="L1564">
        <v>69360</v>
      </c>
      <c r="M1564">
        <v>74956</v>
      </c>
      <c r="N1564">
        <v>12951100</v>
      </c>
      <c r="O1564">
        <v>74956</v>
      </c>
      <c r="P1564">
        <v>7.4961637195428005E-2</v>
      </c>
      <c r="Q1564">
        <v>7.2284974613019498E-2</v>
      </c>
      <c r="R1564" s="8">
        <v>7.7061719894409197</v>
      </c>
      <c r="S1564" s="8">
        <v>6.85714697549442E-2</v>
      </c>
      <c r="T1564" s="9">
        <v>6.6322681471795E-2</v>
      </c>
      <c r="U1564" s="12">
        <v>1.6136999999999999E-2</v>
      </c>
      <c r="V1564" s="16">
        <v>4.4946000000000002</v>
      </c>
      <c r="W1564" s="17">
        <f t="shared" si="24"/>
        <v>-9.1137439704813694E-4</v>
      </c>
    </row>
    <row r="1565" spans="1:23" x14ac:dyDescent="0.2">
      <c r="A1565" s="15">
        <v>43838</v>
      </c>
      <c r="B1565" s="5">
        <v>-361848385453039</v>
      </c>
      <c r="C1565" s="5">
        <f>[1]!nefin_factors__1[[#This Row],[Rm_minus_Rf]]/B1564-1</f>
        <v>0.88926143036901983</v>
      </c>
      <c r="D1565" s="5">
        <v>-439081922238883</v>
      </c>
      <c r="E1565" s="5">
        <f>[1]!nefin_factors__1[[#This Row],[SMB]]/D1564-1</f>
        <v>-1.9927199082283815</v>
      </c>
      <c r="F1565" s="5">
        <v>-912018423798862</v>
      </c>
      <c r="G1565" s="5">
        <f>[1]!nefin_factors__1[[#This Row],[HML]]/F1564-1</f>
        <v>-2.715256337839369</v>
      </c>
      <c r="H1565" s="5">
        <v>17012518483539</v>
      </c>
      <c r="I1565" s="6">
        <f>[1]!nefin_factors__1[[#This Row],[Risk_Free]]/H1564-1</f>
        <v>-2.2299605170889025E-3</v>
      </c>
      <c r="J1565">
        <v>74956</v>
      </c>
      <c r="K1565">
        <v>78846</v>
      </c>
      <c r="L1565">
        <v>74923</v>
      </c>
      <c r="M1565">
        <v>77710</v>
      </c>
      <c r="N1565">
        <v>12758000</v>
      </c>
      <c r="O1565">
        <v>77710</v>
      </c>
      <c r="P1565">
        <v>3.6741555045626699E-2</v>
      </c>
      <c r="Q1565">
        <v>3.6082674507731401E-2</v>
      </c>
      <c r="R1565" s="8">
        <v>10.203467369079601</v>
      </c>
      <c r="S1565" s="8">
        <v>0.32406431923145401</v>
      </c>
      <c r="T1565" s="9">
        <v>0.28070603581482201</v>
      </c>
      <c r="U1565" s="12">
        <v>1.6136999999999999E-2</v>
      </c>
      <c r="V1565" s="16">
        <v>4.4882999999999997</v>
      </c>
      <c r="W1565" s="17">
        <f t="shared" si="24"/>
        <v>-1.4016820184221679E-3</v>
      </c>
    </row>
    <row r="1566" spans="1:23" x14ac:dyDescent="0.2">
      <c r="A1566" s="14">
        <v>43839</v>
      </c>
      <c r="B1566" s="3">
        <v>-295781982334774</v>
      </c>
      <c r="C1566" s="3">
        <f>[1]!nefin_factors__1[[#This Row],[Rm_minus_Rf]]/B1565-1</f>
        <v>-0.1825803451784066</v>
      </c>
      <c r="D1566" s="3">
        <v>-465276250794997</v>
      </c>
      <c r="E1566" s="3">
        <f>[1]!nefin_factors__1[[#This Row],[SMB]]/D1565-1</f>
        <v>5.9657041725946769E-2</v>
      </c>
      <c r="F1566" s="3">
        <v>-710614357036547</v>
      </c>
      <c r="G1566" s="3">
        <f>[1]!nefin_factors__1[[#This Row],[HML]]/F1565-1</f>
        <v>-0.22083333133052252</v>
      </c>
      <c r="H1566" s="3">
        <v>17012518483539</v>
      </c>
      <c r="I1566" s="4">
        <f>[1]!nefin_factors__1[[#This Row],[Risk_Free]]/H1565-1</f>
        <v>0</v>
      </c>
      <c r="J1566">
        <v>77708</v>
      </c>
      <c r="K1566">
        <v>77708</v>
      </c>
      <c r="L1566">
        <v>73057</v>
      </c>
      <c r="M1566">
        <v>73429</v>
      </c>
      <c r="N1566">
        <v>10301400</v>
      </c>
      <c r="O1566">
        <v>73429</v>
      </c>
      <c r="P1566">
        <v>-5.5089435079140402E-2</v>
      </c>
      <c r="Q1566">
        <v>-5.6664996262456302E-2</v>
      </c>
      <c r="R1566" s="8">
        <v>10.582593917846699</v>
      </c>
      <c r="S1566" s="8">
        <v>3.7156638528191802E-2</v>
      </c>
      <c r="T1566" s="9">
        <v>3.64829675302085E-2</v>
      </c>
      <c r="U1566" s="12">
        <v>1.6136999999999999E-2</v>
      </c>
      <c r="V1566" s="16">
        <v>4.5258000000000003</v>
      </c>
      <c r="W1566" s="17">
        <f t="shared" si="24"/>
        <v>8.3550564801819771E-3</v>
      </c>
    </row>
    <row r="1567" spans="1:23" x14ac:dyDescent="0.2">
      <c r="A1567" s="15">
        <v>43840</v>
      </c>
      <c r="B1567" s="5">
        <v>-16755903157468</v>
      </c>
      <c r="C1567" s="5">
        <f>[1]!nefin_factors__1[[#This Row],[Rm_minus_Rf]]/B1566-1</f>
        <v>-0.94335049408620431</v>
      </c>
      <c r="D1567" s="5">
        <v>689480814437603</v>
      </c>
      <c r="E1567" s="5">
        <f>[1]!nefin_factors__1[[#This Row],[SMB]]/D1566-1</f>
        <v>-2.4818740764427965</v>
      </c>
      <c r="F1567" s="5">
        <v>706141755239916</v>
      </c>
      <c r="G1567" s="5">
        <f>[1]!nefin_factors__1[[#This Row],[HML]]/F1566-1</f>
        <v>-1.9937060069891031</v>
      </c>
      <c r="H1567" s="5">
        <v>17012518483539</v>
      </c>
      <c r="I1567" s="6">
        <f>[1]!nefin_factors__1[[#This Row],[Risk_Free]]/H1566-1</f>
        <v>0</v>
      </c>
      <c r="J1567">
        <v>73431</v>
      </c>
      <c r="K1567">
        <v>75430</v>
      </c>
      <c r="L1567">
        <v>73184</v>
      </c>
      <c r="M1567">
        <v>74640</v>
      </c>
      <c r="N1567">
        <v>9032200</v>
      </c>
      <c r="O1567">
        <v>74640</v>
      </c>
      <c r="P1567">
        <v>1.64921216413134E-2</v>
      </c>
      <c r="Q1567">
        <v>1.6357603580393901E-2</v>
      </c>
      <c r="R1567" s="8">
        <v>10.673254966735801</v>
      </c>
      <c r="S1567" s="8">
        <v>8.5669968622974508E-3</v>
      </c>
      <c r="T1567" s="9">
        <v>8.5305083943028395E-3</v>
      </c>
      <c r="U1567" s="12">
        <v>1.6136999999999999E-2</v>
      </c>
      <c r="V1567" s="16">
        <v>4.6207000000000003</v>
      </c>
      <c r="W1567" s="17">
        <f t="shared" si="24"/>
        <v>2.0968668522692191E-2</v>
      </c>
    </row>
    <row r="1568" spans="1:23" x14ac:dyDescent="0.2">
      <c r="A1568" s="14">
        <v>43843</v>
      </c>
      <c r="B1568" s="3">
        <v>155450332488879</v>
      </c>
      <c r="C1568" s="3">
        <f>[1]!nefin_factors__1[[#This Row],[Rm_minus_Rf]]/B1567-1</f>
        <v>-10.277347274449708</v>
      </c>
      <c r="D1568" s="3">
        <v>-841912625238262</v>
      </c>
      <c r="E1568" s="3">
        <f>[1]!nefin_factors__1[[#This Row],[SMB]]/D1567-1</f>
        <v>-2.2210820194104963</v>
      </c>
      <c r="F1568" s="3">
        <v>848039000833995</v>
      </c>
      <c r="G1568" s="3">
        <f>[1]!nefin_factors__1[[#This Row],[HML]]/F1567-1</f>
        <v>0.20094725250437651</v>
      </c>
      <c r="H1568" s="3">
        <v>17012518483539</v>
      </c>
      <c r="I1568" s="4">
        <f>[1]!nefin_factors__1[[#This Row],[Risk_Free]]/H1567-1</f>
        <v>0</v>
      </c>
      <c r="J1568">
        <v>74629</v>
      </c>
      <c r="K1568">
        <v>75511</v>
      </c>
      <c r="L1568">
        <v>72385</v>
      </c>
      <c r="M1568">
        <v>73020</v>
      </c>
      <c r="N1568">
        <v>11141500</v>
      </c>
      <c r="O1568">
        <v>73020</v>
      </c>
      <c r="P1568">
        <v>-2.17041800643086E-2</v>
      </c>
      <c r="Q1568">
        <v>-2.1943180311597501E-2</v>
      </c>
      <c r="R1568" s="8">
        <v>9.1485042572021502</v>
      </c>
      <c r="S1568" s="8">
        <v>-0.14285714285714299</v>
      </c>
      <c r="T1568" s="9">
        <v>-0.154150679827258</v>
      </c>
      <c r="U1568" s="12">
        <v>1.6136999999999999E-2</v>
      </c>
      <c r="V1568" s="16">
        <v>4.6459000000000001</v>
      </c>
      <c r="W1568" s="17">
        <f t="shared" si="24"/>
        <v>5.4537191334647073E-3</v>
      </c>
    </row>
    <row r="1569" spans="1:23" x14ac:dyDescent="0.2">
      <c r="A1569" s="15">
        <v>43844</v>
      </c>
      <c r="B1569" s="5">
        <v>244307467877524</v>
      </c>
      <c r="C1569" s="5">
        <f>[1]!nefin_factors__1[[#This Row],[Rm_minus_Rf]]/B1568-1</f>
        <v>0.57161109896630102</v>
      </c>
      <c r="D1569" s="5">
        <v>38766150378254</v>
      </c>
      <c r="E1569" s="5">
        <f>[1]!nefin_factors__1[[#This Row],[SMB]]/D1568-1</f>
        <v>-1.0460453367916691</v>
      </c>
      <c r="F1569" s="5">
        <v>-202733029803883</v>
      </c>
      <c r="G1569" s="5">
        <f>[1]!nefin_factors__1[[#This Row],[HML]]/F1568-1</f>
        <v>-1.2390609743237131</v>
      </c>
      <c r="H1569" s="5">
        <v>169364635334235</v>
      </c>
      <c r="I1569" s="6">
        <f>[1]!nefin_factors__1[[#This Row],[Risk_Free]]/H1568-1</f>
        <v>8.9552947141899715</v>
      </c>
      <c r="J1569">
        <v>73011</v>
      </c>
      <c r="K1569">
        <v>73011</v>
      </c>
      <c r="L1569">
        <v>69569</v>
      </c>
      <c r="M1569">
        <v>70967</v>
      </c>
      <c r="N1569">
        <v>10093500</v>
      </c>
      <c r="O1569">
        <v>70967</v>
      </c>
      <c r="P1569">
        <v>-2.8115584771295499E-2</v>
      </c>
      <c r="Q1569">
        <v>-2.8518395966333501E-2</v>
      </c>
      <c r="R1569" s="8">
        <v>7.7473821640014604</v>
      </c>
      <c r="S1569" s="8">
        <v>-0.153153133431364</v>
      </c>
      <c r="T1569" s="9">
        <v>-0.166235395753835</v>
      </c>
      <c r="U1569" s="12">
        <v>1.6136999999999999E-2</v>
      </c>
      <c r="V1569" s="16">
        <v>4.7378999999999998</v>
      </c>
      <c r="W1569" s="17">
        <f t="shared" si="24"/>
        <v>1.9802406422867458E-2</v>
      </c>
    </row>
    <row r="1570" spans="1:23" x14ac:dyDescent="0.2">
      <c r="A1570" s="14">
        <v>43845</v>
      </c>
      <c r="B1570" s="3">
        <v>-895351004852263</v>
      </c>
      <c r="C1570" s="3">
        <f>[1]!nefin_factors__1[[#This Row],[Rm_minus_Rf]]/B1569-1</f>
        <v>-4.6648531976153897</v>
      </c>
      <c r="D1570" s="3">
        <v>239362346614741</v>
      </c>
      <c r="E1570" s="3">
        <f>[1]!nefin_factors__1[[#This Row],[SMB]]/D1569-1</f>
        <v>5.174519375259198</v>
      </c>
      <c r="F1570" s="3">
        <v>-428565578404058</v>
      </c>
      <c r="G1570" s="3">
        <f>[1]!nefin_factors__1[[#This Row],[HML]]/F1569-1</f>
        <v>1.1139405789902006</v>
      </c>
      <c r="H1570" s="3">
        <v>168984306140763</v>
      </c>
      <c r="I1570" s="4">
        <f>[1]!nefin_factors__1[[#This Row],[Risk_Free]]/H1569-1</f>
        <v>-2.2456234308977363E-3</v>
      </c>
      <c r="J1570">
        <v>70969</v>
      </c>
      <c r="K1570">
        <v>73861</v>
      </c>
      <c r="L1570">
        <v>70957</v>
      </c>
      <c r="M1570">
        <v>72253</v>
      </c>
      <c r="N1570">
        <v>10540200</v>
      </c>
      <c r="O1570">
        <v>72253</v>
      </c>
      <c r="P1570">
        <v>1.8121098538757398E-2</v>
      </c>
      <c r="Q1570">
        <v>1.7958868360698901E-2</v>
      </c>
      <c r="R1570" s="8">
        <v>8.4479427337646502</v>
      </c>
      <c r="S1570" s="8">
        <v>9.0425456616606295E-2</v>
      </c>
      <c r="T1570" s="9">
        <v>8.6567947254417493E-2</v>
      </c>
      <c r="U1570" s="12">
        <v>1.6136999999999999E-2</v>
      </c>
      <c r="V1570" s="16">
        <v>4.6692999999999998</v>
      </c>
      <c r="W1570" s="17">
        <f t="shared" si="24"/>
        <v>-1.4478988581439034E-2</v>
      </c>
    </row>
    <row r="1571" spans="1:23" x14ac:dyDescent="0.2">
      <c r="A1571" s="15">
        <v>43846</v>
      </c>
      <c r="B1571" s="5">
        <v>331933042348559</v>
      </c>
      <c r="C1571" s="5">
        <f>[1]!nefin_factors__1[[#This Row],[Rm_minus_Rf]]/B1570-1</f>
        <v>-1.3707295133971837</v>
      </c>
      <c r="D1571" s="5">
        <v>510544465283748</v>
      </c>
      <c r="E1571" s="5">
        <f>[1]!nefin_factors__1[[#This Row],[SMB]]/D1570-1</f>
        <v>1.1329355786500566</v>
      </c>
      <c r="F1571" s="5">
        <v>-546078869283566</v>
      </c>
      <c r="G1571" s="5">
        <f>[1]!nefin_factors__1[[#This Row],[HML]]/F1570-1</f>
        <v>0.27420142167534212</v>
      </c>
      <c r="H1571" s="5">
        <v>168603940642775</v>
      </c>
      <c r="I1571" s="6">
        <f>[1]!nefin_factors__1[[#This Row],[Risk_Free]]/H1570-1</f>
        <v>-2.2508924448354506E-3</v>
      </c>
      <c r="J1571">
        <v>72241</v>
      </c>
      <c r="K1571">
        <v>72241</v>
      </c>
      <c r="L1571">
        <v>67802</v>
      </c>
      <c r="M1571">
        <v>69538</v>
      </c>
      <c r="N1571">
        <v>10411300</v>
      </c>
      <c r="O1571">
        <v>69538</v>
      </c>
      <c r="P1571">
        <v>-3.7576294409920698E-2</v>
      </c>
      <c r="Q1571">
        <v>-3.8300482881384199E-2</v>
      </c>
      <c r="R1571" s="8">
        <v>8.1594772338867205</v>
      </c>
      <c r="S1571" s="8">
        <v>-3.41462423419365E-2</v>
      </c>
      <c r="T1571" s="9">
        <v>-3.4742845818105397E-2</v>
      </c>
      <c r="U1571" s="12">
        <v>1.6136999999999999E-2</v>
      </c>
      <c r="V1571" s="16">
        <v>4.6738</v>
      </c>
      <c r="W1571" s="17">
        <f t="shared" si="24"/>
        <v>9.637418885057869E-4</v>
      </c>
    </row>
    <row r="1572" spans="1:23" x14ac:dyDescent="0.2">
      <c r="A1572" s="14">
        <v>43847</v>
      </c>
      <c r="B1572" s="3">
        <v>112733206269395</v>
      </c>
      <c r="C1572" s="3">
        <f>[1]!nefin_factors__1[[#This Row],[Rm_minus_Rf]]/B1571-1</f>
        <v>-0.66037365406058257</v>
      </c>
      <c r="D1572" s="3">
        <v>-970113026443629</v>
      </c>
      <c r="E1572" s="3">
        <f>[1]!nefin_factors__1[[#This Row],[SMB]]/D1571-1</f>
        <v>-2.9001538404778593</v>
      </c>
      <c r="F1572" s="3">
        <v>-95381897570778</v>
      </c>
      <c r="G1572" s="3">
        <f>[1]!nefin_factors__1[[#This Row],[HML]]/F1571-1</f>
        <v>-0.82533311040598345</v>
      </c>
      <c r="H1572" s="3">
        <v>168603940642775</v>
      </c>
      <c r="I1572" s="4">
        <f>[1]!nefin_factors__1[[#This Row],[Risk_Free]]/H1571-1</f>
        <v>0</v>
      </c>
      <c r="J1572">
        <v>69556</v>
      </c>
      <c r="K1572">
        <v>75260</v>
      </c>
      <c r="L1572">
        <v>69556</v>
      </c>
      <c r="M1572">
        <v>74073</v>
      </c>
      <c r="N1572">
        <v>9685400</v>
      </c>
      <c r="O1572">
        <v>74073</v>
      </c>
      <c r="P1572">
        <v>6.5216140815093998E-2</v>
      </c>
      <c r="Q1572">
        <v>6.3177727692155294E-2</v>
      </c>
      <c r="R1572" s="8">
        <v>8.5138778686523402</v>
      </c>
      <c r="S1572" s="8">
        <v>4.3434232930239999E-2</v>
      </c>
      <c r="T1572" s="9">
        <v>4.2517420086774199E-2</v>
      </c>
      <c r="U1572" s="12">
        <v>1.6136999999999999E-2</v>
      </c>
      <c r="V1572" s="16">
        <v>4.8833000000000002</v>
      </c>
      <c r="W1572" s="17">
        <f t="shared" si="24"/>
        <v>4.4824339937524105E-2</v>
      </c>
    </row>
    <row r="1573" spans="1:23" x14ac:dyDescent="0.2">
      <c r="A1573" s="15">
        <v>43850</v>
      </c>
      <c r="B1573" s="5">
        <v>421954783208192</v>
      </c>
      <c r="C1573" s="5">
        <f>[1]!nefin_factors__1[[#This Row],[Rm_minus_Rf]]/B1572-1</f>
        <v>2.7429502554895842</v>
      </c>
      <c r="D1573" s="5">
        <v>940301795011867</v>
      </c>
      <c r="E1573" s="5">
        <f>[1]!nefin_factors__1[[#This Row],[SMB]]/D1572-1</f>
        <v>-1.9692703524031132</v>
      </c>
      <c r="F1573" s="5">
        <v>715638676504803</v>
      </c>
      <c r="G1573" s="5">
        <f>[1]!nefin_factors__1[[#This Row],[HML]]/F1572-1</f>
        <v>-8.5028773250580834</v>
      </c>
      <c r="H1573" s="5">
        <v>168223538833168</v>
      </c>
      <c r="I1573" s="6">
        <f>[1]!nefin_factors__1[[#This Row],[Risk_Free]]/H1572-1</f>
        <v>-2.2561857579175282E-3</v>
      </c>
      <c r="J1573">
        <v>74078</v>
      </c>
      <c r="K1573">
        <v>79855</v>
      </c>
      <c r="L1573">
        <v>74078</v>
      </c>
      <c r="M1573">
        <v>76358</v>
      </c>
      <c r="N1573">
        <v>11286500</v>
      </c>
      <c r="O1573">
        <v>76358</v>
      </c>
      <c r="P1573">
        <v>3.0847947295235899E-2</v>
      </c>
      <c r="Q1573">
        <v>3.0381713358495099E-2</v>
      </c>
      <c r="R1573" s="8">
        <v>9.5605993270874006</v>
      </c>
      <c r="S1573" s="8">
        <v>0.12294297317665701</v>
      </c>
      <c r="T1573" s="9">
        <v>0.11595289368032601</v>
      </c>
      <c r="U1573" s="12">
        <v>1.6136999999999999E-2</v>
      </c>
      <c r="V1573" s="16">
        <v>4.7362000000000002</v>
      </c>
      <c r="W1573" s="17">
        <f t="shared" si="24"/>
        <v>-3.0123072512440396E-2</v>
      </c>
    </row>
    <row r="1574" spans="1:23" x14ac:dyDescent="0.2">
      <c r="A1574" s="14">
        <v>43851</v>
      </c>
      <c r="B1574" s="3">
        <v>-120285256765417</v>
      </c>
      <c r="C1574" s="3">
        <f>[1]!nefin_factors__1[[#This Row],[Rm_minus_Rf]]/B1573-1</f>
        <v>-1.2850666980259551</v>
      </c>
      <c r="D1574" s="3">
        <v>294311278278155</v>
      </c>
      <c r="E1574" s="3">
        <f>[1]!nefin_factors__1[[#This Row],[SMB]]/D1573-1</f>
        <v>-0.68700338567955122</v>
      </c>
      <c r="F1574" s="3">
        <v>36347664812672</v>
      </c>
      <c r="G1574" s="3">
        <f>[1]!nefin_factors__1[[#This Row],[HML]]/F1573-1</f>
        <v>-0.94920947399014977</v>
      </c>
      <c r="H1574" s="3">
        <v>167843100705278</v>
      </c>
      <c r="I1574" s="4">
        <f>[1]!nefin_factors__1[[#This Row],[Risk_Free]]/H1573-1</f>
        <v>-2.2615035358832802E-3</v>
      </c>
      <c r="J1574">
        <v>76335</v>
      </c>
      <c r="K1574">
        <v>79058</v>
      </c>
      <c r="L1574">
        <v>76115</v>
      </c>
      <c r="M1574">
        <v>78625</v>
      </c>
      <c r="N1574">
        <v>10206300</v>
      </c>
      <c r="O1574">
        <v>78625</v>
      </c>
      <c r="P1574">
        <v>2.96890960999503E-2</v>
      </c>
      <c r="Q1574">
        <v>2.92569082294824E-2</v>
      </c>
      <c r="R1574" s="8">
        <v>9.6842269897460902</v>
      </c>
      <c r="S1574" s="8">
        <v>1.29309532205188E-2</v>
      </c>
      <c r="T1574" s="9">
        <v>1.28480622529963E-2</v>
      </c>
      <c r="U1574" s="12">
        <v>1.6136999999999999E-2</v>
      </c>
      <c r="V1574" s="16">
        <v>4.9470999999999998</v>
      </c>
      <c r="W1574" s="17">
        <f t="shared" si="24"/>
        <v>4.4529369536759456E-2</v>
      </c>
    </row>
    <row r="1575" spans="1:23" x14ac:dyDescent="0.2">
      <c r="A1575" s="15">
        <v>43852</v>
      </c>
      <c r="B1575" s="5">
        <v>939040577969147</v>
      </c>
      <c r="C1575" s="5">
        <f>[1]!nefin_factors__1[[#This Row],[Rm_minus_Rf]]/B1574-1</f>
        <v>-8.8067803421701534</v>
      </c>
      <c r="D1575" s="5">
        <v>-166632967470433</v>
      </c>
      <c r="E1575" s="5">
        <f>[1]!nefin_factors__1[[#This Row],[SMB]]/D1574-1</f>
        <v>-1.5661793474083157</v>
      </c>
      <c r="F1575" s="5">
        <v>740362793240839</v>
      </c>
      <c r="G1575" s="5">
        <f>[1]!nefin_factors__1[[#This Row],[HML]]/F1574-1</f>
        <v>19.368923204737047</v>
      </c>
      <c r="H1575" s="5">
        <v>167082115466233</v>
      </c>
      <c r="I1575" s="6">
        <f>[1]!nefin_factors__1[[#This Row],[Risk_Free]]/H1574-1</f>
        <v>-4.533908369467321E-3</v>
      </c>
      <c r="J1575">
        <v>78640</v>
      </c>
      <c r="K1575">
        <v>80428</v>
      </c>
      <c r="L1575">
        <v>77457</v>
      </c>
      <c r="M1575">
        <v>77682</v>
      </c>
      <c r="N1575">
        <v>10748700</v>
      </c>
      <c r="O1575">
        <v>77682</v>
      </c>
      <c r="P1575">
        <v>-1.1993640699523E-2</v>
      </c>
      <c r="Q1575">
        <v>-1.2066144716039401E-2</v>
      </c>
      <c r="R1575" s="8">
        <v>10.673254966735801</v>
      </c>
      <c r="S1575" s="8">
        <v>0.1021277153083</v>
      </c>
      <c r="T1575" s="9">
        <v>9.7242598124684707E-2</v>
      </c>
      <c r="U1575" s="12">
        <v>1.6136999999999999E-2</v>
      </c>
      <c r="V1575" s="16">
        <v>5.0495999999999999</v>
      </c>
      <c r="W1575" s="17">
        <f t="shared" si="24"/>
        <v>2.0719209233692526E-2</v>
      </c>
    </row>
    <row r="1576" spans="1:23" x14ac:dyDescent="0.2">
      <c r="A1576" s="14">
        <v>43853</v>
      </c>
      <c r="B1576" s="3">
        <v>899663863411836</v>
      </c>
      <c r="C1576" s="3">
        <f>[1]!nefin_factors__1[[#This Row],[Rm_minus_Rf]]/B1575-1</f>
        <v>-4.1932921197580852E-2</v>
      </c>
      <c r="D1576" s="3">
        <v>-249509274025174</v>
      </c>
      <c r="E1576" s="3">
        <f>[1]!nefin_factors__1[[#This Row],[SMB]]/D1575-1</f>
        <v>0.4973584027989324</v>
      </c>
      <c r="F1576" s="3">
        <v>894681700641839</v>
      </c>
      <c r="G1576" s="3">
        <f>[1]!nefin_factors__1[[#This Row],[HML]]/F1575-1</f>
        <v>0.20843687555595491</v>
      </c>
      <c r="H1576" s="3">
        <v>167462626252002</v>
      </c>
      <c r="I1576" s="4">
        <f>[1]!nefin_factors__1[[#This Row],[Risk_Free]]/H1575-1</f>
        <v>2.2773878862329955E-3</v>
      </c>
      <c r="J1576">
        <v>77682</v>
      </c>
      <c r="K1576">
        <v>78836</v>
      </c>
      <c r="L1576">
        <v>76405</v>
      </c>
      <c r="M1576">
        <v>78836</v>
      </c>
      <c r="N1576">
        <v>7651300</v>
      </c>
      <c r="O1576">
        <v>78836</v>
      </c>
      <c r="P1576">
        <v>1.48554362658015E-2</v>
      </c>
      <c r="Q1576">
        <v>1.4746175025682699E-2</v>
      </c>
      <c r="R1576" s="8">
        <v>10.796882629394499</v>
      </c>
      <c r="S1576" s="8">
        <v>1.1582939135623501E-2</v>
      </c>
      <c r="T1576" s="9">
        <v>1.15163704437187E-2</v>
      </c>
      <c r="U1576" s="12">
        <v>1.6136999999999999E-2</v>
      </c>
      <c r="V1576" s="16">
        <v>5.1106999999999996</v>
      </c>
      <c r="W1576" s="17">
        <f t="shared" si="24"/>
        <v>1.2099968314321918E-2</v>
      </c>
    </row>
    <row r="1577" spans="1:23" x14ac:dyDescent="0.2">
      <c r="A1577" s="15">
        <v>43854</v>
      </c>
      <c r="B1577" s="5">
        <v>-845783954116057</v>
      </c>
      <c r="C1577" s="5">
        <f>[1]!nefin_factors__1[[#This Row],[Rm_minus_Rf]]/B1576-1</f>
        <v>-1.940111066491603</v>
      </c>
      <c r="D1577" s="5">
        <v>561454211115966</v>
      </c>
      <c r="E1577" s="5">
        <f>[1]!nefin_factors__1[[#This Row],[SMB]]/D1576-1</f>
        <v>-3.2502338372373227</v>
      </c>
      <c r="F1577" s="5">
        <v>-107016042561869</v>
      </c>
      <c r="G1577" s="5">
        <f>[1]!nefin_factors__1[[#This Row],[HML]]/F1576-1</f>
        <v>-1.1196135368423166</v>
      </c>
      <c r="H1577" s="5">
        <v>167462626252002</v>
      </c>
      <c r="I1577" s="6">
        <f>[1]!nefin_factors__1[[#This Row],[Risk_Free]]/H1576-1</f>
        <v>0</v>
      </c>
      <c r="J1577">
        <v>78848</v>
      </c>
      <c r="K1577">
        <v>81668</v>
      </c>
      <c r="L1577">
        <v>78848</v>
      </c>
      <c r="M1577">
        <v>79918</v>
      </c>
      <c r="N1577">
        <v>8593600</v>
      </c>
      <c r="O1577">
        <v>79918</v>
      </c>
      <c r="P1577">
        <v>1.37246943020954E-2</v>
      </c>
      <c r="Q1577">
        <v>1.36313636718939E-2</v>
      </c>
      <c r="R1577" s="8">
        <v>11.769427299499499</v>
      </c>
      <c r="S1577" s="8">
        <v>9.0076432567417694E-2</v>
      </c>
      <c r="T1577" s="9">
        <v>8.6247815404130498E-2</v>
      </c>
      <c r="U1577" s="12">
        <v>1.4227E-2</v>
      </c>
      <c r="V1577" s="16">
        <v>5.1444000000000001</v>
      </c>
      <c r="W1577" s="17">
        <f t="shared" si="24"/>
        <v>6.5940086485218874E-3</v>
      </c>
    </row>
    <row r="1578" spans="1:23" x14ac:dyDescent="0.2">
      <c r="A1578" s="14">
        <v>43857</v>
      </c>
      <c r="B1578" s="3">
        <v>-310278324541024</v>
      </c>
      <c r="C1578" s="3">
        <f>[1]!nefin_factors__1[[#This Row],[Rm_minus_Rf]]/B1577-1</f>
        <v>-0.63314706665805565</v>
      </c>
      <c r="D1578" s="3">
        <v>-971854445563746</v>
      </c>
      <c r="E1578" s="3">
        <f>[1]!nefin_factors__1[[#This Row],[SMB]]/D1577-1</f>
        <v>-2.7309594020713712</v>
      </c>
      <c r="F1578" s="3">
        <v>-152677646866683</v>
      </c>
      <c r="G1578" s="3">
        <f>[1]!nefin_factors__1[[#This Row],[HML]]/F1577-1</f>
        <v>0.42667999312734572</v>
      </c>
      <c r="H1578" s="3">
        <v>166320984869905</v>
      </c>
      <c r="I1578" s="4">
        <f>[1]!nefin_factors__1[[#This Row],[Risk_Free]]/H1577-1</f>
        <v>-6.8172905659500405E-3</v>
      </c>
      <c r="J1578">
        <v>79911</v>
      </c>
      <c r="K1578">
        <v>80035</v>
      </c>
      <c r="L1578">
        <v>77546</v>
      </c>
      <c r="M1578">
        <v>78831</v>
      </c>
      <c r="N1578">
        <v>9758400</v>
      </c>
      <c r="O1578">
        <v>78831</v>
      </c>
      <c r="P1578">
        <v>-1.36014414775144E-2</v>
      </c>
      <c r="Q1578">
        <v>-1.3694788484970501E-2</v>
      </c>
      <c r="R1578" s="8">
        <v>11.9507493972778</v>
      </c>
      <c r="S1578" s="8">
        <v>1.54061954897355E-2</v>
      </c>
      <c r="T1578" s="9">
        <v>1.52887250387742E-2</v>
      </c>
      <c r="U1578" s="12">
        <v>1.4227E-2</v>
      </c>
      <c r="V1578" s="16">
        <v>5.0247999999999999</v>
      </c>
      <c r="W1578" s="17">
        <f t="shared" si="24"/>
        <v>-2.3248580981261258E-2</v>
      </c>
    </row>
    <row r="1579" spans="1:23" x14ac:dyDescent="0.2">
      <c r="A1579" s="15">
        <v>43858</v>
      </c>
      <c r="B1579" s="5">
        <v>167070231149272</v>
      </c>
      <c r="C1579" s="5">
        <f>[1]!nefin_factors__1[[#This Row],[Rm_minus_Rf]]/B1578-1</f>
        <v>-1.5384527952328249</v>
      </c>
      <c r="D1579" s="5">
        <v>-118241481098573</v>
      </c>
      <c r="E1579" s="5">
        <f>[1]!nefin_factors__1[[#This Row],[SMB]]/D1578-1</f>
        <v>-0.87833416656340513</v>
      </c>
      <c r="F1579" s="5">
        <v>-467513860309501</v>
      </c>
      <c r="G1579" s="5">
        <f>[1]!nefin_factors__1[[#This Row],[HML]]/F1578-1</f>
        <v>2.0620976279371837</v>
      </c>
      <c r="H1579" s="5">
        <v>165940365045358</v>
      </c>
      <c r="I1579" s="6">
        <f>[1]!nefin_factors__1[[#This Row],[Risk_Free]]/H1578-1</f>
        <v>-2.2884654323368503E-3</v>
      </c>
      <c r="J1579">
        <v>78837</v>
      </c>
      <c r="K1579">
        <v>80167</v>
      </c>
      <c r="L1579">
        <v>77452</v>
      </c>
      <c r="M1579">
        <v>77812</v>
      </c>
      <c r="N1579">
        <v>9028400</v>
      </c>
      <c r="O1579">
        <v>77812</v>
      </c>
      <c r="P1579">
        <v>-1.29263868275171E-2</v>
      </c>
      <c r="Q1579">
        <v>-1.3010659581600701E-2</v>
      </c>
      <c r="R1579" s="8">
        <v>12.0331678390503</v>
      </c>
      <c r="S1579" s="8">
        <v>6.8965082466907503E-3</v>
      </c>
      <c r="T1579" s="9">
        <v>6.8728361081046496E-3</v>
      </c>
      <c r="U1579" s="12">
        <v>1.4227E-2</v>
      </c>
      <c r="V1579" s="16">
        <v>5.0804999999999998</v>
      </c>
      <c r="W1579" s="17">
        <f t="shared" si="24"/>
        <v>1.1085018309186401E-2</v>
      </c>
    </row>
    <row r="1580" spans="1:23" x14ac:dyDescent="0.2">
      <c r="A1580" s="14">
        <v>43859</v>
      </c>
      <c r="B1580" s="3">
        <v>-816398491970034</v>
      </c>
      <c r="C1580" s="3">
        <f>[1]!nefin_factors__1[[#This Row],[Rm_minus_Rf]]/B1579-1</f>
        <v>-5.8865587026129607</v>
      </c>
      <c r="D1580" s="3">
        <v>-113322156061226</v>
      </c>
      <c r="E1580" s="3">
        <f>[1]!nefin_factors__1[[#This Row],[SMB]]/D1579-1</f>
        <v>-4.1604054614691077E-2</v>
      </c>
      <c r="F1580" s="3">
        <v>259718479741448</v>
      </c>
      <c r="G1580" s="3">
        <f>[1]!nefin_factors__1[[#This Row],[HML]]/F1579-1</f>
        <v>-1.5555310800186986</v>
      </c>
      <c r="H1580" s="3">
        <v>165559708860785</v>
      </c>
      <c r="I1580" s="4">
        <f>[1]!nefin_factors__1[[#This Row],[Risk_Free]]/H1579-1</f>
        <v>-2.2939336337421956E-3</v>
      </c>
      <c r="J1580">
        <v>77817</v>
      </c>
      <c r="K1580">
        <v>79846</v>
      </c>
      <c r="L1580">
        <v>77754</v>
      </c>
      <c r="M1580">
        <v>78990</v>
      </c>
      <c r="N1580">
        <v>8317800</v>
      </c>
      <c r="O1580">
        <v>78990</v>
      </c>
      <c r="P1580">
        <v>1.51390531023492E-2</v>
      </c>
      <c r="Q1580">
        <v>1.50256012407571E-2</v>
      </c>
      <c r="R1580" s="8">
        <v>12.0908613204956</v>
      </c>
      <c r="S1580" s="8">
        <v>4.7945380814919903E-3</v>
      </c>
      <c r="T1580" s="9">
        <v>4.7830808904824103E-3</v>
      </c>
      <c r="U1580" s="12">
        <v>1.4227E-2</v>
      </c>
      <c r="V1580" s="16">
        <v>5.0712999999999999</v>
      </c>
      <c r="W1580" s="17">
        <f t="shared" si="24"/>
        <v>-1.8108453892333731E-3</v>
      </c>
    </row>
    <row r="1581" spans="1:23" x14ac:dyDescent="0.2">
      <c r="A1581" s="15">
        <v>43860</v>
      </c>
      <c r="B1581" s="5">
        <v>-229856044330536</v>
      </c>
      <c r="C1581" s="5">
        <f>[1]!nefin_factors__1[[#This Row],[Rm_minus_Rf]]/B1580-1</f>
        <v>-0.71845116497474759</v>
      </c>
      <c r="D1581" s="5">
        <v>-158845191617371</v>
      </c>
      <c r="E1581" s="5">
        <f>[1]!nefin_factors__1[[#This Row],[SMB]]/D1580-1</f>
        <v>0.40171346132480656</v>
      </c>
      <c r="F1581" s="5">
        <v>-448084018538805</v>
      </c>
      <c r="G1581" s="5">
        <f>[1]!nefin_factors__1[[#This Row],[HML]]/F1580-1</f>
        <v>-2.7252681402758729</v>
      </c>
      <c r="H1581" s="5">
        <v>165559708860785</v>
      </c>
      <c r="I1581" s="6">
        <f>[1]!nefin_factors__1[[#This Row],[Risk_Free]]/H1580-1</f>
        <v>0</v>
      </c>
      <c r="J1581">
        <v>78989</v>
      </c>
      <c r="K1581">
        <v>80106</v>
      </c>
      <c r="L1581">
        <v>76943</v>
      </c>
      <c r="M1581">
        <v>78973</v>
      </c>
      <c r="N1581">
        <v>8874700</v>
      </c>
      <c r="O1581">
        <v>78973</v>
      </c>
      <c r="P1581">
        <v>-2.1521711609062699E-4</v>
      </c>
      <c r="Q1581">
        <v>-2.1524027861752999E-4</v>
      </c>
      <c r="R1581" s="8">
        <v>12.000200271606399</v>
      </c>
      <c r="S1581" s="8">
        <v>-7.4983118643068298E-3</v>
      </c>
      <c r="T1581" s="9">
        <v>-7.5265655298520197E-3</v>
      </c>
      <c r="U1581" s="12">
        <v>1.4227E-2</v>
      </c>
      <c r="V1581" s="16">
        <v>5.0705999999999998</v>
      </c>
      <c r="W1581" s="17">
        <f t="shared" si="24"/>
        <v>-1.3803166840853365E-4</v>
      </c>
    </row>
    <row r="1582" spans="1:23" x14ac:dyDescent="0.2">
      <c r="A1582" s="14">
        <v>43861</v>
      </c>
      <c r="B1582" s="3">
        <v>-16618787030705</v>
      </c>
      <c r="C1582" s="3">
        <f>[1]!nefin_factors__1[[#This Row],[Rm_minus_Rf]]/B1581-1</f>
        <v>-0.92769915153152571</v>
      </c>
      <c r="D1582" s="3">
        <v>-757235197008109</v>
      </c>
      <c r="E1582" s="3">
        <f>[1]!nefin_factors__1[[#This Row],[SMB]]/D1581-1</f>
        <v>3.7671269699629937</v>
      </c>
      <c r="F1582" s="3">
        <v>-414359179726545</v>
      </c>
      <c r="G1582" s="3">
        <f>[1]!nefin_factors__1[[#This Row],[HML]]/F1581-1</f>
        <v>-7.5264542846754878E-2</v>
      </c>
      <c r="H1582" s="3">
        <v>165559708860785</v>
      </c>
      <c r="I1582" s="4">
        <f>[1]!nefin_factors__1[[#This Row],[Risk_Free]]/H1581-1</f>
        <v>0</v>
      </c>
      <c r="J1582">
        <v>78973</v>
      </c>
      <c r="K1582">
        <v>81184</v>
      </c>
      <c r="L1582">
        <v>78973</v>
      </c>
      <c r="M1582">
        <v>80687</v>
      </c>
      <c r="N1582">
        <v>9848900</v>
      </c>
      <c r="O1582">
        <v>80687</v>
      </c>
      <c r="P1582">
        <v>2.17036202246337E-2</v>
      </c>
      <c r="Q1582">
        <v>2.1471449943243098E-2</v>
      </c>
      <c r="R1582" s="8">
        <v>12.239214897155801</v>
      </c>
      <c r="S1582" s="8">
        <v>1.99175530524143E-2</v>
      </c>
      <c r="T1582" s="9">
        <v>1.97217936884613E-2</v>
      </c>
      <c r="U1582" s="12">
        <v>1.4227E-2</v>
      </c>
      <c r="V1582" s="16">
        <v>5.0010000000000003</v>
      </c>
      <c r="W1582" s="17">
        <f t="shared" si="24"/>
        <v>-1.3726186250147765E-2</v>
      </c>
    </row>
    <row r="1583" spans="1:23" x14ac:dyDescent="0.2">
      <c r="A1583" s="15">
        <v>43864</v>
      </c>
      <c r="B1583" s="5">
        <v>800145165526154</v>
      </c>
      <c r="C1583" s="5">
        <f>[1]!nefin_factors__1[[#This Row],[Rm_minus_Rf]]/B1582-1</f>
        <v>-49.147025655229804</v>
      </c>
      <c r="D1583" s="5">
        <v>248113400126391</v>
      </c>
      <c r="E1583" s="5">
        <f>[1]!nefin_factors__1[[#This Row],[SMB]]/D1582-1</f>
        <v>-1.3276569830703921</v>
      </c>
      <c r="F1583" s="5">
        <v>400076923659108</v>
      </c>
      <c r="G1583" s="5">
        <f>[1]!nefin_factors__1[[#This Row],[HML]]/F1582-1</f>
        <v>-1.9655317010790916</v>
      </c>
      <c r="H1583" s="5">
        <v>164417522076077</v>
      </c>
      <c r="I1583" s="6">
        <f>[1]!nefin_factors__1[[#This Row],[Risk_Free]]/H1582-1</f>
        <v>-6.8989417326678071E-3</v>
      </c>
      <c r="J1583">
        <v>80690</v>
      </c>
      <c r="K1583">
        <v>81934</v>
      </c>
      <c r="L1583">
        <v>78622</v>
      </c>
      <c r="M1583">
        <v>79673</v>
      </c>
      <c r="N1583">
        <v>10823500</v>
      </c>
      <c r="O1583">
        <v>79673</v>
      </c>
      <c r="P1583">
        <v>-1.25670801987928E-2</v>
      </c>
      <c r="Q1583">
        <v>-1.2646713829393801E-2</v>
      </c>
      <c r="R1583" s="8">
        <v>11.472719192504901</v>
      </c>
      <c r="S1583" s="8">
        <v>-6.2626215087456596E-2</v>
      </c>
      <c r="T1583" s="9">
        <v>-6.4673159627546301E-2</v>
      </c>
      <c r="U1583" s="12">
        <v>1.4227E-2</v>
      </c>
      <c r="V1583" s="16">
        <v>5.1109</v>
      </c>
      <c r="W1583" s="17">
        <f t="shared" si="24"/>
        <v>2.1975604879024058E-2</v>
      </c>
    </row>
    <row r="1584" spans="1:23" x14ac:dyDescent="0.2">
      <c r="A1584" s="14">
        <v>43865</v>
      </c>
      <c r="B1584" s="3">
        <v>698315281724168</v>
      </c>
      <c r="C1584" s="3">
        <f>[1]!nefin_factors__1[[#This Row],[Rm_minus_Rf]]/B1583-1</f>
        <v>-0.12726426177308137</v>
      </c>
      <c r="D1584" s="3">
        <v>-433337652312796</v>
      </c>
      <c r="E1584" s="3">
        <f>[1]!nefin_factors__1[[#This Row],[SMB]]/D1583-1</f>
        <v>-2.7465306270924916</v>
      </c>
      <c r="F1584" s="3">
        <v>921003604341123</v>
      </c>
      <c r="G1584" s="3">
        <f>[1]!nefin_factors__1[[#This Row],[HML]]/F1583-1</f>
        <v>1.3020663024440746</v>
      </c>
      <c r="H1584" s="3">
        <v>163275007798891</v>
      </c>
      <c r="I1584" s="4">
        <f>[1]!nefin_factors__1[[#This Row],[Risk_Free]]/H1583-1</f>
        <v>-6.9488596030375938E-3</v>
      </c>
      <c r="J1584">
        <v>79667</v>
      </c>
      <c r="K1584">
        <v>79667</v>
      </c>
      <c r="L1584">
        <v>72041</v>
      </c>
      <c r="M1584">
        <v>75331</v>
      </c>
      <c r="N1584">
        <v>16529200</v>
      </c>
      <c r="O1584">
        <v>75331</v>
      </c>
      <c r="P1584">
        <v>-5.4497759592333703E-2</v>
      </c>
      <c r="Q1584">
        <v>-5.6039021338398103E-2</v>
      </c>
      <c r="R1584" s="8">
        <v>9.8820333480834996</v>
      </c>
      <c r="S1584" s="8">
        <v>-0.13864941847967299</v>
      </c>
      <c r="T1584" s="9">
        <v>-0.14925367796335201</v>
      </c>
      <c r="U1584" s="12">
        <v>1.4227E-2</v>
      </c>
      <c r="V1584" s="16">
        <v>5.1593999999999998</v>
      </c>
      <c r="W1584" s="17">
        <f t="shared" si="24"/>
        <v>9.4895223933162409E-3</v>
      </c>
    </row>
    <row r="1585" spans="1:23" x14ac:dyDescent="0.2">
      <c r="A1585" s="15">
        <v>43866</v>
      </c>
      <c r="B1585" s="5">
        <v>295826039086913</v>
      </c>
      <c r="C1585" s="5">
        <f>[1]!nefin_factors__1[[#This Row],[Rm_minus_Rf]]/B1584-1</f>
        <v>-0.57637180965522217</v>
      </c>
      <c r="D1585" s="5">
        <v>-259797700340925</v>
      </c>
      <c r="E1585" s="5">
        <f>[1]!nefin_factors__1[[#This Row],[SMB]]/D1584-1</f>
        <v>-0.40047282077996005</v>
      </c>
      <c r="F1585" s="5">
        <v>313559737777</v>
      </c>
      <c r="G1585" s="5">
        <f>[1]!nefin_factors__1[[#This Row],[HML]]/F1584-1</f>
        <v>-0.99965954559102799</v>
      </c>
      <c r="H1585" s="5">
        <v>16289409689807</v>
      </c>
      <c r="I1585" s="6">
        <f>[1]!nefin_factors__1[[#This Row],[Risk_Free]]/H1584-1</f>
        <v>-0.90023329406377384</v>
      </c>
      <c r="J1585">
        <v>75334</v>
      </c>
      <c r="K1585">
        <v>78563</v>
      </c>
      <c r="L1585">
        <v>75327</v>
      </c>
      <c r="M1585">
        <v>78239</v>
      </c>
      <c r="N1585">
        <v>10656900</v>
      </c>
      <c r="O1585">
        <v>78239</v>
      </c>
      <c r="P1585">
        <v>3.8602965578579798E-2</v>
      </c>
      <c r="Q1585">
        <v>3.78765077856262E-2</v>
      </c>
      <c r="R1585" s="8">
        <v>10.186983108520501</v>
      </c>
      <c r="S1585" s="8">
        <v>3.0859009446285099E-2</v>
      </c>
      <c r="T1585" s="9">
        <v>3.0392444419001199E-2</v>
      </c>
      <c r="U1585" s="12">
        <v>1.4227E-2</v>
      </c>
      <c r="V1585" s="16">
        <v>5.1986999999999997</v>
      </c>
      <c r="W1585" s="17">
        <f t="shared" si="24"/>
        <v>7.6171647866030145E-3</v>
      </c>
    </row>
    <row r="1586" spans="1:23" x14ac:dyDescent="0.2">
      <c r="A1586" s="14">
        <v>43867</v>
      </c>
      <c r="B1586" s="3">
        <v>-810685344206422</v>
      </c>
      <c r="C1586" s="3">
        <f>[1]!nefin_factors__1[[#This Row],[Rm_minus_Rf]]/B1585-1</f>
        <v>-3.7404123947596259</v>
      </c>
      <c r="D1586" s="3">
        <v>-199962862353584</v>
      </c>
      <c r="E1586" s="3">
        <f>[1]!nefin_factors__1[[#This Row],[SMB]]/D1585-1</f>
        <v>-0.23031319333782196</v>
      </c>
      <c r="F1586" s="3">
        <v>-648571380187307</v>
      </c>
      <c r="G1586" s="3">
        <f>[1]!nefin_factors__1[[#This Row],[HML]]/F1585-1</f>
        <v>-2069.4140916349515</v>
      </c>
      <c r="H1586" s="3">
        <v>161370089065249</v>
      </c>
      <c r="I1586" s="4">
        <f>[1]!nefin_factors__1[[#This Row],[Risk_Free]]/H1585-1</f>
        <v>8.9064418010325674</v>
      </c>
      <c r="J1586">
        <v>78243</v>
      </c>
      <c r="K1586">
        <v>81427</v>
      </c>
      <c r="L1586">
        <v>78243</v>
      </c>
      <c r="M1586">
        <v>81312</v>
      </c>
      <c r="N1586">
        <v>12939000</v>
      </c>
      <c r="O1586">
        <v>81312</v>
      </c>
      <c r="P1586">
        <v>3.9277086874832202E-2</v>
      </c>
      <c r="Q1586">
        <v>3.8525362678965801E-2</v>
      </c>
      <c r="R1586" s="8">
        <v>11.6622819900513</v>
      </c>
      <c r="S1586" s="8">
        <v>0.144821962087755</v>
      </c>
      <c r="T1586" s="9">
        <v>0.135249133289712</v>
      </c>
      <c r="U1586" s="12">
        <v>1.4227E-2</v>
      </c>
      <c r="V1586" s="16">
        <v>5.2404000000000002</v>
      </c>
      <c r="W1586" s="17">
        <f t="shared" si="24"/>
        <v>8.0212360782503378E-3</v>
      </c>
    </row>
    <row r="1587" spans="1:23" x14ac:dyDescent="0.2">
      <c r="A1587" s="15">
        <v>43868</v>
      </c>
      <c r="B1587" s="5">
        <v>-129085727022435</v>
      </c>
      <c r="C1587" s="5">
        <f>[1]!nefin_factors__1[[#This Row],[Rm_minus_Rf]]/B1586-1</f>
        <v>-0.84076963035664998</v>
      </c>
      <c r="D1587" s="5">
        <v>-18156038465978</v>
      </c>
      <c r="E1587" s="5">
        <f>[1]!nefin_factors__1[[#This Row],[SMB]]/D1586-1</f>
        <v>-0.90920294772599519</v>
      </c>
      <c r="F1587" s="5">
        <v>-78547862392941</v>
      </c>
      <c r="G1587" s="5">
        <f>[1]!nefin_factors__1[[#This Row],[HML]]/F1586-1</f>
        <v>-0.87889095203328826</v>
      </c>
      <c r="H1587" s="5">
        <v>161370089065249</v>
      </c>
      <c r="I1587" s="6">
        <f>[1]!nefin_factors__1[[#This Row],[Risk_Free]]/H1586-1</f>
        <v>0</v>
      </c>
      <c r="J1587">
        <v>81313</v>
      </c>
      <c r="K1587">
        <v>83598</v>
      </c>
      <c r="L1587">
        <v>81313</v>
      </c>
      <c r="M1587">
        <v>83171</v>
      </c>
      <c r="N1587">
        <v>11719700</v>
      </c>
      <c r="O1587">
        <v>83171</v>
      </c>
      <c r="P1587">
        <v>2.2862554112554199E-2</v>
      </c>
      <c r="Q1587">
        <v>2.2605122236749899E-2</v>
      </c>
      <c r="R1587" s="8">
        <v>11.695249557495099</v>
      </c>
      <c r="S1587" s="8">
        <v>2.82685391006421E-3</v>
      </c>
      <c r="T1587" s="9">
        <v>2.8228658725149899E-3</v>
      </c>
      <c r="U1587" s="12">
        <v>1.4227E-2</v>
      </c>
      <c r="V1587" s="16">
        <v>5.2651000000000003</v>
      </c>
      <c r="W1587" s="17">
        <f t="shared" si="24"/>
        <v>4.7133806579651161E-3</v>
      </c>
    </row>
    <row r="1588" spans="1:23" x14ac:dyDescent="0.2">
      <c r="A1588" s="14">
        <v>43871</v>
      </c>
      <c r="B1588" s="3">
        <v>-11500390300353</v>
      </c>
      <c r="C1588" s="3">
        <f>[1]!nefin_factors__1[[#This Row],[Rm_minus_Rf]]/B1587-1</f>
        <v>-0.91090889313925283</v>
      </c>
      <c r="D1588" s="3">
        <v>-13832839178725</v>
      </c>
      <c r="E1588" s="3">
        <f>[1]!nefin_factors__1[[#This Row],[SMB]]/D1587-1</f>
        <v>-0.23811357832018809</v>
      </c>
      <c r="F1588" s="3">
        <v>-551728457508725</v>
      </c>
      <c r="G1588" s="3">
        <f>[1]!nefin_factors__1[[#This Row],[HML]]/F1587-1</f>
        <v>6.0241053123593105</v>
      </c>
      <c r="H1588" s="3">
        <v>161370089065249</v>
      </c>
      <c r="I1588" s="4">
        <f>[1]!nefin_factors__1[[#This Row],[Risk_Free]]/H1587-1</f>
        <v>0</v>
      </c>
      <c r="J1588">
        <v>83169</v>
      </c>
      <c r="K1588">
        <v>83169</v>
      </c>
      <c r="L1588">
        <v>80168</v>
      </c>
      <c r="M1588">
        <v>80506</v>
      </c>
      <c r="N1588">
        <v>11804600</v>
      </c>
      <c r="O1588">
        <v>80506</v>
      </c>
      <c r="P1588">
        <v>-3.20424186314942E-2</v>
      </c>
      <c r="Q1588">
        <v>-3.2567013566027599E-2</v>
      </c>
      <c r="R1588" s="8">
        <v>11.373815536499</v>
      </c>
      <c r="S1588" s="8">
        <v>-2.74841523830586E-2</v>
      </c>
      <c r="T1588" s="9">
        <v>-2.7868907872241701E-2</v>
      </c>
      <c r="U1588" s="12">
        <v>1.4227E-2</v>
      </c>
      <c r="V1588" s="16">
        <v>5.2996999999999996</v>
      </c>
      <c r="W1588" s="17">
        <f t="shared" si="24"/>
        <v>6.5715750887920255E-3</v>
      </c>
    </row>
    <row r="1589" spans="1:23" x14ac:dyDescent="0.2">
      <c r="A1589" s="15">
        <v>43872</v>
      </c>
      <c r="B1589" s="5">
        <v>250359932800897</v>
      </c>
      <c r="C1589" s="5">
        <f>[1]!nefin_factors__1[[#This Row],[Rm_minus_Rf]]/B1588-1</f>
        <v>-22.769690094188569</v>
      </c>
      <c r="D1589" s="5">
        <v>-335259477306169</v>
      </c>
      <c r="E1589" s="5">
        <f>[1]!nefin_factors__1[[#This Row],[SMB]]/D1588-1</f>
        <v>23.236490641906713</v>
      </c>
      <c r="F1589" s="5">
        <v>517359897475024</v>
      </c>
      <c r="G1589" s="5">
        <f>[1]!nefin_factors__1[[#This Row],[HML]]/F1588-1</f>
        <v>-1.9377074726417252</v>
      </c>
      <c r="H1589" s="5">
        <v>161370089065249</v>
      </c>
      <c r="I1589" s="6">
        <f>[1]!nefin_factors__1[[#This Row],[Risk_Free]]/H1588-1</f>
        <v>0</v>
      </c>
      <c r="J1589">
        <v>80501</v>
      </c>
      <c r="K1589">
        <v>80502</v>
      </c>
      <c r="L1589">
        <v>77640</v>
      </c>
      <c r="M1589">
        <v>78876</v>
      </c>
      <c r="N1589">
        <v>8594200</v>
      </c>
      <c r="O1589">
        <v>78876</v>
      </c>
      <c r="P1589">
        <v>-2.02469381164136E-2</v>
      </c>
      <c r="Q1589">
        <v>-2.0454716739036299E-2</v>
      </c>
      <c r="R1589" s="8">
        <v>10.640287399291999</v>
      </c>
      <c r="S1589" s="8">
        <v>-6.4492705623113905E-2</v>
      </c>
      <c r="T1589" s="9">
        <v>-6.6666335995466799E-2</v>
      </c>
      <c r="U1589" s="12">
        <v>1.4227E-2</v>
      </c>
      <c r="V1589" s="16">
        <v>5.2470999999999997</v>
      </c>
      <c r="W1589" s="17">
        <f t="shared" si="24"/>
        <v>-9.9250900994395375E-3</v>
      </c>
    </row>
    <row r="1590" spans="1:23" x14ac:dyDescent="0.2">
      <c r="A1590" s="14">
        <v>43873</v>
      </c>
      <c r="B1590" s="3">
        <v>107555827902856</v>
      </c>
      <c r="C1590" s="3">
        <f>[1]!nefin_factors__1[[#This Row],[Rm_minus_Rf]]/B1589-1</f>
        <v>-0.57039520381884912</v>
      </c>
      <c r="D1590" s="3">
        <v>-385926548683464</v>
      </c>
      <c r="E1590" s="3">
        <f>[1]!nefin_factors__1[[#This Row],[SMB]]/D1589-1</f>
        <v>0.15112793166775806</v>
      </c>
      <c r="F1590" s="3">
        <v>-155700997843023</v>
      </c>
      <c r="G1590" s="3">
        <f>[1]!nefin_factors__1[[#This Row],[HML]]/F1589-1</f>
        <v>-1.3009529702687086</v>
      </c>
      <c r="H1590" s="3">
        <v>161370089065249</v>
      </c>
      <c r="I1590" s="4">
        <f>[1]!nefin_factors__1[[#This Row],[Risk_Free]]/H1589-1</f>
        <v>0</v>
      </c>
      <c r="J1590">
        <v>78887</v>
      </c>
      <c r="K1590">
        <v>81066</v>
      </c>
      <c r="L1590">
        <v>78886</v>
      </c>
      <c r="M1590">
        <v>79471</v>
      </c>
      <c r="N1590">
        <v>9154700</v>
      </c>
      <c r="O1590">
        <v>79471</v>
      </c>
      <c r="P1590">
        <v>7.5434859779908202E-3</v>
      </c>
      <c r="Q1590">
        <v>7.5151761682704802E-3</v>
      </c>
      <c r="R1590" s="8">
        <v>10.211709022521999</v>
      </c>
      <c r="S1590" s="8">
        <v>-4.0278834648633403E-2</v>
      </c>
      <c r="T1590" s="9">
        <v>-4.1112489468820401E-2</v>
      </c>
      <c r="U1590" s="12">
        <v>1.4227E-2</v>
      </c>
      <c r="V1590" s="16">
        <v>5.2217000000000002</v>
      </c>
      <c r="W1590" s="17">
        <f t="shared" si="24"/>
        <v>-4.8407691867887737E-3</v>
      </c>
    </row>
    <row r="1591" spans="1:23" x14ac:dyDescent="0.2">
      <c r="A1591" s="15">
        <v>43874</v>
      </c>
      <c r="B1591" s="5">
        <v>-768280531210491</v>
      </c>
      <c r="C1591" s="5">
        <f>[1]!nefin_factors__1[[#This Row],[Rm_minus_Rf]]/B1590-1</f>
        <v>-8.1430860250957195</v>
      </c>
      <c r="D1591" s="5">
        <v>274602092944286</v>
      </c>
      <c r="E1591" s="5">
        <f>[1]!nefin_factors__1[[#This Row],[SMB]]/D1590-1</f>
        <v>-1.7115397836221782</v>
      </c>
      <c r="F1591" s="5">
        <v>418262296851783</v>
      </c>
      <c r="G1591" s="5">
        <f>[1]!nefin_factors__1[[#This Row],[HML]]/F1590-1</f>
        <v>-3.6863173816873869</v>
      </c>
      <c r="H1591" s="5">
        <v>161370089065249</v>
      </c>
      <c r="I1591" s="6">
        <f>[1]!nefin_factors__1[[#This Row],[Risk_Free]]/H1590-1</f>
        <v>0</v>
      </c>
      <c r="J1591">
        <v>79473</v>
      </c>
      <c r="K1591">
        <v>79996</v>
      </c>
      <c r="L1591">
        <v>78056</v>
      </c>
      <c r="M1591">
        <v>79064</v>
      </c>
      <c r="N1591">
        <v>9775900</v>
      </c>
      <c r="O1591">
        <v>79064</v>
      </c>
      <c r="P1591">
        <v>-5.1213650262359502E-3</v>
      </c>
      <c r="Q1591">
        <v>-5.1345241638271E-3</v>
      </c>
      <c r="R1591" s="8">
        <v>9.6100502014160192</v>
      </c>
      <c r="S1591" s="8">
        <v>-5.8918523802332798E-2</v>
      </c>
      <c r="T1591" s="9">
        <v>-6.0725558450343997E-2</v>
      </c>
      <c r="U1591" s="12">
        <v>1.4227E-2</v>
      </c>
      <c r="V1591" s="16">
        <v>5.2122999999999999</v>
      </c>
      <c r="W1591" s="17">
        <f t="shared" si="24"/>
        <v>-1.8001800180018623E-3</v>
      </c>
    </row>
    <row r="1592" spans="1:23" x14ac:dyDescent="0.2">
      <c r="A1592" s="14">
        <v>43875</v>
      </c>
      <c r="B1592" s="3">
        <v>-100557825298313</v>
      </c>
      <c r="C1592" s="3">
        <f>[1]!nefin_factors__1[[#This Row],[Rm_minus_Rf]]/B1591-1</f>
        <v>-0.86911314134190587</v>
      </c>
      <c r="D1592" s="3">
        <v>7602708285.7376604</v>
      </c>
      <c r="E1592" s="3">
        <f>[1]!nefin_factors__1[[#This Row],[SMB]]/D1591-1</f>
        <v>-0.99997231372782258</v>
      </c>
      <c r="F1592" s="3">
        <v>-892231368296975</v>
      </c>
      <c r="G1592" s="3">
        <f>[1]!nefin_factors__1[[#This Row],[HML]]/F1591-1</f>
        <v>-3.1331862207344723</v>
      </c>
      <c r="H1592" s="3">
        <v>161370089065249</v>
      </c>
      <c r="I1592" s="4">
        <f>[1]!nefin_factors__1[[#This Row],[Risk_Free]]/H1591-1</f>
        <v>0</v>
      </c>
      <c r="J1592">
        <v>79072</v>
      </c>
      <c r="K1592">
        <v>80061</v>
      </c>
      <c r="L1592">
        <v>78061</v>
      </c>
      <c r="M1592">
        <v>78119</v>
      </c>
      <c r="N1592">
        <v>13808900</v>
      </c>
      <c r="O1592">
        <v>78119</v>
      </c>
      <c r="P1592">
        <v>-1.1952342406152E-2</v>
      </c>
      <c r="Q1592">
        <v>-1.2024345966588201E-2</v>
      </c>
      <c r="R1592" s="8">
        <v>8.9836664199829102</v>
      </c>
      <c r="S1592" s="8">
        <v>-6.5180073808647696E-2</v>
      </c>
      <c r="T1592" s="9">
        <v>-6.7401360550444406E-2</v>
      </c>
      <c r="U1592" s="12">
        <v>1.4227E-2</v>
      </c>
      <c r="V1592" s="16">
        <v>5.0778999999999996</v>
      </c>
      <c r="W1592" s="17">
        <f t="shared" si="24"/>
        <v>-2.5785162020605212E-2</v>
      </c>
    </row>
    <row r="1593" spans="1:23" x14ac:dyDescent="0.2">
      <c r="A1593" s="15">
        <v>43878</v>
      </c>
      <c r="B1593" s="5">
        <v>773235348997015</v>
      </c>
      <c r="C1593" s="5">
        <f>[1]!nefin_factors__1[[#This Row],[Rm_minus_Rf]]/B1592-1</f>
        <v>-8.6894597382466188</v>
      </c>
      <c r="D1593" s="5">
        <v>-112159806981673</v>
      </c>
      <c r="E1593" s="5">
        <f>[1]!nefin_factors__1[[#This Row],[SMB]]/D1592-1</f>
        <v>-14753.612196377409</v>
      </c>
      <c r="F1593" s="5">
        <v>-869013682902923</v>
      </c>
      <c r="G1593" s="5">
        <f>[1]!nefin_factors__1[[#This Row],[HML]]/F1592-1</f>
        <v>-2.6022045647608461E-2</v>
      </c>
      <c r="H1593" s="5">
        <v>161370089065249</v>
      </c>
      <c r="I1593" s="6">
        <f>[1]!nefin_factors__1[[#This Row],[Risk_Free]]/H1592-1</f>
        <v>0</v>
      </c>
      <c r="J1593">
        <v>78152</v>
      </c>
      <c r="K1593">
        <v>80557</v>
      </c>
      <c r="L1593">
        <v>78152</v>
      </c>
      <c r="M1593">
        <v>80263</v>
      </c>
      <c r="N1593">
        <v>10734400</v>
      </c>
      <c r="O1593">
        <v>80263</v>
      </c>
      <c r="P1593">
        <v>2.7445307799638999E-2</v>
      </c>
      <c r="Q1593">
        <v>2.7075437552727299E-2</v>
      </c>
      <c r="R1593" s="8">
        <v>9.7996139526367205</v>
      </c>
      <c r="S1593" s="8">
        <v>9.0825671224707097E-2</v>
      </c>
      <c r="T1593" s="9">
        <v>8.6934906021781305E-2</v>
      </c>
      <c r="U1593" s="12">
        <v>1.4227E-2</v>
      </c>
      <c r="V1593" s="16">
        <v>5.1824000000000003</v>
      </c>
      <c r="W1593" s="17">
        <f t="shared" si="24"/>
        <v>2.0579373363004638E-2</v>
      </c>
    </row>
    <row r="1594" spans="1:23" x14ac:dyDescent="0.2">
      <c r="A1594" s="14">
        <v>43879</v>
      </c>
      <c r="B1594" s="3">
        <v>-261959857221471</v>
      </c>
      <c r="C1594" s="3">
        <f>[1]!nefin_factors__1[[#This Row],[Rm_minus_Rf]]/B1593-1</f>
        <v>-1.3387841199464903</v>
      </c>
      <c r="D1594" s="3">
        <v>120633598157239</v>
      </c>
      <c r="E1594" s="3">
        <f>[1]!nefin_factors__1[[#This Row],[SMB]]/D1593-1</f>
        <v>-2.0755510499135452</v>
      </c>
      <c r="F1594" s="3">
        <v>847405306277847</v>
      </c>
      <c r="G1594" s="3">
        <f>[1]!nefin_factors__1[[#This Row],[HML]]/F1593-1</f>
        <v>-1.9751345956338757</v>
      </c>
      <c r="H1594" s="3">
        <v>161370089065249</v>
      </c>
      <c r="I1594" s="4">
        <f>[1]!nefin_factors__1[[#This Row],[Risk_Free]]/H1593-1</f>
        <v>0</v>
      </c>
      <c r="J1594">
        <v>80263</v>
      </c>
      <c r="K1594">
        <v>80723</v>
      </c>
      <c r="L1594">
        <v>78994</v>
      </c>
      <c r="M1594">
        <v>79065</v>
      </c>
      <c r="N1594">
        <v>9781900</v>
      </c>
      <c r="O1594">
        <v>79065</v>
      </c>
      <c r="P1594">
        <v>-1.49259310018315E-2</v>
      </c>
      <c r="Q1594">
        <v>-1.5038443684741901E-2</v>
      </c>
      <c r="R1594" s="8">
        <v>9.1979551315307599</v>
      </c>
      <c r="S1594" s="8">
        <v>-6.1396175809973898E-2</v>
      </c>
      <c r="T1594" s="9">
        <v>-6.3361801274669199E-2</v>
      </c>
      <c r="U1594" s="12">
        <v>1.4227E-2</v>
      </c>
      <c r="V1594" s="16">
        <v>5.1858000000000004</v>
      </c>
      <c r="W1594" s="17">
        <f t="shared" si="24"/>
        <v>6.560666872492682E-4</v>
      </c>
    </row>
    <row r="1595" spans="1:23" x14ac:dyDescent="0.2">
      <c r="A1595" s="15">
        <v>43880</v>
      </c>
      <c r="B1595" s="5">
        <v>131755677644051</v>
      </c>
      <c r="C1595" s="5">
        <f>[1]!nefin_factors__1[[#This Row],[Rm_minus_Rf]]/B1594-1</f>
        <v>-1.5029613278978835</v>
      </c>
      <c r="D1595" s="5">
        <v>-447574232874902</v>
      </c>
      <c r="E1595" s="5">
        <f>[1]!nefin_factors__1[[#This Row],[SMB]]/D1594-1</f>
        <v>-4.710195498699413</v>
      </c>
      <c r="F1595" s="5">
        <v>28882710463973</v>
      </c>
      <c r="G1595" s="5">
        <f>[1]!nefin_factors__1[[#This Row],[HML]]/F1594-1</f>
        <v>-0.96591629737269669</v>
      </c>
      <c r="H1595" s="5">
        <v>161370089065249</v>
      </c>
      <c r="I1595" s="6">
        <f>[1]!nefin_factors__1[[#This Row],[Risk_Free]]/H1594-1</f>
        <v>0</v>
      </c>
      <c r="J1595">
        <v>79065</v>
      </c>
      <c r="K1595">
        <v>80344</v>
      </c>
      <c r="L1595">
        <v>77872</v>
      </c>
      <c r="M1595">
        <v>77872</v>
      </c>
      <c r="N1595">
        <v>10245400</v>
      </c>
      <c r="O1595">
        <v>77872</v>
      </c>
      <c r="P1595">
        <v>-1.5088850945424699E-2</v>
      </c>
      <c r="Q1595">
        <v>-1.5203845884181401E-2</v>
      </c>
      <c r="R1595" s="8">
        <v>8.8600378036499006</v>
      </c>
      <c r="S1595" s="8">
        <v>-3.6738310097042398E-2</v>
      </c>
      <c r="T1595" s="9">
        <v>-3.7430159652330597E-2</v>
      </c>
      <c r="U1595" s="12">
        <v>1.4227E-2</v>
      </c>
      <c r="V1595" s="16">
        <v>5.2579000000000002</v>
      </c>
      <c r="W1595" s="17">
        <f t="shared" si="24"/>
        <v>1.390335145975552E-2</v>
      </c>
    </row>
    <row r="1596" spans="1:23" x14ac:dyDescent="0.2">
      <c r="A1596" s="14">
        <v>43881</v>
      </c>
      <c r="B1596" s="3">
        <v>-145907171021457</v>
      </c>
      <c r="C1596" s="3">
        <f>[1]!nefin_factors__1[[#This Row],[Rm_minus_Rf]]/B1595-1</f>
        <v>-2.1074070858307712</v>
      </c>
      <c r="D1596" s="3">
        <v>791251076267484</v>
      </c>
      <c r="E1596" s="3">
        <f>[1]!nefin_factors__1[[#This Row],[SMB]]/D1595-1</f>
        <v>-2.7678655698855668</v>
      </c>
      <c r="F1596" s="3">
        <v>975926270173483</v>
      </c>
      <c r="G1596" s="3">
        <f>[1]!nefin_factors__1[[#This Row],[HML]]/F1595-1</f>
        <v>32.789289664860569</v>
      </c>
      <c r="H1596" s="3">
        <v>161370089065249</v>
      </c>
      <c r="I1596" s="4">
        <f>[1]!nefin_factors__1[[#This Row],[Risk_Free]]/H1595-1</f>
        <v>0</v>
      </c>
      <c r="J1596">
        <v>77877</v>
      </c>
      <c r="K1596">
        <v>78911</v>
      </c>
      <c r="L1596">
        <v>77152</v>
      </c>
      <c r="M1596">
        <v>77772</v>
      </c>
      <c r="N1596">
        <v>11575900</v>
      </c>
      <c r="O1596">
        <v>77772</v>
      </c>
      <c r="P1596">
        <v>-1.2841586192726699E-3</v>
      </c>
      <c r="Q1596">
        <v>-1.28498385751926E-3</v>
      </c>
      <c r="R1596" s="8">
        <v>8.8353118896484393</v>
      </c>
      <c r="S1596" s="8">
        <v>-2.7907233072165202E-3</v>
      </c>
      <c r="T1596" s="9">
        <v>-2.7946246355476999E-3</v>
      </c>
      <c r="U1596" s="12">
        <v>1.4227E-2</v>
      </c>
      <c r="V1596" s="16">
        <v>5.2377000000000002</v>
      </c>
      <c r="W1596" s="17">
        <f t="shared" si="24"/>
        <v>-3.8418379961581151E-3</v>
      </c>
    </row>
    <row r="1597" spans="1:23" x14ac:dyDescent="0.2">
      <c r="A1597" s="15">
        <v>43882</v>
      </c>
      <c r="B1597" s="5">
        <v>-583681233035322</v>
      </c>
      <c r="C1597" s="5">
        <f>[1]!nefin_factors__1[[#This Row],[Rm_minus_Rf]]/B1596-1</f>
        <v>3.0003601533024469</v>
      </c>
      <c r="D1597" s="5">
        <v>-378198839884843</v>
      </c>
      <c r="E1597" s="5">
        <f>[1]!nefin_factors__1[[#This Row],[SMB]]/D1596-1</f>
        <v>-1.4779757667678572</v>
      </c>
      <c r="F1597" s="5">
        <v>115267758639283</v>
      </c>
      <c r="G1597" s="5">
        <f>[1]!nefin_factors__1[[#This Row],[HML]]/F1596-1</f>
        <v>-0.88188886582713599</v>
      </c>
      <c r="H1597" s="5">
        <v>161370089065249</v>
      </c>
      <c r="I1597" s="6">
        <f>[1]!nefin_factors__1[[#This Row],[Risk_Free]]/H1596-1</f>
        <v>0</v>
      </c>
      <c r="J1597">
        <v>77770</v>
      </c>
      <c r="K1597">
        <v>79011</v>
      </c>
      <c r="L1597">
        <v>75697</v>
      </c>
      <c r="M1597">
        <v>79011</v>
      </c>
      <c r="N1597">
        <v>13818900</v>
      </c>
      <c r="O1597">
        <v>79011</v>
      </c>
      <c r="P1597">
        <v>1.5931183459342701E-2</v>
      </c>
      <c r="Q1597">
        <v>1.5805614046711901E-2</v>
      </c>
      <c r="R1597" s="8">
        <v>8.7446508407592791</v>
      </c>
      <c r="S1597" s="8">
        <v>-1.0261216584258799E-2</v>
      </c>
      <c r="T1597" s="9">
        <v>-1.0314225805007101E-2</v>
      </c>
      <c r="U1597" s="12">
        <v>1.4227E-2</v>
      </c>
      <c r="V1597" s="16">
        <v>5.2572999999999999</v>
      </c>
      <c r="W1597" s="17">
        <f t="shared" si="24"/>
        <v>3.7421005403133201E-3</v>
      </c>
    </row>
    <row r="1598" spans="1:23" x14ac:dyDescent="0.2">
      <c r="A1598" s="14">
        <v>43887</v>
      </c>
      <c r="B1598" s="3">
        <v>-661642382407794</v>
      </c>
      <c r="C1598" s="3">
        <f>[1]!nefin_factors__1[[#This Row],[Rm_minus_Rf]]/B1597-1</f>
        <v>0.13356802473680718</v>
      </c>
      <c r="D1598" s="3">
        <v>-116744336756285</v>
      </c>
      <c r="E1598" s="3">
        <f>[1]!nefin_factors__1[[#This Row],[SMB]]/D1597-1</f>
        <v>-0.69131492631803881</v>
      </c>
      <c r="F1598" s="3">
        <v>-21011706145924</v>
      </c>
      <c r="G1598" s="3">
        <f>[1]!nefin_factors__1[[#This Row],[HML]]/F1597-1</f>
        <v>-1.1822860650190803</v>
      </c>
      <c r="H1598" s="3">
        <v>160988996015021</v>
      </c>
      <c r="I1598" s="4">
        <f>[1]!nefin_factors__1[[#This Row],[Risk_Free]]/H1597-1</f>
        <v>-2.361608972489937E-3</v>
      </c>
      <c r="J1598">
        <v>79011</v>
      </c>
      <c r="K1598">
        <v>79538</v>
      </c>
      <c r="L1598">
        <v>77426</v>
      </c>
      <c r="M1598">
        <v>77557</v>
      </c>
      <c r="N1598">
        <v>11718200</v>
      </c>
      <c r="O1598">
        <v>77557</v>
      </c>
      <c r="P1598">
        <v>-1.8402500917593798E-2</v>
      </c>
      <c r="Q1598">
        <v>-1.8573933385740701E-2</v>
      </c>
      <c r="R1598" s="8">
        <v>8.6951999664306605</v>
      </c>
      <c r="S1598" s="8">
        <v>-5.6549855710784601E-3</v>
      </c>
      <c r="T1598" s="9">
        <v>-5.6710355388077099E-3</v>
      </c>
      <c r="U1598" s="12">
        <v>1.4227E-2</v>
      </c>
      <c r="V1598" s="16">
        <v>5.2836999999999996</v>
      </c>
      <c r="W1598" s="17">
        <f t="shared" si="24"/>
        <v>5.0215890285887355E-3</v>
      </c>
    </row>
    <row r="1599" spans="1:23" x14ac:dyDescent="0.2">
      <c r="A1599" s="15">
        <v>43888</v>
      </c>
      <c r="B1599" s="5">
        <v>-28316643978434</v>
      </c>
      <c r="C1599" s="5">
        <f>[1]!nefin_factors__1[[#This Row],[Rm_minus_Rf]]/B1598-1</f>
        <v>-0.95720249377709687</v>
      </c>
      <c r="D1599" s="5">
        <v>483608832288814</v>
      </c>
      <c r="E1599" s="5">
        <f>[1]!nefin_factors__1[[#This Row],[SMB]]/D1598-1</f>
        <v>-5.1424607456410829</v>
      </c>
      <c r="F1599" s="5">
        <v>527772284212574</v>
      </c>
      <c r="G1599" s="5">
        <f>[1]!nefin_factors__1[[#This Row],[HML]]/F1598-1</f>
        <v>-26.118011861923694</v>
      </c>
      <c r="H1599" s="5">
        <v>161370089065249</v>
      </c>
      <c r="I1599" s="6">
        <f>[1]!nefin_factors__1[[#This Row],[Risk_Free]]/H1598-1</f>
        <v>2.3671993717659934E-3</v>
      </c>
      <c r="J1599">
        <v>77576</v>
      </c>
      <c r="K1599">
        <v>81420</v>
      </c>
      <c r="L1599">
        <v>77571</v>
      </c>
      <c r="M1599">
        <v>81194</v>
      </c>
      <c r="N1599">
        <v>11533100</v>
      </c>
      <c r="O1599">
        <v>81194</v>
      </c>
      <c r="P1599">
        <v>4.6894542078729201E-2</v>
      </c>
      <c r="Q1599">
        <v>4.5828202917345497E-2</v>
      </c>
      <c r="R1599" s="8">
        <v>10.3683052062988</v>
      </c>
      <c r="S1599" s="8">
        <v>0.192417109017329</v>
      </c>
      <c r="T1599" s="9">
        <v>0.17598243110640399</v>
      </c>
      <c r="U1599" s="12">
        <v>1.4227E-2</v>
      </c>
      <c r="V1599" s="16">
        <v>5.3846999999999996</v>
      </c>
      <c r="W1599" s="17">
        <f t="shared" si="24"/>
        <v>1.9115392622593985E-2</v>
      </c>
    </row>
    <row r="1600" spans="1:23" x14ac:dyDescent="0.2">
      <c r="A1600" s="14">
        <v>43889</v>
      </c>
      <c r="B1600" s="3">
        <v>890984604378197</v>
      </c>
      <c r="C1600" s="3">
        <f>[1]!nefin_factors__1[[#This Row],[Rm_minus_Rf]]/B1599-1</f>
        <v>-32.465049497277022</v>
      </c>
      <c r="D1600" s="3">
        <v>-233412116600627</v>
      </c>
      <c r="E1600" s="3">
        <f>[1]!nefin_factors__1[[#This Row],[SMB]]/D1599-1</f>
        <v>-1.4826465130835988</v>
      </c>
      <c r="F1600" s="3">
        <v>-112023626012361</v>
      </c>
      <c r="G1600" s="3">
        <f>[1]!nefin_factors__1[[#This Row],[HML]]/F1599-1</f>
        <v>-1.2122575007505332</v>
      </c>
      <c r="H1600" s="3">
        <v>160988996015021</v>
      </c>
      <c r="I1600" s="4">
        <f>[1]!nefin_factors__1[[#This Row],[Risk_Free]]/H1599-1</f>
        <v>-2.361608972489937E-3</v>
      </c>
      <c r="J1600">
        <v>81197</v>
      </c>
      <c r="K1600">
        <v>82175</v>
      </c>
      <c r="L1600">
        <v>80647</v>
      </c>
      <c r="M1600">
        <v>80742</v>
      </c>
      <c r="N1600">
        <v>10740100</v>
      </c>
      <c r="O1600">
        <v>80742</v>
      </c>
      <c r="P1600">
        <v>-5.5669138113654303E-3</v>
      </c>
      <c r="Q1600">
        <v>-5.5824668244365497E-3</v>
      </c>
      <c r="R1600" s="8">
        <v>10.203467369079601</v>
      </c>
      <c r="S1600" s="8">
        <v>-1.5898243149622699E-2</v>
      </c>
      <c r="T1600" s="9">
        <v>-1.60259758431671E-2</v>
      </c>
      <c r="U1600" s="12">
        <v>1.4227E-2</v>
      </c>
      <c r="V1600" s="16">
        <v>5.4466999999999999</v>
      </c>
      <c r="W1600" s="17">
        <f t="shared" si="24"/>
        <v>1.1514104778353573E-2</v>
      </c>
    </row>
    <row r="1601" spans="1:23" x14ac:dyDescent="0.2">
      <c r="A1601" s="15">
        <v>43892</v>
      </c>
      <c r="B1601" s="5">
        <v>264173773657063</v>
      </c>
      <c r="C1601" s="5">
        <f>[1]!nefin_factors__1[[#This Row],[Rm_minus_Rf]]/B1600-1</f>
        <v>-0.70350354836779094</v>
      </c>
      <c r="D1601" s="5">
        <v>268094411510142</v>
      </c>
      <c r="E1601" s="5">
        <f>[1]!nefin_factors__1[[#This Row],[SMB]]/D1600-1</f>
        <v>-2.1485882370402267</v>
      </c>
      <c r="F1601" s="5">
        <v>376417717303665</v>
      </c>
      <c r="G1601" s="5">
        <f>[1]!nefin_factors__1[[#This Row],[HML]]/F1600-1</f>
        <v>-4.3601636610310219</v>
      </c>
      <c r="H1601" s="5">
        <v>159845498131084</v>
      </c>
      <c r="I1601" s="6">
        <f>[1]!nefin_factors__1[[#This Row],[Risk_Free]]/H1600-1</f>
        <v>-7.1029567997945575E-3</v>
      </c>
      <c r="J1601">
        <v>80747</v>
      </c>
      <c r="K1601">
        <v>82290</v>
      </c>
      <c r="L1601">
        <v>80740</v>
      </c>
      <c r="M1601">
        <v>81319</v>
      </c>
      <c r="N1601">
        <v>9522800</v>
      </c>
      <c r="O1601">
        <v>81319</v>
      </c>
      <c r="P1601">
        <v>7.1462188204403096E-3</v>
      </c>
      <c r="Q1601">
        <v>7.1208055991916E-3</v>
      </c>
      <c r="R1601" s="8">
        <v>10.9040279388428</v>
      </c>
      <c r="S1601" s="8">
        <v>6.8659068963767195E-2</v>
      </c>
      <c r="T1601" s="9">
        <v>6.6404655977853194E-2</v>
      </c>
      <c r="U1601" s="12">
        <v>1.4227E-2</v>
      </c>
      <c r="V1601" s="16">
        <v>5.6509999999999998</v>
      </c>
      <c r="W1601" s="17">
        <f t="shared" si="24"/>
        <v>3.7508950373620786E-2</v>
      </c>
    </row>
    <row r="1602" spans="1:23" x14ac:dyDescent="0.2">
      <c r="A1602" s="14">
        <v>43893</v>
      </c>
      <c r="B1602" s="3">
        <v>-838166976112834</v>
      </c>
      <c r="C1602" s="3">
        <f>[1]!nefin_factors__1[[#This Row],[Rm_minus_Rf]]/B1601-1</f>
        <v>-4.1727864750151156</v>
      </c>
      <c r="D1602" s="3">
        <v>-101010344011522</v>
      </c>
      <c r="E1602" s="3">
        <f>[1]!nefin_factors__1[[#This Row],[SMB]]/D1601-1</f>
        <v>-1.376771538961008</v>
      </c>
      <c r="F1602" s="3">
        <v>23835228545576</v>
      </c>
      <c r="G1602" s="3">
        <f>[1]!nefin_factors__1[[#This Row],[HML]]/F1601-1</f>
        <v>-0.93667878144442507</v>
      </c>
      <c r="H1602" s="3">
        <v>157938938795343</v>
      </c>
      <c r="I1602" s="4">
        <f>[1]!nefin_factors__1[[#This Row],[Risk_Free]]/H1601-1</f>
        <v>-1.1927513492919872E-2</v>
      </c>
      <c r="J1602">
        <v>81320</v>
      </c>
      <c r="K1602">
        <v>83309</v>
      </c>
      <c r="L1602">
        <v>81317</v>
      </c>
      <c r="M1602">
        <v>83027</v>
      </c>
      <c r="N1602">
        <v>11395200</v>
      </c>
      <c r="O1602">
        <v>83027</v>
      </c>
      <c r="P1602">
        <v>2.10037014719806E-2</v>
      </c>
      <c r="Q1602">
        <v>2.0786164515800901E-2</v>
      </c>
      <c r="R1602" s="8">
        <v>10.6567707061768</v>
      </c>
      <c r="S1602" s="8">
        <v>-2.26757702798271E-2</v>
      </c>
      <c r="T1602" s="9">
        <v>-2.29368194345228E-2</v>
      </c>
      <c r="U1602" s="12">
        <v>1.4227E-2</v>
      </c>
      <c r="V1602" s="16">
        <v>5.6357999999999997</v>
      </c>
      <c r="W1602" s="17">
        <f t="shared" si="24"/>
        <v>-2.6897894178021797E-3</v>
      </c>
    </row>
    <row r="1603" spans="1:23" x14ac:dyDescent="0.2">
      <c r="A1603" s="15">
        <v>43894</v>
      </c>
      <c r="B1603" s="5">
        <v>200049054105309</v>
      </c>
      <c r="C1603" s="5">
        <f>[1]!nefin_factors__1[[#This Row],[Rm_minus_Rf]]/B1602-1</f>
        <v>-1.2386744644045464</v>
      </c>
      <c r="D1603" s="5">
        <v>-147894015607868</v>
      </c>
      <c r="E1603" s="5">
        <f>[1]!nefin_factors__1[[#This Row],[SMB]]/D1602-1</f>
        <v>0.46414723219829934</v>
      </c>
      <c r="F1603" s="5">
        <v>176744408051353</v>
      </c>
      <c r="G1603" s="5">
        <f>[1]!nefin_factors__1[[#This Row],[HML]]/F1602-1</f>
        <v>6.4152596319097643</v>
      </c>
      <c r="H1603" s="5">
        <v>155268222243876</v>
      </c>
      <c r="I1603" s="6">
        <f>[1]!nefin_factors__1[[#This Row],[Risk_Free]]/H1602-1</f>
        <v>-1.690980433221545E-2</v>
      </c>
      <c r="J1603">
        <v>83027</v>
      </c>
      <c r="K1603">
        <v>83027</v>
      </c>
      <c r="L1603">
        <v>81669</v>
      </c>
      <c r="M1603">
        <v>82173</v>
      </c>
      <c r="N1603">
        <v>9281200</v>
      </c>
      <c r="O1603">
        <v>82173</v>
      </c>
      <c r="P1603">
        <v>-1.02858106399123E-2</v>
      </c>
      <c r="Q1603">
        <v>-1.03390751507536E-2</v>
      </c>
      <c r="R1603" s="8">
        <v>10.2776441574097</v>
      </c>
      <c r="S1603" s="8">
        <v>-3.5576119560060002E-2</v>
      </c>
      <c r="T1603" s="9">
        <v>-3.6224371015766497E-2</v>
      </c>
      <c r="U1603" s="12">
        <v>1.4227E-2</v>
      </c>
      <c r="V1603" s="16">
        <v>5.5682999999999998</v>
      </c>
      <c r="W1603" s="17">
        <f t="shared" si="24"/>
        <v>-1.197700415202807E-2</v>
      </c>
    </row>
    <row r="1604" spans="1:23" x14ac:dyDescent="0.2">
      <c r="A1604" s="14">
        <v>43895</v>
      </c>
      <c r="B1604" s="3">
        <v>-459753289897892</v>
      </c>
      <c r="C1604" s="3">
        <f>[1]!nefin_factors__1[[#This Row],[Rm_minus_Rf]]/B1603-1</f>
        <v>-3.2982027680864241</v>
      </c>
      <c r="D1604" s="3">
        <v>-217376585437919</v>
      </c>
      <c r="E1604" s="3">
        <f>[1]!nefin_factors__1[[#This Row],[SMB]]/D1603-1</f>
        <v>0.46981326150667124</v>
      </c>
      <c r="F1604" s="3">
        <v>438165241942833</v>
      </c>
      <c r="G1604" s="3">
        <f>[1]!nefin_factors__1[[#This Row],[HML]]/F1603-1</f>
        <v>1.4790897023204508</v>
      </c>
      <c r="H1604" s="3">
        <v>155649862791263</v>
      </c>
      <c r="I1604" s="4">
        <f>[1]!nefin_factors__1[[#This Row],[Risk_Free]]/H1603-1</f>
        <v>2.4579436917075981E-3</v>
      </c>
      <c r="J1604">
        <v>82198</v>
      </c>
      <c r="K1604">
        <v>85876</v>
      </c>
      <c r="L1604">
        <v>82193</v>
      </c>
      <c r="M1604">
        <v>85663</v>
      </c>
      <c r="N1604">
        <v>8764400</v>
      </c>
      <c r="O1604">
        <v>85663</v>
      </c>
      <c r="P1604">
        <v>4.2471371375025803E-2</v>
      </c>
      <c r="Q1604">
        <v>4.1594212802978599E-2</v>
      </c>
      <c r="R1604" s="8">
        <v>11.621072769165</v>
      </c>
      <c r="S1604" s="8">
        <v>0.13071367243113099</v>
      </c>
      <c r="T1604" s="9">
        <v>0.12284900189190701</v>
      </c>
      <c r="U1604" s="12">
        <v>1.4227E-2</v>
      </c>
      <c r="V1604" s="16">
        <v>5.4291</v>
      </c>
      <c r="W1604" s="17">
        <f t="shared" ref="W1604:W1667" si="25">V1604/V1603-1</f>
        <v>-2.4998653089811973E-2</v>
      </c>
    </row>
    <row r="1605" spans="1:23" x14ac:dyDescent="0.2">
      <c r="A1605" s="15">
        <v>43896</v>
      </c>
      <c r="B1605" s="5">
        <v>-392750986650287</v>
      </c>
      <c r="C1605" s="5">
        <f>[1]!nefin_factors__1[[#This Row],[Rm_minus_Rf]]/B1604-1</f>
        <v>-0.14573534267147004</v>
      </c>
      <c r="D1605" s="5">
        <v>763700586381923</v>
      </c>
      <c r="E1605" s="5">
        <f>[1]!nefin_factors__1[[#This Row],[SMB]]/D1604-1</f>
        <v>-4.5132605696395469</v>
      </c>
      <c r="F1605" s="5">
        <v>-247014053455774</v>
      </c>
      <c r="G1605" s="5">
        <f>[1]!nefin_factors__1[[#This Row],[HML]]/F1604-1</f>
        <v>-1.5637463445537327</v>
      </c>
      <c r="H1605" s="5">
        <v>154504831474611</v>
      </c>
      <c r="I1605" s="6">
        <f>[1]!nefin_factors__1[[#This Row],[Risk_Free]]/H1604-1</f>
        <v>-7.3564556763379141E-3</v>
      </c>
      <c r="J1605">
        <v>85668</v>
      </c>
      <c r="K1605">
        <v>87333</v>
      </c>
      <c r="L1605">
        <v>85396</v>
      </c>
      <c r="M1605">
        <v>85469</v>
      </c>
      <c r="N1605">
        <v>12030800</v>
      </c>
      <c r="O1605">
        <v>85469</v>
      </c>
      <c r="P1605">
        <v>-2.2646883718758799E-3</v>
      </c>
      <c r="Q1605">
        <v>-2.2672566568962202E-3</v>
      </c>
      <c r="R1605" s="8">
        <v>11.126559257507299</v>
      </c>
      <c r="S1605" s="8">
        <v>-4.2553172282841299E-2</v>
      </c>
      <c r="T1605" s="9">
        <v>-4.3485091879595497E-2</v>
      </c>
      <c r="U1605" s="12">
        <v>1.4227E-2</v>
      </c>
      <c r="V1605" s="16">
        <v>5.4269999999999996</v>
      </c>
      <c r="W1605" s="17">
        <f t="shared" si="25"/>
        <v>-3.8680444272543024E-4</v>
      </c>
    </row>
    <row r="1606" spans="1:23" x14ac:dyDescent="0.2">
      <c r="A1606" s="14">
        <v>43899</v>
      </c>
      <c r="B1606" s="3">
        <v>-114833866402524</v>
      </c>
      <c r="C1606" s="3">
        <f>[1]!nefin_factors__1[[#This Row],[Rm_minus_Rf]]/B1605-1</f>
        <v>-0.70761660618112132</v>
      </c>
      <c r="D1606" s="3">
        <v>-76287043680541</v>
      </c>
      <c r="E1606" s="3">
        <f>[1]!nefin_factors__1[[#This Row],[SMB]]/D1605-1</f>
        <v>-1.0998912990782885</v>
      </c>
      <c r="F1606" s="3">
        <v>-250518042668364</v>
      </c>
      <c r="G1606" s="3">
        <f>[1]!nefin_factors__1[[#This Row],[HML]]/F1605-1</f>
        <v>1.4185384044221427E-2</v>
      </c>
      <c r="H1606" s="3">
        <v>156413034246627</v>
      </c>
      <c r="I1606" s="4">
        <f>[1]!nefin_factors__1[[#This Row],[Risk_Free]]/H1605-1</f>
        <v>1.2350440784303585E-2</v>
      </c>
      <c r="J1606">
        <v>85468</v>
      </c>
      <c r="K1606">
        <v>87946</v>
      </c>
      <c r="L1606">
        <v>85468</v>
      </c>
      <c r="M1606">
        <v>87946</v>
      </c>
      <c r="N1606">
        <v>11212000</v>
      </c>
      <c r="O1606">
        <v>87946</v>
      </c>
      <c r="P1606">
        <v>2.8981268062104399E-2</v>
      </c>
      <c r="Q1606">
        <v>2.8569252664938899E-2</v>
      </c>
      <c r="R1606" s="8">
        <v>12.568890571594199</v>
      </c>
      <c r="S1606" s="8">
        <v>0.12962958994837001</v>
      </c>
      <c r="T1606" s="9">
        <v>0.12188978248136401</v>
      </c>
      <c r="U1606" s="12">
        <v>1.4227E-2</v>
      </c>
      <c r="V1606" s="16">
        <v>5.5815999999999999</v>
      </c>
      <c r="W1606" s="17">
        <f t="shared" si="25"/>
        <v>2.8487193661323129E-2</v>
      </c>
    </row>
    <row r="1607" spans="1:23" x14ac:dyDescent="0.2">
      <c r="A1607" s="15">
        <v>43900</v>
      </c>
      <c r="B1607" s="5">
        <v>648683763044843</v>
      </c>
      <c r="C1607" s="5">
        <f>[1]!nefin_factors__1[[#This Row],[Rm_minus_Rf]]/B1606-1</f>
        <v>-6.648888985162527</v>
      </c>
      <c r="D1607" s="5">
        <v>-207179216470727</v>
      </c>
      <c r="E1607" s="5">
        <f>[1]!nefin_factors__1[[#This Row],[SMB]]/D1606-1</f>
        <v>1.7157850989521757</v>
      </c>
      <c r="F1607" s="5">
        <v>349795288317652</v>
      </c>
      <c r="G1607" s="5">
        <f>[1]!nefin_factors__1[[#This Row],[HML]]/F1606-1</f>
        <v>-2.3962878066260132</v>
      </c>
      <c r="H1607" s="5">
        <v>155268222243876</v>
      </c>
      <c r="I1607" s="6">
        <f>[1]!nefin_factors__1[[#This Row],[Risk_Free]]/H1606-1</f>
        <v>-7.3191598658325363E-3</v>
      </c>
      <c r="J1607">
        <v>87946</v>
      </c>
      <c r="K1607">
        <v>88091</v>
      </c>
      <c r="L1607">
        <v>86767</v>
      </c>
      <c r="M1607">
        <v>86949</v>
      </c>
      <c r="N1607">
        <v>10117000</v>
      </c>
      <c r="O1607">
        <v>86949</v>
      </c>
      <c r="P1607">
        <v>-1.1336501944375001E-2</v>
      </c>
      <c r="Q1607">
        <v>-1.14012498911278E-2</v>
      </c>
      <c r="R1607" s="8">
        <v>12.1485538482666</v>
      </c>
      <c r="S1607" s="8">
        <v>-3.3442627329225101E-2</v>
      </c>
      <c r="T1607" s="9">
        <v>-3.4014620822127202E-2</v>
      </c>
      <c r="U1607" s="12">
        <v>1.4227E-2</v>
      </c>
      <c r="V1607" s="16">
        <v>5.5354000000000001</v>
      </c>
      <c r="W1607" s="17">
        <f t="shared" si="25"/>
        <v>-8.2771965027949035E-3</v>
      </c>
    </row>
    <row r="1608" spans="1:23" x14ac:dyDescent="0.2">
      <c r="A1608" s="14">
        <v>43901</v>
      </c>
      <c r="B1608" s="3">
        <v>-703702428923664</v>
      </c>
      <c r="C1608" s="3">
        <f>[1]!nefin_factors__1[[#This Row],[Rm_minus_Rf]]/B1607-1</f>
        <v>-2.0848158517496569</v>
      </c>
      <c r="D1608" s="3">
        <v>207565299744854</v>
      </c>
      <c r="E1608" s="3">
        <f>[1]!nefin_factors__1[[#This Row],[SMB]]/D1607-1</f>
        <v>-2.0018635231887822</v>
      </c>
      <c r="F1608" s="3">
        <v>157996944549432</v>
      </c>
      <c r="G1608" s="3">
        <f>[1]!nefin_factors__1[[#This Row],[HML]]/F1607-1</f>
        <v>-0.54831597272415611</v>
      </c>
      <c r="H1608" s="3">
        <v>159082983861136</v>
      </c>
      <c r="I1608" s="4">
        <f>[1]!nefin_factors__1[[#This Row],[Risk_Free]]/H1607-1</f>
        <v>2.4568849711360974E-2</v>
      </c>
      <c r="J1608">
        <v>86951</v>
      </c>
      <c r="K1608">
        <v>87410</v>
      </c>
      <c r="L1608">
        <v>85384</v>
      </c>
      <c r="M1608">
        <v>87403</v>
      </c>
      <c r="N1608">
        <v>16550900</v>
      </c>
      <c r="O1608">
        <v>87403</v>
      </c>
      <c r="P1608">
        <v>5.2214516555681998E-3</v>
      </c>
      <c r="Q1608">
        <v>5.20786714360224E-3</v>
      </c>
      <c r="R1608" s="8">
        <v>11.868330001831101</v>
      </c>
      <c r="S1608" s="8">
        <v>-2.3066436543435199E-2</v>
      </c>
      <c r="T1608" s="9">
        <v>-2.3336629807725402E-2</v>
      </c>
      <c r="U1608" s="12">
        <v>1.4227E-2</v>
      </c>
      <c r="V1608" s="16">
        <v>5.6676000000000002</v>
      </c>
      <c r="W1608" s="17">
        <f t="shared" si="25"/>
        <v>2.3882646240560801E-2</v>
      </c>
    </row>
    <row r="1609" spans="1:23" x14ac:dyDescent="0.2">
      <c r="A1609" s="15">
        <v>43902</v>
      </c>
      <c r="B1609" s="5">
        <v>-147191098396479</v>
      </c>
      <c r="C1609" s="5">
        <f>[1]!nefin_factors__1[[#This Row],[Rm_minus_Rf]]/B1608-1</f>
        <v>-0.79083332336707635</v>
      </c>
      <c r="D1609" s="5">
        <v>139535066444882</v>
      </c>
      <c r="E1609" s="5">
        <f>[1]!nefin_factors__1[[#This Row],[SMB]]/D1608-1</f>
        <v>-0.32775340282598764</v>
      </c>
      <c r="F1609" s="5">
        <v>-604885601736399</v>
      </c>
      <c r="G1609" s="5">
        <f>[1]!nefin_factors__1[[#This Row],[HML]]/F1608-1</f>
        <v>-4.8284639203712594</v>
      </c>
      <c r="H1609" s="5">
        <v>163655882291058</v>
      </c>
      <c r="I1609" s="6">
        <f>[1]!nefin_factors__1[[#This Row],[Risk_Free]]/H1608-1</f>
        <v>2.8745364959420705E-2</v>
      </c>
      <c r="J1609">
        <v>87395</v>
      </c>
      <c r="K1609">
        <v>89019</v>
      </c>
      <c r="L1609">
        <v>86837</v>
      </c>
      <c r="M1609">
        <v>88620</v>
      </c>
      <c r="N1609">
        <v>9849400</v>
      </c>
      <c r="O1609">
        <v>88620</v>
      </c>
      <c r="P1609">
        <v>1.3924007185108099E-2</v>
      </c>
      <c r="Q1609">
        <v>1.3827958756149301E-2</v>
      </c>
      <c r="R1609" s="8">
        <v>12.7749376296997</v>
      </c>
      <c r="S1609" s="8">
        <v>7.6388811882445201E-2</v>
      </c>
      <c r="T1609" s="9">
        <v>7.3611745801773196E-2</v>
      </c>
      <c r="U1609" s="12">
        <v>1.1344999999999999E-2</v>
      </c>
      <c r="V1609" s="16">
        <v>5.8365</v>
      </c>
      <c r="W1609" s="17">
        <f t="shared" si="25"/>
        <v>2.980097395723047E-2</v>
      </c>
    </row>
    <row r="1610" spans="1:23" x14ac:dyDescent="0.2">
      <c r="A1610" s="14">
        <v>43903</v>
      </c>
      <c r="B1610" s="3">
        <v>133452296578192</v>
      </c>
      <c r="C1610" s="3">
        <f>[1]!nefin_factors__1[[#This Row],[Rm_minus_Rf]]/B1609-1</f>
        <v>-1.9066601039875408</v>
      </c>
      <c r="D1610" s="3">
        <v>-632316477123869</v>
      </c>
      <c r="E1610" s="3">
        <f>[1]!nefin_factors__1[[#This Row],[SMB]]/D1609-1</f>
        <v>-5.5315954851653117</v>
      </c>
      <c r="F1610" s="3">
        <v>-116095937600789</v>
      </c>
      <c r="G1610" s="3">
        <f>[1]!nefin_factors__1[[#This Row],[HML]]/F1609-1</f>
        <v>-0.80806959651953814</v>
      </c>
      <c r="H1610" s="3">
        <v>156031466789885</v>
      </c>
      <c r="I1610" s="4">
        <f>[1]!nefin_factors__1[[#This Row],[Risk_Free]]/H1609-1</f>
        <v>-4.6588093226084926E-2</v>
      </c>
      <c r="J1610">
        <v>88622</v>
      </c>
      <c r="K1610">
        <v>91046</v>
      </c>
      <c r="L1610">
        <v>88622</v>
      </c>
      <c r="M1610">
        <v>91046</v>
      </c>
      <c r="N1610">
        <v>11827300</v>
      </c>
      <c r="O1610">
        <v>91046</v>
      </c>
      <c r="P1610">
        <v>2.73753103136989E-2</v>
      </c>
      <c r="Q1610">
        <v>2.7007307531692601E-2</v>
      </c>
      <c r="R1610" s="8">
        <v>15.3299255371094</v>
      </c>
      <c r="S1610" s="8">
        <v>0.20000002986078999</v>
      </c>
      <c r="T1610" s="9">
        <v>0.18232158167794599</v>
      </c>
      <c r="U1610" s="12">
        <v>1.1344999999999999E-2</v>
      </c>
      <c r="V1610" s="16">
        <v>5.7652999999999999</v>
      </c>
      <c r="W1610" s="17">
        <f t="shared" si="25"/>
        <v>-1.2199091921528349E-2</v>
      </c>
    </row>
    <row r="1611" spans="1:23" x14ac:dyDescent="0.2">
      <c r="A1611" s="15">
        <v>43906</v>
      </c>
      <c r="B1611" s="5">
        <v>-132339134996537</v>
      </c>
      <c r="C1611" s="5">
        <f>[1]!nefin_factors__1[[#This Row],[Rm_minus_Rf]]/B1610-1</f>
        <v>-1.9916587304213023</v>
      </c>
      <c r="D1611" s="5">
        <v>26190257592648</v>
      </c>
      <c r="E1611" s="5">
        <f>[1]!nefin_factors__1[[#This Row],[SMB]]/D1610-1</f>
        <v>-1.0414195399616597</v>
      </c>
      <c r="F1611" s="5">
        <v>256924379125979</v>
      </c>
      <c r="G1611" s="5">
        <f>[1]!nefin_factors__1[[#This Row],[HML]]/F1610-1</f>
        <v>-3.2130350504549687</v>
      </c>
      <c r="H1611" s="5">
        <v>144184716027285</v>
      </c>
      <c r="I1611" s="6">
        <f>[1]!nefin_factors__1[[#This Row],[Risk_Free]]/H1610-1</f>
        <v>-7.5925395090677861E-2</v>
      </c>
      <c r="J1611">
        <v>91048</v>
      </c>
      <c r="K1611">
        <v>93710</v>
      </c>
      <c r="L1611">
        <v>91048</v>
      </c>
      <c r="M1611">
        <v>93002</v>
      </c>
      <c r="N1611">
        <v>15137900</v>
      </c>
      <c r="O1611">
        <v>93002</v>
      </c>
      <c r="P1611">
        <v>2.1483645629681601E-2</v>
      </c>
      <c r="Q1611">
        <v>2.12561249953265E-2</v>
      </c>
      <c r="R1611" s="8">
        <v>16.3354377746582</v>
      </c>
      <c r="S1611" s="8">
        <v>6.5591462601352499E-2</v>
      </c>
      <c r="T1611" s="9">
        <v>6.3530008948837702E-2</v>
      </c>
      <c r="U1611" s="12">
        <v>1.1344999999999999E-2</v>
      </c>
      <c r="V1611" s="16">
        <v>5.7953999999999999</v>
      </c>
      <c r="W1611" s="17">
        <f t="shared" si="25"/>
        <v>5.2208905000608041E-3</v>
      </c>
    </row>
    <row r="1612" spans="1:23" x14ac:dyDescent="0.2">
      <c r="A1612" s="14">
        <v>43907</v>
      </c>
      <c r="B1612" s="3">
        <v>464673285607022</v>
      </c>
      <c r="C1612" s="3">
        <f>[1]!nefin_factors__1[[#This Row],[Rm_minus_Rf]]/B1611-1</f>
        <v>-4.5112310928976633</v>
      </c>
      <c r="D1612" s="3">
        <v>-632188471741698</v>
      </c>
      <c r="E1612" s="3">
        <f>[1]!nefin_factors__1[[#This Row],[SMB]]/D1611-1</f>
        <v>-25.138306754155899</v>
      </c>
      <c r="F1612" s="3">
        <v>-283565148733139</v>
      </c>
      <c r="G1612" s="3">
        <f>[1]!nefin_factors__1[[#This Row],[HML]]/F1611-1</f>
        <v>-2.1036910926778853</v>
      </c>
      <c r="H1612" s="3">
        <v>141504761679956</v>
      </c>
      <c r="I1612" s="4">
        <f>[1]!nefin_factors__1[[#This Row],[Risk_Free]]/H1611-1</f>
        <v>-1.8586951662906137E-2</v>
      </c>
      <c r="J1612">
        <v>92993</v>
      </c>
      <c r="K1612">
        <v>94132</v>
      </c>
      <c r="L1612">
        <v>92221</v>
      </c>
      <c r="M1612">
        <v>93829</v>
      </c>
      <c r="N1612">
        <v>11488000</v>
      </c>
      <c r="O1612">
        <v>93829</v>
      </c>
      <c r="P1612">
        <v>8.8922818864110003E-3</v>
      </c>
      <c r="Q1612">
        <v>8.8529783745981399E-3</v>
      </c>
      <c r="R1612" s="8">
        <v>16.318954467773398</v>
      </c>
      <c r="S1612" s="8">
        <v>-1.00905204452717E-3</v>
      </c>
      <c r="T1612" s="9">
        <v>-1.0095614802684001E-3</v>
      </c>
      <c r="U1612" s="12">
        <v>1.1344999999999999E-2</v>
      </c>
      <c r="V1612" s="16">
        <v>5.7723000000000004</v>
      </c>
      <c r="W1612" s="17">
        <f t="shared" si="25"/>
        <v>-3.9859198674809804E-3</v>
      </c>
    </row>
    <row r="1613" spans="1:23" x14ac:dyDescent="0.2">
      <c r="A1613" s="15">
        <v>43908</v>
      </c>
      <c r="B1613" s="5">
        <v>-101505755195506</v>
      </c>
      <c r="C1613" s="5">
        <f>[1]!nefin_factors__1[[#This Row],[Rm_minus_Rf]]/B1612-1</f>
        <v>-1.2184454289488684</v>
      </c>
      <c r="D1613" s="5">
        <v>-480660453675353</v>
      </c>
      <c r="E1613" s="5">
        <f>[1]!nefin_factors__1[[#This Row],[SMB]]/D1612-1</f>
        <v>-0.2396880437393627</v>
      </c>
      <c r="F1613" s="5">
        <v>-281056170032849</v>
      </c>
      <c r="G1613" s="5">
        <f>[1]!nefin_factors__1[[#This Row],[HML]]/F1612-1</f>
        <v>-8.8479797728993059E-3</v>
      </c>
      <c r="H1613" s="5">
        <v>144567419551045</v>
      </c>
      <c r="I1613" s="6">
        <f>[1]!nefin_factors__1[[#This Row],[Risk_Free]]/H1612-1</f>
        <v>2.1643496902357784E-2</v>
      </c>
      <c r="J1613">
        <v>93839</v>
      </c>
      <c r="K1613">
        <v>97356</v>
      </c>
      <c r="L1613">
        <v>93839</v>
      </c>
      <c r="M1613">
        <v>94637</v>
      </c>
      <c r="N1613">
        <v>13320300</v>
      </c>
      <c r="O1613">
        <v>94637</v>
      </c>
      <c r="P1613">
        <v>8.6114101184069404E-3</v>
      </c>
      <c r="Q1613">
        <v>8.5745434245837193E-3</v>
      </c>
      <c r="R1613" s="8">
        <v>17.2338047027588</v>
      </c>
      <c r="S1613" s="8">
        <v>5.6060591185053597E-2</v>
      </c>
      <c r="T1613" s="9">
        <v>5.45455616541635E-2</v>
      </c>
      <c r="U1613" s="12">
        <v>1.1344999999999999E-2</v>
      </c>
      <c r="V1613" s="16">
        <v>5.9021999999999997</v>
      </c>
      <c r="W1613" s="17">
        <f t="shared" si="25"/>
        <v>2.2504027857179754E-2</v>
      </c>
    </row>
    <row r="1614" spans="1:23" x14ac:dyDescent="0.2">
      <c r="A1614" s="14">
        <v>43909</v>
      </c>
      <c r="B1614" s="3">
        <v>229017269770044</v>
      </c>
      <c r="C1614" s="3">
        <f>[1]!nefin_factors__1[[#This Row],[Rm_minus_Rf]]/B1613-1</f>
        <v>-3.2561998512197006</v>
      </c>
      <c r="D1614" s="3">
        <v>174190703144946</v>
      </c>
      <c r="E1614" s="3">
        <f>[1]!nefin_factors__1[[#This Row],[SMB]]/D1613-1</f>
        <v>-1.3623986575408962</v>
      </c>
      <c r="F1614" s="3">
        <v>-28454672185072</v>
      </c>
      <c r="G1614" s="3">
        <f>[1]!nefin_factors__1[[#This Row],[HML]]/F1613-1</f>
        <v>-0.89875805899672545</v>
      </c>
      <c r="H1614" s="3">
        <v>142270646864562</v>
      </c>
      <c r="I1614" s="4">
        <f>[1]!nefin_factors__1[[#This Row],[Risk_Free]]/H1613-1</f>
        <v>-1.5887208152539745E-2</v>
      </c>
      <c r="J1614">
        <v>94640</v>
      </c>
      <c r="K1614">
        <v>97693</v>
      </c>
      <c r="L1614">
        <v>94635</v>
      </c>
      <c r="M1614">
        <v>97645</v>
      </c>
      <c r="N1614">
        <v>11096500</v>
      </c>
      <c r="O1614">
        <v>97645</v>
      </c>
      <c r="P1614">
        <v>3.1784608556906901E-2</v>
      </c>
      <c r="Q1614">
        <v>3.1289932637201097E-2</v>
      </c>
      <c r="R1614" s="8">
        <v>18.9893283843994</v>
      </c>
      <c r="S1614" s="8">
        <v>0.101865125659664</v>
      </c>
      <c r="T1614" s="9">
        <v>9.7004312731921102E-2</v>
      </c>
      <c r="U1614" s="12">
        <v>1.1344999999999999E-2</v>
      </c>
      <c r="V1614" s="16">
        <v>5.9371999999999998</v>
      </c>
      <c r="W1614" s="17">
        <f t="shared" si="25"/>
        <v>5.9299922062960864E-3</v>
      </c>
    </row>
    <row r="1615" spans="1:23" x14ac:dyDescent="0.2">
      <c r="A1615" s="15">
        <v>43910</v>
      </c>
      <c r="B1615" s="5">
        <v>-142210474888595</v>
      </c>
      <c r="C1615" s="5">
        <f>[1]!nefin_factors__1[[#This Row],[Rm_minus_Rf]]/B1614-1</f>
        <v>-1.6209596116108989</v>
      </c>
      <c r="D1615" s="5">
        <v>-450076582698537</v>
      </c>
      <c r="E1615" s="5">
        <f>[1]!nefin_factors__1[[#This Row],[SMB]]/D1614-1</f>
        <v>-3.5838151782648429</v>
      </c>
      <c r="F1615" s="5">
        <v>-315505923498305</v>
      </c>
      <c r="G1615" s="5">
        <f>[1]!nefin_factors__1[[#This Row],[HML]]/F1614-1</f>
        <v>10.088018215294252</v>
      </c>
      <c r="H1615" s="5">
        <v>141887722673539</v>
      </c>
      <c r="I1615" s="6">
        <f>[1]!nefin_factors__1[[#This Row],[Risk_Free]]/H1614-1</f>
        <v>-2.6915192941207033E-3</v>
      </c>
      <c r="J1615">
        <v>97644</v>
      </c>
      <c r="K1615">
        <v>97644</v>
      </c>
      <c r="L1615">
        <v>95386</v>
      </c>
      <c r="M1615">
        <v>96747</v>
      </c>
      <c r="N1615">
        <v>11278800</v>
      </c>
      <c r="O1615">
        <v>96747</v>
      </c>
      <c r="P1615">
        <v>-9.1965794459522004E-3</v>
      </c>
      <c r="Q1615">
        <v>-9.23912905754278E-3</v>
      </c>
      <c r="R1615" s="8">
        <v>19.8217582702637</v>
      </c>
      <c r="S1615" s="8">
        <v>4.3836720763022599E-2</v>
      </c>
      <c r="T1615" s="9">
        <v>4.2903079492477202E-2</v>
      </c>
      <c r="U1615" s="12">
        <v>1.1344999999999999E-2</v>
      </c>
      <c r="V1615" s="16">
        <v>5.8228999999999997</v>
      </c>
      <c r="W1615" s="17">
        <f t="shared" si="25"/>
        <v>-1.925149902310852E-2</v>
      </c>
    </row>
    <row r="1616" spans="1:23" x14ac:dyDescent="0.2">
      <c r="A1616" s="14">
        <v>43913</v>
      </c>
      <c r="B1616" s="3">
        <v>-52980771620442</v>
      </c>
      <c r="C1616" s="3">
        <f>[1]!nefin_factors__1[[#This Row],[Rm_minus_Rf]]/B1615-1</f>
        <v>-0.62744817734455816</v>
      </c>
      <c r="D1616" s="3">
        <v>-153914285652074</v>
      </c>
      <c r="E1616" s="3">
        <f>[1]!nefin_factors__1[[#This Row],[SMB]]/D1615-1</f>
        <v>-0.65802645245561164</v>
      </c>
      <c r="F1616" s="3">
        <v>-28128139154963</v>
      </c>
      <c r="G1616" s="3">
        <f>[1]!nefin_factors__1[[#This Row],[HML]]/F1615-1</f>
        <v>-0.91084750852510032</v>
      </c>
      <c r="H1616" s="3">
        <v>14073872925624</v>
      </c>
      <c r="I1616" s="4">
        <f>[1]!nefin_factors__1[[#This Row],[Risk_Free]]/H1615-1</f>
        <v>-0.900809790583462</v>
      </c>
      <c r="J1616">
        <v>96747</v>
      </c>
      <c r="K1616">
        <v>97646</v>
      </c>
      <c r="L1616">
        <v>94665</v>
      </c>
      <c r="M1616">
        <v>94686</v>
      </c>
      <c r="N1616">
        <v>11739600</v>
      </c>
      <c r="O1616">
        <v>94686</v>
      </c>
      <c r="P1616">
        <v>-2.1302986139105098E-2</v>
      </c>
      <c r="Q1616">
        <v>-2.15331696831523E-2</v>
      </c>
      <c r="R1616" s="8">
        <v>18.939876556396499</v>
      </c>
      <c r="S1616" s="8">
        <v>-4.4490589676404999E-2</v>
      </c>
      <c r="T1616" s="9">
        <v>-4.5510666764649599E-2</v>
      </c>
      <c r="U1616" s="12">
        <v>1.1344999999999999E-2</v>
      </c>
      <c r="V1616" s="16">
        <v>5.7374999999999998</v>
      </c>
      <c r="W1616" s="17">
        <f t="shared" si="25"/>
        <v>-1.4666231602809554E-2</v>
      </c>
    </row>
    <row r="1617" spans="1:23" x14ac:dyDescent="0.2">
      <c r="A1617" s="15">
        <v>43914</v>
      </c>
      <c r="B1617" s="5">
        <v>803760700176531</v>
      </c>
      <c r="C1617" s="5">
        <f>[1]!nefin_factors__1[[#This Row],[Rm_minus_Rf]]/B1616-1</f>
        <v>-16.170800190203522</v>
      </c>
      <c r="D1617" s="5">
        <v>-213295434542366</v>
      </c>
      <c r="E1617" s="5">
        <f>[1]!nefin_factors__1[[#This Row],[SMB]]/D1616-1</f>
        <v>0.38580661072958589</v>
      </c>
      <c r="F1617" s="5">
        <v>-938550075156915</v>
      </c>
      <c r="G1617" s="5">
        <f>[1]!nefin_factors__1[[#This Row],[HML]]/F1616-1</f>
        <v>32.366945107398436</v>
      </c>
      <c r="H1617" s="5">
        <v>141504761679956</v>
      </c>
      <c r="I1617" s="6">
        <f>[1]!nefin_factors__1[[#This Row],[Risk_Free]]/H1616-1</f>
        <v>9.054429397491667</v>
      </c>
      <c r="J1617">
        <v>94677</v>
      </c>
      <c r="K1617">
        <v>94703</v>
      </c>
      <c r="L1617">
        <v>90811</v>
      </c>
      <c r="M1617">
        <v>92795</v>
      </c>
      <c r="N1617">
        <v>12785600</v>
      </c>
      <c r="O1617">
        <v>92795</v>
      </c>
      <c r="P1617">
        <v>-1.9971273472319102E-2</v>
      </c>
      <c r="Q1617">
        <v>-2.0173394963782801E-2</v>
      </c>
      <c r="R1617" s="8">
        <v>17.151384353637699</v>
      </c>
      <c r="S1617" s="8">
        <v>-9.4429982024078707E-2</v>
      </c>
      <c r="T1617" s="9">
        <v>-9.9190679440023397E-2</v>
      </c>
      <c r="U1617" s="12">
        <v>1.1344999999999999E-2</v>
      </c>
      <c r="V1617" s="16">
        <v>5.7215999999999996</v>
      </c>
      <c r="W1617" s="17">
        <f t="shared" si="25"/>
        <v>-2.7712418300653852E-3</v>
      </c>
    </row>
    <row r="1618" spans="1:23" x14ac:dyDescent="0.2">
      <c r="A1618" s="14">
        <v>43915</v>
      </c>
      <c r="B1618" s="3">
        <v>703253019843556</v>
      </c>
      <c r="C1618" s="3">
        <f>[1]!nefin_factors__1[[#This Row],[Rm_minus_Rf]]/B1617-1</f>
        <v>-0.12504677114830365</v>
      </c>
      <c r="D1618" s="3">
        <v>418575889544956</v>
      </c>
      <c r="E1618" s="3">
        <f>[1]!nefin_factors__1[[#This Row],[SMB]]/D1617-1</f>
        <v>-2.9624231078505154</v>
      </c>
      <c r="F1618" s="3">
        <v>260331639345406</v>
      </c>
      <c r="G1618" s="3">
        <f>[1]!nefin_factors__1[[#This Row],[HML]]/F1617-1</f>
        <v>-1.2773763981659492</v>
      </c>
      <c r="H1618" s="3">
        <v>141121763876484</v>
      </c>
      <c r="I1618" s="4">
        <f>[1]!nefin_factors__1[[#This Row],[Risk_Free]]/H1617-1</f>
        <v>-2.7066071765007305E-3</v>
      </c>
      <c r="J1618">
        <v>92780</v>
      </c>
      <c r="K1618">
        <v>93112</v>
      </c>
      <c r="L1618">
        <v>90148</v>
      </c>
      <c r="M1618">
        <v>92376</v>
      </c>
      <c r="N1618">
        <v>13317500</v>
      </c>
      <c r="O1618">
        <v>92376</v>
      </c>
      <c r="P1618">
        <v>-4.5153294897354304E-3</v>
      </c>
      <c r="Q1618">
        <v>-4.5255543807131903E-3</v>
      </c>
      <c r="R1618" s="8">
        <v>16.854677200317401</v>
      </c>
      <c r="S1618" s="8">
        <v>-1.7299312242243799E-2</v>
      </c>
      <c r="T1618" s="9">
        <v>-1.74506937485727E-2</v>
      </c>
      <c r="U1618" s="12">
        <v>1.1344999999999999E-2</v>
      </c>
      <c r="V1618" s="16">
        <v>5.6967999999999996</v>
      </c>
      <c r="W1618" s="17">
        <f t="shared" si="25"/>
        <v>-4.3344519015660055E-3</v>
      </c>
    </row>
    <row r="1619" spans="1:23" x14ac:dyDescent="0.2">
      <c r="A1619" s="15">
        <v>43916</v>
      </c>
      <c r="B1619" s="5">
        <v>417721001234356</v>
      </c>
      <c r="C1619" s="5">
        <f>[1]!nefin_factors__1[[#This Row],[Rm_minus_Rf]]/B1618-1</f>
        <v>-0.40601605759576942</v>
      </c>
      <c r="D1619" s="5">
        <v>835562085004637</v>
      </c>
      <c r="E1619" s="5">
        <f>[1]!nefin_factors__1[[#This Row],[SMB]]/D1618-1</f>
        <v>0.99620213651817546</v>
      </c>
      <c r="F1619" s="5">
        <v>579178966850481</v>
      </c>
      <c r="G1619" s="5">
        <f>[1]!nefin_factors__1[[#This Row],[HML]]/F1618-1</f>
        <v>1.2247736322285085</v>
      </c>
      <c r="H1619" s="5">
        <v>141887722673539</v>
      </c>
      <c r="I1619" s="6">
        <f>[1]!nefin_factors__1[[#This Row],[Risk_Free]]/H1618-1</f>
        <v>5.4276447233567726E-3</v>
      </c>
      <c r="J1619">
        <v>92387</v>
      </c>
      <c r="K1619">
        <v>95216</v>
      </c>
      <c r="L1619">
        <v>92387</v>
      </c>
      <c r="M1619">
        <v>93531</v>
      </c>
      <c r="N1619">
        <v>12034200</v>
      </c>
      <c r="O1619">
        <v>93531</v>
      </c>
      <c r="P1619">
        <v>1.2503247596778301E-2</v>
      </c>
      <c r="Q1619">
        <v>1.2425727496404099E-2</v>
      </c>
      <c r="R1619" s="8">
        <v>16.294227600097699</v>
      </c>
      <c r="S1619" s="8">
        <v>-3.3251873860222797E-2</v>
      </c>
      <c r="T1619" s="9">
        <v>-3.3817286805606001E-2</v>
      </c>
      <c r="U1619" s="12">
        <v>1.1344999999999999E-2</v>
      </c>
      <c r="V1619" s="16">
        <v>5.6018999999999997</v>
      </c>
      <c r="W1619" s="17">
        <f t="shared" si="25"/>
        <v>-1.6658474933295864E-2</v>
      </c>
    </row>
    <row r="1620" spans="1:23" x14ac:dyDescent="0.2">
      <c r="A1620" s="14">
        <v>43917</v>
      </c>
      <c r="B1620" s="3">
        <v>-494948170460246</v>
      </c>
      <c r="C1620" s="3">
        <f>[1]!nefin_factors__1[[#This Row],[Rm_minus_Rf]]/B1619-1</f>
        <v>-2.1848773918421278</v>
      </c>
      <c r="D1620" s="3">
        <v>49507570934896</v>
      </c>
      <c r="E1620" s="3">
        <f>[1]!nefin_factors__1[[#This Row],[SMB]]/D1619-1</f>
        <v>-0.9407493807780648</v>
      </c>
      <c r="F1620" s="3">
        <v>290453811771392</v>
      </c>
      <c r="G1620" s="3">
        <f>[1]!nefin_factors__1[[#This Row],[HML]]/F1619-1</f>
        <v>-0.49850766620402043</v>
      </c>
      <c r="H1620" s="3">
        <v>142270646864562</v>
      </c>
      <c r="I1620" s="4">
        <f>[1]!nefin_factors__1[[#This Row],[Risk_Free]]/H1619-1</f>
        <v>2.698783120961501E-3</v>
      </c>
      <c r="J1620">
        <v>93531</v>
      </c>
      <c r="K1620">
        <v>96611</v>
      </c>
      <c r="L1620">
        <v>93531</v>
      </c>
      <c r="M1620">
        <v>95547</v>
      </c>
      <c r="N1620">
        <v>11134700</v>
      </c>
      <c r="O1620">
        <v>95547</v>
      </c>
      <c r="P1620">
        <v>2.1554350963851599E-2</v>
      </c>
      <c r="Q1620">
        <v>2.1325340873167401E-2</v>
      </c>
      <c r="R1620" s="8">
        <v>16.046970367431602</v>
      </c>
      <c r="S1620" s="8">
        <v>-1.5174529209628499E-2</v>
      </c>
      <c r="T1620" s="9">
        <v>-1.52908405243731E-2</v>
      </c>
      <c r="U1620" s="12">
        <v>1.1344999999999999E-2</v>
      </c>
      <c r="V1620" s="16">
        <v>5.5808</v>
      </c>
      <c r="W1620" s="17">
        <f t="shared" si="25"/>
        <v>-3.7665791963440443E-3</v>
      </c>
    </row>
    <row r="1621" spans="1:23" x14ac:dyDescent="0.2">
      <c r="A1621" s="15">
        <v>43920</v>
      </c>
      <c r="B1621" s="5">
        <v>137159023519467</v>
      </c>
      <c r="C1621" s="5">
        <f>[1]!nefin_factors__1[[#This Row],[Rm_minus_Rf]]/B1620-1</f>
        <v>-1.2771179523543335</v>
      </c>
      <c r="D1621" s="5">
        <v>-125516157371095</v>
      </c>
      <c r="E1621" s="5">
        <f>[1]!nefin_factors__1[[#This Row],[SMB]]/D1620-1</f>
        <v>-3.5352921785670453</v>
      </c>
      <c r="F1621" s="5">
        <v>271718470528512</v>
      </c>
      <c r="G1621" s="5">
        <f>[1]!nefin_factors__1[[#This Row],[HML]]/F1620-1</f>
        <v>-6.4503685211148354E-2</v>
      </c>
      <c r="H1621" s="5">
        <v>142270646864562</v>
      </c>
      <c r="I1621" s="6">
        <f>[1]!nefin_factors__1[[#This Row],[Risk_Free]]/H1620-1</f>
        <v>0</v>
      </c>
      <c r="J1621">
        <v>95547</v>
      </c>
      <c r="K1621">
        <v>97110</v>
      </c>
      <c r="L1621">
        <v>94698</v>
      </c>
      <c r="M1621">
        <v>96125</v>
      </c>
      <c r="N1621">
        <v>10008500</v>
      </c>
      <c r="O1621">
        <v>96125</v>
      </c>
      <c r="P1621">
        <v>6.04937883973333E-3</v>
      </c>
      <c r="Q1621">
        <v>6.0311548066819204E-3</v>
      </c>
      <c r="R1621" s="8">
        <v>15.824440002441399</v>
      </c>
      <c r="S1621" s="8">
        <v>-1.3867437896057599E-2</v>
      </c>
      <c r="T1621" s="9">
        <v>-1.39644890918447E-2</v>
      </c>
      <c r="U1621" s="12">
        <v>1.1344999999999999E-2</v>
      </c>
      <c r="V1621" s="16">
        <v>5.4771999999999998</v>
      </c>
      <c r="W1621" s="17">
        <f t="shared" si="25"/>
        <v>-1.8563646788990806E-2</v>
      </c>
    </row>
    <row r="1622" spans="1:23" x14ac:dyDescent="0.2">
      <c r="A1622" s="14">
        <v>43921</v>
      </c>
      <c r="B1622" s="3">
        <v>-23292810835127</v>
      </c>
      <c r="C1622" s="3">
        <f>[1]!nefin_factors__1[[#This Row],[Rm_minus_Rf]]/B1621-1</f>
        <v>-1.1698233935867957</v>
      </c>
      <c r="D1622" s="3">
        <v>-279994421996271</v>
      </c>
      <c r="E1622" s="3">
        <f>[1]!nefin_factors__1[[#This Row],[SMB]]/D1621-1</f>
        <v>1.2307440560696343</v>
      </c>
      <c r="F1622" s="3">
        <v>11294160011672</v>
      </c>
      <c r="G1622" s="3">
        <f>[1]!nefin_factors__1[[#This Row],[HML]]/F1621-1</f>
        <v>-0.95843433098344755</v>
      </c>
      <c r="H1622" s="3">
        <v>141887722673539</v>
      </c>
      <c r="I1622" s="4">
        <f>[1]!nefin_factors__1[[#This Row],[Risk_Free]]/H1621-1</f>
        <v>-2.6915192941207033E-3</v>
      </c>
      <c r="J1622">
        <v>96138</v>
      </c>
      <c r="K1622">
        <v>97540</v>
      </c>
      <c r="L1622">
        <v>95874</v>
      </c>
      <c r="M1622">
        <v>96572</v>
      </c>
      <c r="N1622">
        <v>13134400</v>
      </c>
      <c r="O1622">
        <v>96572</v>
      </c>
      <c r="P1622">
        <v>4.6501950585175998E-3</v>
      </c>
      <c r="Q1622">
        <v>4.6394163040997796E-3</v>
      </c>
      <c r="R1622" s="8">
        <v>16.351921081543001</v>
      </c>
      <c r="S1622" s="8">
        <v>3.33333172624233E-2</v>
      </c>
      <c r="T1622" s="9">
        <v>3.2789807270497101E-2</v>
      </c>
      <c r="U1622" s="12">
        <v>1.1344999999999999E-2</v>
      </c>
      <c r="V1622" s="16">
        <v>5.3707000000000003</v>
      </c>
      <c r="W1622" s="17">
        <f t="shared" si="25"/>
        <v>-1.9444241583290611E-2</v>
      </c>
    </row>
    <row r="1623" spans="1:23" x14ac:dyDescent="0.2">
      <c r="A1623" s="15">
        <v>43922</v>
      </c>
      <c r="B1623" s="5">
        <v>-283064015736901</v>
      </c>
      <c r="C1623" s="5">
        <f>[1]!nefin_factors__1[[#This Row],[Rm_minus_Rf]]/B1622-1</f>
        <v>11.152419806287309</v>
      </c>
      <c r="D1623" s="5">
        <v>-927334552598495</v>
      </c>
      <c r="E1623" s="5">
        <f>[1]!nefin_factors__1[[#This Row],[SMB]]/D1622-1</f>
        <v>2.3119750957426048</v>
      </c>
      <c r="F1623" s="5">
        <v>-799365249401229</v>
      </c>
      <c r="G1623" s="5">
        <f>[1]!nefin_factors__1[[#This Row],[HML]]/F1622-1</f>
        <v>-71.776865971008149</v>
      </c>
      <c r="H1623" s="5">
        <v>141887722673539</v>
      </c>
      <c r="I1623" s="6">
        <f>[1]!nefin_factors__1[[#This Row],[Risk_Free]]/H1622-1</f>
        <v>0</v>
      </c>
      <c r="J1623">
        <v>96572</v>
      </c>
      <c r="K1623">
        <v>96870</v>
      </c>
      <c r="L1623">
        <v>94869</v>
      </c>
      <c r="M1623">
        <v>95336</v>
      </c>
      <c r="N1623">
        <v>8264700</v>
      </c>
      <c r="O1623">
        <v>95336</v>
      </c>
      <c r="P1623">
        <v>-1.27987408358531E-2</v>
      </c>
      <c r="Q1623">
        <v>-1.28813503414028E-2</v>
      </c>
      <c r="R1623" s="8">
        <v>16.154115676879901</v>
      </c>
      <c r="S1623" s="8">
        <v>-1.20967685494983E-2</v>
      </c>
      <c r="T1623" s="9">
        <v>-1.21705299070943E-2</v>
      </c>
      <c r="U1623" s="12">
        <v>1.1344999999999999E-2</v>
      </c>
      <c r="V1623" s="16">
        <v>5.2991999999999999</v>
      </c>
      <c r="W1623" s="17">
        <f t="shared" si="25"/>
        <v>-1.3312975962165186E-2</v>
      </c>
    </row>
    <row r="1624" spans="1:23" x14ac:dyDescent="0.2">
      <c r="A1624" s="14">
        <v>43923</v>
      </c>
      <c r="B1624" s="3">
        <v>157373939268883</v>
      </c>
      <c r="C1624" s="3">
        <f>[1]!nefin_factors__1[[#This Row],[Rm_minus_Rf]]/B1623-1</f>
        <v>-1.5559658964746585</v>
      </c>
      <c r="D1624" s="3">
        <v>-234965041514762</v>
      </c>
      <c r="E1624" s="3">
        <f>[1]!nefin_factors__1[[#This Row],[SMB]]/D1623-1</f>
        <v>-0.74662322151551053</v>
      </c>
      <c r="F1624" s="3">
        <v>-26214584436126</v>
      </c>
      <c r="G1624" s="3">
        <f>[1]!nefin_factors__1[[#This Row],[HML]]/F1623-1</f>
        <v>-0.96720574924196134</v>
      </c>
      <c r="H1624" s="3">
        <v>140355657811897</v>
      </c>
      <c r="I1624" s="4">
        <f>[1]!nefin_factors__1[[#This Row],[Risk_Free]]/H1623-1</f>
        <v>-1.0797726771378469E-2</v>
      </c>
      <c r="J1624">
        <v>95344</v>
      </c>
      <c r="K1624">
        <v>97486</v>
      </c>
      <c r="L1624">
        <v>95344</v>
      </c>
      <c r="M1624">
        <v>95975</v>
      </c>
      <c r="N1624">
        <v>9752700</v>
      </c>
      <c r="O1624">
        <v>95975</v>
      </c>
      <c r="P1624">
        <v>6.7026097172107101E-3</v>
      </c>
      <c r="Q1624">
        <v>6.6802470983563598E-3</v>
      </c>
      <c r="R1624" s="8">
        <v>16.203567504882798</v>
      </c>
      <c r="S1624" s="8">
        <v>3.0612525620146202E-3</v>
      </c>
      <c r="T1624" s="9">
        <v>3.0565764690941599E-3</v>
      </c>
      <c r="U1624" s="12">
        <v>1.1344999999999999E-2</v>
      </c>
      <c r="V1624" s="16">
        <v>5.3404999999999996</v>
      </c>
      <c r="W1624" s="17">
        <f t="shared" si="25"/>
        <v>7.7936292270530672E-3</v>
      </c>
    </row>
    <row r="1625" spans="1:23" x14ac:dyDescent="0.2">
      <c r="A1625" s="15">
        <v>43924</v>
      </c>
      <c r="B1625" s="5">
        <v>-365735012629035</v>
      </c>
      <c r="C1625" s="5">
        <f>[1]!nefin_factors__1[[#This Row],[Rm_minus_Rf]]/B1624-1</f>
        <v>-3.3239871501478677</v>
      </c>
      <c r="D1625" s="5">
        <v>-100038545491989</v>
      </c>
      <c r="E1625" s="5">
        <f>[1]!nefin_factors__1[[#This Row],[SMB]]/D1624-1</f>
        <v>-0.57424072599453502</v>
      </c>
      <c r="F1625" s="5">
        <v>-979384280365492</v>
      </c>
      <c r="G1625" s="5">
        <f>[1]!nefin_factors__1[[#This Row],[HML]]/F1624-1</f>
        <v>36.360282508076473</v>
      </c>
      <c r="H1625" s="5">
        <v>140355657811897</v>
      </c>
      <c r="I1625" s="6">
        <f>[1]!nefin_factors__1[[#This Row],[Risk_Free]]/H1624-1</f>
        <v>0</v>
      </c>
      <c r="J1625">
        <v>95974</v>
      </c>
      <c r="K1625">
        <v>95974</v>
      </c>
      <c r="L1625">
        <v>93259</v>
      </c>
      <c r="M1625">
        <v>94377</v>
      </c>
      <c r="N1625">
        <v>9962700</v>
      </c>
      <c r="O1625">
        <v>94377</v>
      </c>
      <c r="P1625">
        <v>-1.66501693149258E-2</v>
      </c>
      <c r="Q1625">
        <v>-1.6790341489240902E-2</v>
      </c>
      <c r="R1625" s="8">
        <v>15.461795806884799</v>
      </c>
      <c r="S1625" s="8">
        <v>-4.5778295290498303E-2</v>
      </c>
      <c r="T1625" s="9">
        <v>-4.6859239659664702E-2</v>
      </c>
      <c r="U1625" s="12">
        <v>1.1344999999999999E-2</v>
      </c>
      <c r="V1625" s="16">
        <v>5.4263000000000003</v>
      </c>
      <c r="W1625" s="17">
        <f t="shared" si="25"/>
        <v>1.6065911431514035E-2</v>
      </c>
    </row>
    <row r="1626" spans="1:23" x14ac:dyDescent="0.2">
      <c r="A1626" s="14">
        <v>43927</v>
      </c>
      <c r="B1626" s="3">
        <v>580325740831614</v>
      </c>
      <c r="C1626" s="3">
        <f>[1]!nefin_factors__1[[#This Row],[Rm_minus_Rf]]/B1625-1</f>
        <v>-2.5867382689451128</v>
      </c>
      <c r="D1626" s="3">
        <v>-247391744100691</v>
      </c>
      <c r="E1626" s="3">
        <f>[1]!nefin_factors__1[[#This Row],[SMB]]/D1625-1</f>
        <v>1.4729642247797567</v>
      </c>
      <c r="F1626" s="3">
        <v>-304683346135464</v>
      </c>
      <c r="G1626" s="3">
        <f>[1]!nefin_factors__1[[#This Row],[HML]]/F1625-1</f>
        <v>-0.68890316881361358</v>
      </c>
      <c r="H1626" s="3">
        <v>139972549536571</v>
      </c>
      <c r="I1626" s="4">
        <f>[1]!nefin_factors__1[[#This Row],[Risk_Free]]/H1625-1</f>
        <v>-2.729553487893166E-3</v>
      </c>
      <c r="J1626">
        <v>94382</v>
      </c>
      <c r="K1626">
        <v>96260</v>
      </c>
      <c r="L1626">
        <v>94152</v>
      </c>
      <c r="M1626">
        <v>95983</v>
      </c>
      <c r="N1626">
        <v>8697900</v>
      </c>
      <c r="O1626">
        <v>95983</v>
      </c>
      <c r="P1626">
        <v>1.70168579208918E-2</v>
      </c>
      <c r="Q1626">
        <v>1.6873693055777701E-2</v>
      </c>
      <c r="R1626" s="8">
        <v>15.066184997558601</v>
      </c>
      <c r="S1626" s="8">
        <v>-2.55863428975058E-2</v>
      </c>
      <c r="T1626" s="9">
        <v>-2.59193662149418E-2</v>
      </c>
      <c r="U1626" s="12">
        <v>1.1344999999999999E-2</v>
      </c>
      <c r="V1626" s="16">
        <v>5.3639000000000001</v>
      </c>
      <c r="W1626" s="17">
        <f t="shared" si="25"/>
        <v>-1.1499548495291445E-2</v>
      </c>
    </row>
    <row r="1627" spans="1:23" x14ac:dyDescent="0.2">
      <c r="A1627" s="15">
        <v>43928</v>
      </c>
      <c r="B1627" s="5">
        <v>319093180119245</v>
      </c>
      <c r="C1627" s="5">
        <f>[1]!nefin_factors__1[[#This Row],[Rm_minus_Rf]]/B1626-1</f>
        <v>-0.45014815358357096</v>
      </c>
      <c r="D1627" s="5">
        <v>120436467640401</v>
      </c>
      <c r="E1627" s="5">
        <f>[1]!nefin_factors__1[[#This Row],[SMB]]/D1626-1</f>
        <v>-1.4868249265075804</v>
      </c>
      <c r="F1627" s="5">
        <v>-697476709372676</v>
      </c>
      <c r="G1627" s="5">
        <f>[1]!nefin_factors__1[[#This Row],[HML]]/F1626-1</f>
        <v>1.2891855371135832</v>
      </c>
      <c r="H1627" s="5">
        <v>13920622246455</v>
      </c>
      <c r="I1627" s="6">
        <f>[1]!nefin_factors__1[[#This Row],[Risk_Free]]/H1626-1</f>
        <v>-0.90054748382776351</v>
      </c>
      <c r="J1627">
        <v>95979</v>
      </c>
      <c r="K1627">
        <v>95979</v>
      </c>
      <c r="L1627">
        <v>93514</v>
      </c>
      <c r="M1627">
        <v>93834</v>
      </c>
      <c r="N1627">
        <v>8439100</v>
      </c>
      <c r="O1627">
        <v>93834</v>
      </c>
      <c r="P1627">
        <v>-2.23893814529657E-2</v>
      </c>
      <c r="Q1627">
        <v>-2.2643828771264599E-2</v>
      </c>
      <c r="R1627" s="8">
        <v>14.5881547927856</v>
      </c>
      <c r="S1627" s="8">
        <v>-3.1728682798625597E-2</v>
      </c>
      <c r="T1627" s="9">
        <v>-3.2242944613388801E-2</v>
      </c>
      <c r="U1627" s="12">
        <v>1.1344999999999999E-2</v>
      </c>
      <c r="V1627" s="16">
        <v>5.2601000000000004</v>
      </c>
      <c r="W1627" s="17">
        <f t="shared" si="25"/>
        <v>-1.9351591192975248E-2</v>
      </c>
    </row>
    <row r="1628" spans="1:23" x14ac:dyDescent="0.2">
      <c r="A1628" s="14">
        <v>43929</v>
      </c>
      <c r="B1628" s="3">
        <v>294837064532947</v>
      </c>
      <c r="C1628" s="3">
        <f>[1]!nefin_factors__1[[#This Row],[Rm_minus_Rf]]/B1627-1</f>
        <v>-7.6015775634043603E-2</v>
      </c>
      <c r="D1628" s="3">
        <v>-307762423020587</v>
      </c>
      <c r="E1628" s="3">
        <f>[1]!nefin_factors__1[[#This Row],[SMB]]/D1627-1</f>
        <v>-3.5553923080798375</v>
      </c>
      <c r="F1628" s="3">
        <v>126246329329173</v>
      </c>
      <c r="G1628" s="3">
        <f>[1]!nefin_factors__1[[#This Row],[HML]]/F1627-1</f>
        <v>-1.1810043656407128</v>
      </c>
      <c r="H1628" s="3">
        <v>138056455445845</v>
      </c>
      <c r="I1628" s="4">
        <f>[1]!nefin_factors__1[[#This Row],[Risk_Free]]/H1627-1</f>
        <v>8.9174054867412416</v>
      </c>
      <c r="J1628">
        <v>93837</v>
      </c>
      <c r="K1628">
        <v>95735</v>
      </c>
      <c r="L1628">
        <v>93825</v>
      </c>
      <c r="M1628">
        <v>95735</v>
      </c>
      <c r="N1628">
        <v>8906800</v>
      </c>
      <c r="O1628">
        <v>95735</v>
      </c>
      <c r="P1628">
        <v>2.0259181107061399E-2</v>
      </c>
      <c r="Q1628">
        <v>2.0056694143034799E-2</v>
      </c>
      <c r="R1628" s="8">
        <v>15.0002498626709</v>
      </c>
      <c r="S1628" s="8">
        <v>2.8248608253666801E-2</v>
      </c>
      <c r="T1628" s="9">
        <v>2.78569746177958E-2</v>
      </c>
      <c r="U1628" s="12">
        <v>1.1344999999999999E-2</v>
      </c>
      <c r="V1628" s="16">
        <v>5.0515999999999996</v>
      </c>
      <c r="W1628" s="17">
        <f t="shared" si="25"/>
        <v>-3.9638029695253096E-2</v>
      </c>
    </row>
    <row r="1629" spans="1:23" x14ac:dyDescent="0.2">
      <c r="A1629" s="15">
        <v>43930</v>
      </c>
      <c r="B1629" s="5">
        <v>-117066713434874</v>
      </c>
      <c r="C1629" s="5">
        <f>[1]!nefin_factors__1[[#This Row],[Rm_minus_Rf]]/B1628-1</f>
        <v>-1.3970556199245845</v>
      </c>
      <c r="D1629" s="5">
        <v>47933660380715</v>
      </c>
      <c r="E1629" s="5">
        <f>[1]!nefin_factors__1[[#This Row],[SMB]]/D1628-1</f>
        <v>-1.155748904984117</v>
      </c>
      <c r="F1629" s="5">
        <v>844154509897187</v>
      </c>
      <c r="G1629" s="5">
        <f>[1]!nefin_factors__1[[#This Row],[HML]]/F1628-1</f>
        <v>5.6865667650118343</v>
      </c>
      <c r="H1629" s="5">
        <v>138056455445845</v>
      </c>
      <c r="I1629" s="6">
        <f>[1]!nefin_factors__1[[#This Row],[Risk_Free]]/H1628-1</f>
        <v>0</v>
      </c>
      <c r="J1629">
        <v>95728</v>
      </c>
      <c r="K1629">
        <v>96257</v>
      </c>
      <c r="L1629">
        <v>94806</v>
      </c>
      <c r="M1629">
        <v>95056</v>
      </c>
      <c r="N1629">
        <v>10144500</v>
      </c>
      <c r="O1629">
        <v>95056</v>
      </c>
      <c r="P1629">
        <v>-7.0924949078184901E-3</v>
      </c>
      <c r="Q1629">
        <v>-7.1177662117828501E-3</v>
      </c>
      <c r="R1629" s="8">
        <v>14.950798988342299</v>
      </c>
      <c r="S1629" s="8">
        <v>-3.29667004092216E-3</v>
      </c>
      <c r="T1629" s="9">
        <v>-3.3021160299814699E-3</v>
      </c>
      <c r="U1629" s="12">
        <v>1.1344999999999999E-2</v>
      </c>
      <c r="V1629" s="16">
        <v>5.1040999999999999</v>
      </c>
      <c r="W1629" s="17">
        <f t="shared" si="25"/>
        <v>1.0392746852482482E-2</v>
      </c>
    </row>
    <row r="1630" spans="1:23" x14ac:dyDescent="0.2">
      <c r="A1630" s="14">
        <v>43934</v>
      </c>
      <c r="B1630" s="3">
        <v>131747691475749</v>
      </c>
      <c r="C1630" s="3">
        <f>[1]!nefin_factors__1[[#This Row],[Rm_minus_Rf]]/B1629-1</f>
        <v>-2.1254069377205353</v>
      </c>
      <c r="D1630" s="3">
        <v>256117886179275</v>
      </c>
      <c r="E1630" s="3">
        <f>[1]!nefin_factors__1[[#This Row],[SMB]]/D1629-1</f>
        <v>4.3431739647055645</v>
      </c>
      <c r="F1630" s="3">
        <v>22358491571541</v>
      </c>
      <c r="G1630" s="3">
        <f>[1]!nefin_factors__1[[#This Row],[HML]]/F1629-1</f>
        <v>-0.97351374504382604</v>
      </c>
      <c r="H1630" s="3">
        <v>137289759743586</v>
      </c>
      <c r="I1630" s="4">
        <f>[1]!nefin_factors__1[[#This Row],[Risk_Free]]/H1629-1</f>
        <v>-5.5534940382396814E-3</v>
      </c>
      <c r="J1630">
        <v>95062</v>
      </c>
      <c r="K1630">
        <v>96852</v>
      </c>
      <c r="L1630">
        <v>95062</v>
      </c>
      <c r="M1630">
        <v>96203</v>
      </c>
      <c r="N1630">
        <v>10163300</v>
      </c>
      <c r="O1630">
        <v>96203</v>
      </c>
      <c r="P1630">
        <v>1.2066571284295601E-2</v>
      </c>
      <c r="Q1630">
        <v>1.1994350603217199E-2</v>
      </c>
      <c r="R1630" s="8">
        <v>15.7337789535522</v>
      </c>
      <c r="S1630" s="8">
        <v>5.2370442932212498E-2</v>
      </c>
      <c r="T1630" s="9">
        <v>5.1045184396413902E-2</v>
      </c>
      <c r="U1630" s="12">
        <v>1.1344999999999999E-2</v>
      </c>
      <c r="V1630" s="16">
        <v>4.9775</v>
      </c>
      <c r="W1630" s="17">
        <f t="shared" si="25"/>
        <v>-2.4803589271370052E-2</v>
      </c>
    </row>
    <row r="1631" spans="1:23" x14ac:dyDescent="0.2">
      <c r="A1631" s="15">
        <v>43935</v>
      </c>
      <c r="B1631" s="5">
        <v>140111940484891</v>
      </c>
      <c r="C1631" s="5">
        <f>[1]!nefin_factors__1[[#This Row],[Rm_minus_Rf]]/B1630-1</f>
        <v>6.3486873397562427E-2</v>
      </c>
      <c r="D1631" s="5">
        <v>831141111100666</v>
      </c>
      <c r="E1631" s="5">
        <f>[1]!nefin_factors__1[[#This Row],[SMB]]/D1630-1</f>
        <v>2.2451505964674863</v>
      </c>
      <c r="F1631" s="5">
        <v>-48757959962946</v>
      </c>
      <c r="G1631" s="5">
        <f>[1]!nefin_factors__1[[#This Row],[HML]]/F1630-1</f>
        <v>-3.1807356639840387</v>
      </c>
      <c r="H1631" s="5">
        <v>136139439513405</v>
      </c>
      <c r="I1631" s="6">
        <f>[1]!nefin_factors__1[[#This Row],[Risk_Free]]/H1630-1</f>
        <v>-8.3787766278375919E-3</v>
      </c>
      <c r="J1631">
        <v>96206</v>
      </c>
      <c r="K1631">
        <v>97864</v>
      </c>
      <c r="L1631">
        <v>96052</v>
      </c>
      <c r="M1631">
        <v>96235</v>
      </c>
      <c r="N1631">
        <v>10062900</v>
      </c>
      <c r="O1631">
        <v>96235</v>
      </c>
      <c r="P1631">
        <v>3.3262995956473402E-4</v>
      </c>
      <c r="Q1631">
        <v>3.32574650484366E-4</v>
      </c>
      <c r="R1631" s="8">
        <v>15.8903751373291</v>
      </c>
      <c r="S1631" s="8">
        <v>9.9528653757716707E-3</v>
      </c>
      <c r="T1631" s="9">
        <v>9.9036618194051403E-3</v>
      </c>
      <c r="U1631" s="12">
        <v>1.1344999999999999E-2</v>
      </c>
      <c r="V1631" s="16">
        <v>4.9330999999999996</v>
      </c>
      <c r="W1631" s="17">
        <f t="shared" si="25"/>
        <v>-8.9201406328478505E-3</v>
      </c>
    </row>
    <row r="1632" spans="1:23" x14ac:dyDescent="0.2">
      <c r="A1632" s="14">
        <v>43936</v>
      </c>
      <c r="B1632" s="3">
        <v>-117488693165296</v>
      </c>
      <c r="C1632" s="3">
        <f>[1]!nefin_factors__1[[#This Row],[Rm_minus_Rf]]/B1631-1</f>
        <v>-1.838534480064284</v>
      </c>
      <c r="D1632" s="3">
        <v>13400506659743</v>
      </c>
      <c r="E1632" s="3">
        <f>[1]!nefin_factors__1[[#This Row],[SMB]]/D1631-1</f>
        <v>-0.98387697771080418</v>
      </c>
      <c r="F1632" s="3">
        <v>546066057644312</v>
      </c>
      <c r="G1632" s="3">
        <f>[1]!nefin_factors__1[[#This Row],[HML]]/F1631-1</f>
        <v>-12.19952635547712</v>
      </c>
      <c r="H1632" s="3">
        <v>135755925627645</v>
      </c>
      <c r="I1632" s="4">
        <f>[1]!nefin_factors__1[[#This Row],[Risk_Free]]/H1631-1</f>
        <v>-2.8170667304843189E-3</v>
      </c>
      <c r="J1632">
        <v>96237</v>
      </c>
      <c r="K1632">
        <v>96765</v>
      </c>
      <c r="L1632">
        <v>95803</v>
      </c>
      <c r="M1632">
        <v>96765</v>
      </c>
      <c r="N1632">
        <v>5351600</v>
      </c>
      <c r="O1632">
        <v>96765</v>
      </c>
      <c r="P1632">
        <v>5.5073517950849898E-3</v>
      </c>
      <c r="Q1632">
        <v>5.4922417852275697E-3</v>
      </c>
      <c r="R1632" s="8">
        <v>16.244775772094702</v>
      </c>
      <c r="S1632" s="8">
        <v>2.23028488442087E-2</v>
      </c>
      <c r="T1632" s="9">
        <v>2.2057777477729801E-2</v>
      </c>
      <c r="U1632" s="12">
        <v>1.1344999999999999E-2</v>
      </c>
      <c r="V1632" s="16">
        <v>4.9057000000000004</v>
      </c>
      <c r="W1632" s="17">
        <f t="shared" si="25"/>
        <v>-5.5543167582249309E-3</v>
      </c>
    </row>
    <row r="1633" spans="1:23" x14ac:dyDescent="0.2">
      <c r="A1633" s="15">
        <v>43937</v>
      </c>
      <c r="B1633" s="5">
        <v>-13128459253107</v>
      </c>
      <c r="C1633" s="5">
        <f>[1]!nefin_factors__1[[#This Row],[Rm_minus_Rf]]/B1632-1</f>
        <v>-0.8882576791058826</v>
      </c>
      <c r="D1633" s="5">
        <v>-149594152122379</v>
      </c>
      <c r="E1633" s="5">
        <f>[1]!nefin_factors__1[[#This Row],[SMB]]/D1632-1</f>
        <v>-12.163320605763422</v>
      </c>
      <c r="F1633" s="5">
        <v>-751846379532934</v>
      </c>
      <c r="G1633" s="5">
        <f>[1]!nefin_factors__1[[#This Row],[HML]]/F1632-1</f>
        <v>-2.3768414443782548</v>
      </c>
      <c r="H1633" s="5">
        <v>135755925627645</v>
      </c>
      <c r="I1633" s="6">
        <f>[1]!nefin_factors__1[[#This Row],[Risk_Free]]/H1632-1</f>
        <v>0</v>
      </c>
      <c r="J1633">
        <v>96776</v>
      </c>
      <c r="K1633">
        <v>99257</v>
      </c>
      <c r="L1633">
        <v>96768</v>
      </c>
      <c r="M1633">
        <v>98937</v>
      </c>
      <c r="N1633">
        <v>9489400</v>
      </c>
      <c r="O1633">
        <v>98937</v>
      </c>
      <c r="P1633">
        <v>2.2446132382576402E-2</v>
      </c>
      <c r="Q1633">
        <v>2.2197925280631501E-2</v>
      </c>
      <c r="R1633" s="8">
        <v>17.959091186523398</v>
      </c>
      <c r="S1633" s="8">
        <v>0.105530260219015</v>
      </c>
      <c r="T1633" s="9">
        <v>0.10032509336862</v>
      </c>
      <c r="U1633" s="12">
        <v>1.1344999999999999E-2</v>
      </c>
      <c r="V1633" s="16">
        <v>4.8894000000000002</v>
      </c>
      <c r="W1633" s="17">
        <f t="shared" si="25"/>
        <v>-3.3226654707789738E-3</v>
      </c>
    </row>
    <row r="1634" spans="1:23" x14ac:dyDescent="0.2">
      <c r="A1634" s="14">
        <v>43938</v>
      </c>
      <c r="B1634" s="3">
        <v>113915057224032</v>
      </c>
      <c r="C1634" s="3">
        <f>[1]!nefin_factors__1[[#This Row],[Rm_minus_Rf]]/B1633-1</f>
        <v>-9.6769555381811241</v>
      </c>
      <c r="D1634" s="3">
        <v>458243799088221</v>
      </c>
      <c r="E1634" s="3">
        <f>[1]!nefin_factors__1[[#This Row],[SMB]]/D1633-1</f>
        <v>-4.0632467418468599</v>
      </c>
      <c r="F1634" s="3">
        <v>466040833015847</v>
      </c>
      <c r="G1634" s="3">
        <f>[1]!nefin_factors__1[[#This Row],[HML]]/F1633-1</f>
        <v>-1.6198617772228463</v>
      </c>
      <c r="H1634" s="3">
        <v>134988787100054</v>
      </c>
      <c r="I1634" s="4">
        <f>[1]!nefin_factors__1[[#This Row],[Risk_Free]]/H1633-1</f>
        <v>-5.6508658759775177E-3</v>
      </c>
      <c r="J1634">
        <v>98937</v>
      </c>
      <c r="K1634">
        <v>98938</v>
      </c>
      <c r="L1634">
        <v>97272</v>
      </c>
      <c r="M1634">
        <v>97761</v>
      </c>
      <c r="N1634">
        <v>8951400</v>
      </c>
      <c r="O1634">
        <v>97761</v>
      </c>
      <c r="P1634">
        <v>-1.18863519209194E-2</v>
      </c>
      <c r="Q1634">
        <v>-1.19575594294086E-2</v>
      </c>
      <c r="R1634" s="8">
        <v>16.714565277099599</v>
      </c>
      <c r="S1634" s="8">
        <v>-6.9297822283887395E-2</v>
      </c>
      <c r="T1634" s="9">
        <v>-7.1815947924172896E-2</v>
      </c>
      <c r="U1634" s="12">
        <v>1.1344999999999999E-2</v>
      </c>
      <c r="V1634" s="16">
        <v>5.0373000000000001</v>
      </c>
      <c r="W1634" s="17">
        <f t="shared" si="25"/>
        <v>3.0249110320284656E-2</v>
      </c>
    </row>
    <row r="1635" spans="1:23" x14ac:dyDescent="0.2">
      <c r="A1635" s="15">
        <v>43941</v>
      </c>
      <c r="B1635" s="5">
        <v>94367025893945</v>
      </c>
      <c r="C1635" s="5">
        <f>[1]!nefin_factors__1[[#This Row],[Rm_minus_Rf]]/B1634-1</f>
        <v>-0.17160182162435911</v>
      </c>
      <c r="D1635" s="5">
        <v>-448693009263744</v>
      </c>
      <c r="E1635" s="5">
        <f>[1]!nefin_factors__1[[#This Row],[SMB]]/D1634-1</f>
        <v>-1.979157841647873</v>
      </c>
      <c r="F1635" s="5">
        <v>-138818310058869</v>
      </c>
      <c r="G1635" s="5">
        <f>[1]!nefin_factors__1[[#This Row],[HML]]/F1634-1</f>
        <v>-1.2978672687552868</v>
      </c>
      <c r="H1635" s="5">
        <v>131534834838076</v>
      </c>
      <c r="I1635" s="6">
        <f>[1]!nefin_factors__1[[#This Row],[Risk_Free]]/H1634-1</f>
        <v>-2.5586956784921178E-2</v>
      </c>
      <c r="J1635">
        <v>97765</v>
      </c>
      <c r="K1635">
        <v>99973</v>
      </c>
      <c r="L1635">
        <v>97765</v>
      </c>
      <c r="M1635">
        <v>99770</v>
      </c>
      <c r="N1635">
        <v>9142700</v>
      </c>
      <c r="O1635">
        <v>99770</v>
      </c>
      <c r="P1635">
        <v>2.0550117122369899E-2</v>
      </c>
      <c r="Q1635">
        <v>2.03418124218783E-2</v>
      </c>
      <c r="R1635" s="8">
        <v>15.7008113861084</v>
      </c>
      <c r="S1635" s="8">
        <v>-6.0650927749831503E-2</v>
      </c>
      <c r="T1635" s="9">
        <v>-6.2568119920172693E-2</v>
      </c>
      <c r="U1635" s="12">
        <v>1.1344999999999999E-2</v>
      </c>
      <c r="V1635" s="16">
        <v>5.1882999999999999</v>
      </c>
      <c r="W1635" s="17">
        <f t="shared" si="25"/>
        <v>2.9976376233299629E-2</v>
      </c>
    </row>
    <row r="1636" spans="1:23" x14ac:dyDescent="0.2">
      <c r="A1636" s="14">
        <v>43943</v>
      </c>
      <c r="B1636" s="3">
        <v>234603068889231</v>
      </c>
      <c r="C1636" s="3">
        <f>[1]!nefin_factors__1[[#This Row],[Rm_minus_Rf]]/B1635-1</f>
        <v>1.4860703902324017</v>
      </c>
      <c r="D1636" s="3">
        <v>22997777956947</v>
      </c>
      <c r="E1636" s="3">
        <f>[1]!nefin_factors__1[[#This Row],[SMB]]/D1635-1</f>
        <v>-1.0512550395975275</v>
      </c>
      <c r="F1636" s="3">
        <v>722560300985631</v>
      </c>
      <c r="G1636" s="3">
        <f>[1]!nefin_factors__1[[#This Row],[HML]]/F1635-1</f>
        <v>-6.2050792195871942</v>
      </c>
      <c r="H1636" s="3">
        <v>126924902907222</v>
      </c>
      <c r="I1636" s="4">
        <f>[1]!nefin_factors__1[[#This Row],[Risk_Free]]/H1635-1</f>
        <v>-3.5047232442485532E-2</v>
      </c>
      <c r="J1636">
        <v>99770</v>
      </c>
      <c r="K1636">
        <v>100191</v>
      </c>
      <c r="L1636">
        <v>98861</v>
      </c>
      <c r="M1636">
        <v>99160</v>
      </c>
      <c r="N1636">
        <v>0</v>
      </c>
      <c r="O1636">
        <v>99160</v>
      </c>
      <c r="P1636">
        <v>-6.1140623433898504E-3</v>
      </c>
      <c r="Q1636">
        <v>-6.13282975842608E-3</v>
      </c>
      <c r="R1636" s="8">
        <v>15.9068593978882</v>
      </c>
      <c r="S1636" s="8">
        <v>1.31233989577182E-2</v>
      </c>
      <c r="T1636" s="9">
        <v>1.3038033205721399E-2</v>
      </c>
      <c r="U1636" s="12">
        <v>1.1344999999999999E-2</v>
      </c>
      <c r="V1636" s="16">
        <v>5.1284999999999998</v>
      </c>
      <c r="W1636" s="17">
        <f t="shared" si="25"/>
        <v>-1.1525933350037598E-2</v>
      </c>
    </row>
    <row r="1637" spans="1:23" x14ac:dyDescent="0.2">
      <c r="A1637" s="15">
        <v>43944</v>
      </c>
      <c r="B1637" s="5">
        <v>-124078576256344</v>
      </c>
      <c r="C1637" s="5">
        <f>[1]!nefin_factors__1[[#This Row],[Rm_minus_Rf]]/B1636-1</f>
        <v>-1.5288872683712773</v>
      </c>
      <c r="D1637" s="5">
        <v>739866371874661</v>
      </c>
      <c r="E1637" s="5">
        <f>[1]!nefin_factors__1[[#This Row],[SMB]]/D1636-1</f>
        <v>31.17121120395754</v>
      </c>
      <c r="F1637" s="5">
        <v>775298440632356</v>
      </c>
      <c r="G1637" s="5">
        <f>[1]!nefin_factors__1[[#This Row],[HML]]/F1636-1</f>
        <v>7.2987873226339595E-2</v>
      </c>
      <c r="H1637" s="5">
        <v>126924902907222</v>
      </c>
      <c r="I1637" s="6">
        <f>[1]!nefin_factors__1[[#This Row],[Risk_Free]]/H1636-1</f>
        <v>0</v>
      </c>
      <c r="J1637">
        <v>99160</v>
      </c>
      <c r="K1637">
        <v>100101</v>
      </c>
      <c r="L1637">
        <v>98739</v>
      </c>
      <c r="M1637">
        <v>100032</v>
      </c>
      <c r="N1637">
        <v>9147200</v>
      </c>
      <c r="O1637">
        <v>100032</v>
      </c>
      <c r="P1637">
        <v>8.7938684953610107E-3</v>
      </c>
      <c r="Q1637">
        <v>8.7554276320216395E-3</v>
      </c>
      <c r="R1637" s="8">
        <v>18.1321716308594</v>
      </c>
      <c r="S1637" s="8">
        <v>0.139896391695436</v>
      </c>
      <c r="T1637" s="9">
        <v>0.13093737379847201</v>
      </c>
      <c r="U1637" s="12">
        <v>1.1344999999999999E-2</v>
      </c>
      <c r="V1637" s="16">
        <v>5.2499000000000002</v>
      </c>
      <c r="W1637" s="17">
        <f t="shared" si="25"/>
        <v>2.3671638880764512E-2</v>
      </c>
    </row>
    <row r="1638" spans="1:23" x14ac:dyDescent="0.2">
      <c r="A1638" s="14">
        <v>43945</v>
      </c>
      <c r="B1638" s="3">
        <v>-536105123942466</v>
      </c>
      <c r="C1638" s="3">
        <f>[1]!nefin_factors__1[[#This Row],[Rm_minus_Rf]]/B1637-1</f>
        <v>3.3206904859617579</v>
      </c>
      <c r="D1638" s="3">
        <v>-106458259952848</v>
      </c>
      <c r="E1638" s="3">
        <f>[1]!nefin_factors__1[[#This Row],[SMB]]/D1637-1</f>
        <v>-1.143888496625554</v>
      </c>
      <c r="F1638" s="3">
        <v>-23192954385018</v>
      </c>
      <c r="G1638" s="3">
        <f>[1]!nefin_factors__1[[#This Row],[HML]]/F1637-1</f>
        <v>-1.0299148729953604</v>
      </c>
      <c r="H1638" s="3">
        <v>129998783388041</v>
      </c>
      <c r="I1638" s="4">
        <f>[1]!nefin_factors__1[[#This Row],[Risk_Free]]/H1637-1</f>
        <v>2.4218103858357098E-2</v>
      </c>
      <c r="J1638">
        <v>100027</v>
      </c>
      <c r="K1638">
        <v>100858</v>
      </c>
      <c r="L1638">
        <v>98697</v>
      </c>
      <c r="M1638">
        <v>98697</v>
      </c>
      <c r="N1638">
        <v>10382300</v>
      </c>
      <c r="O1638">
        <v>98697</v>
      </c>
      <c r="P1638">
        <v>-1.33457293666027E-2</v>
      </c>
      <c r="Q1638">
        <v>-1.3435583958295199E-2</v>
      </c>
      <c r="R1638" s="8">
        <v>18.560749053955099</v>
      </c>
      <c r="S1638" s="8">
        <v>2.3636298608948898E-2</v>
      </c>
      <c r="T1638" s="9">
        <v>2.33612863872781E-2</v>
      </c>
      <c r="U1638" s="12">
        <v>8.4419999999999999E-3</v>
      </c>
      <c r="V1638" s="16">
        <v>5.3468</v>
      </c>
      <c r="W1638" s="17">
        <f t="shared" si="25"/>
        <v>1.8457494428465226E-2</v>
      </c>
    </row>
    <row r="1639" spans="1:23" x14ac:dyDescent="0.2">
      <c r="A1639" s="15">
        <v>43948</v>
      </c>
      <c r="B1639" s="5">
        <v>378730378688284</v>
      </c>
      <c r="C1639" s="5">
        <f>[1]!nefin_factors__1[[#This Row],[Rm_minus_Rf]]/B1638-1</f>
        <v>-1.7064479740524336</v>
      </c>
      <c r="D1639" s="5">
        <v>920606941262486</v>
      </c>
      <c r="E1639" s="5">
        <f>[1]!nefin_factors__1[[#This Row],[SMB]]/D1638-1</f>
        <v>-9.6475858394664442</v>
      </c>
      <c r="F1639" s="5">
        <v>-159160169951238</v>
      </c>
      <c r="G1639" s="5">
        <f>[1]!nefin_factors__1[[#This Row],[HML]]/F1638-1</f>
        <v>5.8624362083879671</v>
      </c>
      <c r="H1639" s="5">
        <v>129998783388041</v>
      </c>
      <c r="I1639" s="6">
        <f>[1]!nefin_factors__1[[#This Row],[Risk_Free]]/H1638-1</f>
        <v>0</v>
      </c>
      <c r="J1639">
        <v>98699</v>
      </c>
      <c r="K1639">
        <v>100632</v>
      </c>
      <c r="L1639">
        <v>98289</v>
      </c>
      <c r="M1639">
        <v>100440</v>
      </c>
      <c r="N1639">
        <v>10019400</v>
      </c>
      <c r="O1639">
        <v>100440</v>
      </c>
      <c r="P1639">
        <v>1.7660111249582E-2</v>
      </c>
      <c r="Q1639">
        <v>1.7505983448668001E-2</v>
      </c>
      <c r="R1639" s="8">
        <v>18.709102630615199</v>
      </c>
      <c r="S1639" s="8">
        <v>7.9928658174786005E-3</v>
      </c>
      <c r="T1639" s="9">
        <v>7.9610920621056205E-3</v>
      </c>
      <c r="U1639" s="12">
        <v>8.4419999999999999E-3</v>
      </c>
      <c r="V1639" s="16">
        <v>5.3465999999999996</v>
      </c>
      <c r="W1639" s="17">
        <f t="shared" si="25"/>
        <v>-3.7405550983860003E-5</v>
      </c>
    </row>
    <row r="1640" spans="1:23" x14ac:dyDescent="0.2">
      <c r="A1640" s="14">
        <v>43949</v>
      </c>
      <c r="B1640" s="3">
        <v>358404635251095</v>
      </c>
      <c r="C1640" s="3">
        <f>[1]!nefin_factors__1[[#This Row],[Rm_minus_Rf]]/B1639-1</f>
        <v>-5.3668109507313155E-2</v>
      </c>
      <c r="D1640" s="3">
        <v>-321689370686749</v>
      </c>
      <c r="E1640" s="3">
        <f>[1]!nefin_factors__1[[#This Row],[SMB]]/D1639-1</f>
        <v>-1.3494318327054935</v>
      </c>
      <c r="F1640" s="3">
        <v>199811267207543</v>
      </c>
      <c r="G1640" s="3">
        <f>[1]!nefin_factors__1[[#This Row],[HML]]/F1639-1</f>
        <v>-2.2554099889988763</v>
      </c>
      <c r="H1640" s="3">
        <v>127309267674347</v>
      </c>
      <c r="I1640" s="4">
        <f>[1]!nefin_factors__1[[#This Row],[Risk_Free]]/H1639-1</f>
        <v>-2.0688776030048706E-2</v>
      </c>
      <c r="J1640">
        <v>100444</v>
      </c>
      <c r="K1640">
        <v>102114</v>
      </c>
      <c r="L1640">
        <v>100444</v>
      </c>
      <c r="M1640">
        <v>101791</v>
      </c>
      <c r="N1640">
        <v>9285600</v>
      </c>
      <c r="O1640">
        <v>101791</v>
      </c>
      <c r="P1640">
        <v>1.34508164078058E-2</v>
      </c>
      <c r="Q1640">
        <v>1.3361157274362901E-2</v>
      </c>
      <c r="R1640" s="8">
        <v>19.007907867431602</v>
      </c>
      <c r="S1640" s="8">
        <v>1.59711153824902E-2</v>
      </c>
      <c r="T1640" s="9">
        <v>1.5844919010513901E-2</v>
      </c>
      <c r="U1640" s="12">
        <v>8.4419999999999999E-3</v>
      </c>
      <c r="V1640" s="16">
        <v>5.2225999999999999</v>
      </c>
      <c r="W1640" s="17">
        <f t="shared" si="25"/>
        <v>-2.3192309131036537E-2</v>
      </c>
    </row>
    <row r="1641" spans="1:23" x14ac:dyDescent="0.2">
      <c r="A1641" s="15">
        <v>43950</v>
      </c>
      <c r="B1641" s="5">
        <v>19992029530685</v>
      </c>
      <c r="C1641" s="5">
        <f>[1]!nefin_factors__1[[#This Row],[Rm_minus_Rf]]/B1640-1</f>
        <v>-0.94421938902470171</v>
      </c>
      <c r="D1641" s="5">
        <v>119905972045482</v>
      </c>
      <c r="E1641" s="5">
        <f>[1]!nefin_factors__1[[#This Row],[SMB]]/D1640-1</f>
        <v>-1.3727383711482424</v>
      </c>
      <c r="F1641" s="5">
        <v>227200900000142</v>
      </c>
      <c r="G1641" s="5">
        <f>[1]!nefin_factors__1[[#This Row],[HML]]/F1640-1</f>
        <v>0.1370775190777882</v>
      </c>
      <c r="H1641" s="5">
        <v>125771586092727</v>
      </c>
      <c r="I1641" s="6">
        <f>[1]!nefin_factors__1[[#This Row],[Risk_Free]]/H1640-1</f>
        <v>-1.2078316132909772E-2</v>
      </c>
      <c r="J1641">
        <v>101791</v>
      </c>
      <c r="K1641">
        <v>101792</v>
      </c>
      <c r="L1641">
        <v>100160</v>
      </c>
      <c r="M1641">
        <v>100553</v>
      </c>
      <c r="N1641">
        <v>8127100</v>
      </c>
      <c r="O1641">
        <v>100553</v>
      </c>
      <c r="P1641">
        <v>-1.21621754379071E-2</v>
      </c>
      <c r="Q1641">
        <v>-1.22367398876316E-2</v>
      </c>
      <c r="R1641" s="8">
        <v>19.445877075195298</v>
      </c>
      <c r="S1641" s="8">
        <v>2.3041421013729298E-2</v>
      </c>
      <c r="T1641" s="9">
        <v>2.27799758992927E-2</v>
      </c>
      <c r="U1641" s="12">
        <v>8.4419999999999999E-3</v>
      </c>
      <c r="V1641" s="16">
        <v>5.1704999999999997</v>
      </c>
      <c r="W1641" s="17">
        <f t="shared" si="25"/>
        <v>-9.9758740857044392E-3</v>
      </c>
    </row>
    <row r="1642" spans="1:23" x14ac:dyDescent="0.2">
      <c r="A1642" s="14">
        <v>43951</v>
      </c>
      <c r="B1642" s="3">
        <v>-310225217807666</v>
      </c>
      <c r="C1642" s="3">
        <f>[1]!nefin_factors__1[[#This Row],[Rm_minus_Rf]]/B1641-1</f>
        <v>-16.51744495632688</v>
      </c>
      <c r="D1642" s="3">
        <v>589977107602</v>
      </c>
      <c r="E1642" s="3">
        <f>[1]!nefin_factors__1[[#This Row],[SMB]]/D1641-1</f>
        <v>-0.99507966869758402</v>
      </c>
      <c r="F1642" s="3">
        <v>-341423097187718</v>
      </c>
      <c r="G1642" s="3">
        <f>[1]!nefin_factors__1[[#This Row],[HML]]/F1641-1</f>
        <v>-2.502736552485068</v>
      </c>
      <c r="H1642" s="3">
        <v>123463950510772</v>
      </c>
      <c r="I1642" s="4">
        <f>[1]!nefin_factors__1[[#This Row],[Risk_Free]]/H1641-1</f>
        <v>-1.8347829216796674E-2</v>
      </c>
      <c r="J1642">
        <v>100554</v>
      </c>
      <c r="K1642">
        <v>103017</v>
      </c>
      <c r="L1642">
        <v>100554</v>
      </c>
      <c r="M1642">
        <v>102888</v>
      </c>
      <c r="N1642">
        <v>10429400</v>
      </c>
      <c r="O1642">
        <v>102888</v>
      </c>
      <c r="P1642">
        <v>2.3221584636957698E-2</v>
      </c>
      <c r="Q1642">
        <v>2.2956066287670301E-2</v>
      </c>
      <c r="R1642" s="8">
        <v>19.095502853393601</v>
      </c>
      <c r="S1642" s="8">
        <v>-1.80179181657323E-2</v>
      </c>
      <c r="T1642" s="9">
        <v>-1.8182217398757802E-2</v>
      </c>
      <c r="U1642" s="12">
        <v>8.4419999999999999E-3</v>
      </c>
      <c r="V1642" s="16">
        <v>5.2435</v>
      </c>
      <c r="W1642" s="17">
        <f t="shared" si="25"/>
        <v>1.4118557199497284E-2</v>
      </c>
    </row>
    <row r="1643" spans="1:23" x14ac:dyDescent="0.2">
      <c r="A1643" s="15">
        <v>43955</v>
      </c>
      <c r="B1643" s="5">
        <v>-154173705506518</v>
      </c>
      <c r="C1643" s="5">
        <f>[1]!nefin_factors__1[[#This Row],[Rm_minus_Rf]]/B1642-1</f>
        <v>-0.5030265218409713</v>
      </c>
      <c r="D1643" s="5">
        <v>-892144423694621</v>
      </c>
      <c r="E1643" s="5">
        <f>[1]!nefin_factors__1[[#This Row],[SMB]]/D1642-1</f>
        <v>-1513.1678658360145</v>
      </c>
      <c r="F1643" s="5">
        <v>-356288089983494</v>
      </c>
      <c r="G1643" s="5">
        <f>[1]!nefin_factors__1[[#This Row],[HML]]/F1642-1</f>
        <v>4.3538333868499368E-2</v>
      </c>
      <c r="H1643" s="5">
        <v>123079214613853</v>
      </c>
      <c r="I1643" s="6">
        <f>[1]!nefin_factors__1[[#This Row],[Risk_Free]]/H1642-1</f>
        <v>-3.1161800292907049E-3</v>
      </c>
      <c r="J1643">
        <v>102888</v>
      </c>
      <c r="K1643">
        <v>104439</v>
      </c>
      <c r="L1643">
        <v>102744</v>
      </c>
      <c r="M1643">
        <v>104426</v>
      </c>
      <c r="N1643">
        <v>8931800</v>
      </c>
      <c r="O1643">
        <v>104426</v>
      </c>
      <c r="P1643">
        <v>1.4948293289790899E-2</v>
      </c>
      <c r="Q1643">
        <v>1.4837668624499201E-2</v>
      </c>
      <c r="R1643" s="8">
        <v>18.937831878662099</v>
      </c>
      <c r="S1643" s="8">
        <v>-8.2569689807056E-3</v>
      </c>
      <c r="T1643" s="9">
        <v>-8.2912465654550998E-3</v>
      </c>
      <c r="U1643" s="12">
        <v>8.4419999999999999E-3</v>
      </c>
      <c r="V1643" s="16">
        <v>5.3287000000000004</v>
      </c>
      <c r="W1643" s="17">
        <f t="shared" si="25"/>
        <v>1.6248688852865456E-2</v>
      </c>
    </row>
    <row r="1644" spans="1:23" x14ac:dyDescent="0.2">
      <c r="A1644" s="14">
        <v>43956</v>
      </c>
      <c r="B1644" s="3">
        <v>806937342577801</v>
      </c>
      <c r="C1644" s="3">
        <f>[1]!nefin_factors__1[[#This Row],[Rm_minus_Rf]]/B1643-1</f>
        <v>-6.233949199876279</v>
      </c>
      <c r="D1644" s="3">
        <v>-775627857327371</v>
      </c>
      <c r="E1644" s="3">
        <f>[1]!nefin_factors__1[[#This Row],[SMB]]/D1643-1</f>
        <v>-0.13060280742967845</v>
      </c>
      <c r="F1644" s="3">
        <v>-133479021813254</v>
      </c>
      <c r="G1644" s="3">
        <f>[1]!nefin_factors__1[[#This Row],[HML]]/F1643-1</f>
        <v>-0.62536210003697357</v>
      </c>
      <c r="H1644" s="3">
        <v>119229811072374</v>
      </c>
      <c r="I1644" s="4">
        <f>[1]!nefin_factors__1[[#This Row],[Risk_Free]]/H1643-1</f>
        <v>-3.1275821458205288E-2</v>
      </c>
      <c r="J1644">
        <v>104426</v>
      </c>
      <c r="K1644">
        <v>105449</v>
      </c>
      <c r="L1644">
        <v>103732</v>
      </c>
      <c r="M1644">
        <v>104310</v>
      </c>
      <c r="N1644">
        <v>11105800</v>
      </c>
      <c r="O1644">
        <v>104310</v>
      </c>
      <c r="P1644">
        <v>-1.11083446651217E-3</v>
      </c>
      <c r="Q1644">
        <v>-1.11145190040508E-3</v>
      </c>
      <c r="R1644" s="8">
        <v>19.840051651001001</v>
      </c>
      <c r="S1644" s="8">
        <v>4.76411332680289E-2</v>
      </c>
      <c r="T1644" s="9">
        <v>4.6541097168521499E-2</v>
      </c>
      <c r="U1644" s="12">
        <v>8.4419999999999999E-3</v>
      </c>
      <c r="V1644" s="16">
        <v>5.4629000000000003</v>
      </c>
      <c r="W1644" s="17">
        <f t="shared" si="25"/>
        <v>2.5184378929194784E-2</v>
      </c>
    </row>
    <row r="1645" spans="1:23" x14ac:dyDescent="0.2">
      <c r="A1645" s="15">
        <v>43957</v>
      </c>
      <c r="B1645" s="5">
        <v>-386412984377265</v>
      </c>
      <c r="C1645" s="5">
        <f>[1]!nefin_factors__1[[#This Row],[Rm_minus_Rf]]/B1644-1</f>
        <v>-1.4788636787372482</v>
      </c>
      <c r="D1645" s="5">
        <v>350276729657407</v>
      </c>
      <c r="E1645" s="5">
        <f>[1]!nefin_factors__1[[#This Row],[SMB]]/D1644-1</f>
        <v>-1.4516041118796033</v>
      </c>
      <c r="F1645" s="5">
        <v>-886294726638354</v>
      </c>
      <c r="G1645" s="5">
        <f>[1]!nefin_factors__1[[#This Row],[HML]]/F1644-1</f>
        <v>5.6399552124253587</v>
      </c>
      <c r="H1645" s="5">
        <v>119229811072374</v>
      </c>
      <c r="I1645" s="6">
        <f>[1]!nefin_factors__1[[#This Row],[Risk_Free]]/H1644-1</f>
        <v>0</v>
      </c>
      <c r="J1645">
        <v>104312</v>
      </c>
      <c r="K1645">
        <v>104980</v>
      </c>
      <c r="L1645">
        <v>103277</v>
      </c>
      <c r="M1645">
        <v>104290</v>
      </c>
      <c r="N1645">
        <v>10833700</v>
      </c>
      <c r="O1645">
        <v>104290</v>
      </c>
      <c r="P1645">
        <v>-1.9173617102863401E-4</v>
      </c>
      <c r="Q1645">
        <v>-1.9175455475819501E-4</v>
      </c>
      <c r="R1645" s="8">
        <v>19.1830959320068</v>
      </c>
      <c r="S1645" s="8">
        <v>-3.3112601244714802E-2</v>
      </c>
      <c r="T1645" s="9">
        <v>-3.3673234202149301E-2</v>
      </c>
      <c r="U1645" s="12">
        <v>8.4419999999999999E-3</v>
      </c>
      <c r="V1645" s="16">
        <v>5.4416000000000002</v>
      </c>
      <c r="W1645" s="17">
        <f t="shared" si="25"/>
        <v>-3.8990279887971546E-3</v>
      </c>
    </row>
    <row r="1646" spans="1:23" x14ac:dyDescent="0.2">
      <c r="A1646" s="14">
        <v>43958</v>
      </c>
      <c r="B1646" s="3">
        <v>-142994397467601</v>
      </c>
      <c r="C1646" s="3">
        <f>[1]!nefin_factors__1[[#This Row],[Rm_minus_Rf]]/B1645-1</f>
        <v>-0.62994411873077261</v>
      </c>
      <c r="D1646" s="3">
        <v>-193853999316454</v>
      </c>
      <c r="E1646" s="3">
        <f>[1]!nefin_factors__1[[#This Row],[SMB]]/D1645-1</f>
        <v>-1.5534309958473564</v>
      </c>
      <c r="F1646" s="3">
        <v>294361440406498</v>
      </c>
      <c r="G1646" s="3">
        <f>[1]!nefin_factors__1[[#This Row],[HML]]/F1645-1</f>
        <v>-1.3321259075104597</v>
      </c>
      <c r="H1646" s="3">
        <v>111905683032099</v>
      </c>
      <c r="I1646" s="4">
        <f>[1]!nefin_factors__1[[#This Row],[Risk_Free]]/H1645-1</f>
        <v>-6.1428664311387382E-2</v>
      </c>
      <c r="J1646">
        <v>104291</v>
      </c>
      <c r="K1646">
        <v>104949</v>
      </c>
      <c r="L1646">
        <v>102119</v>
      </c>
      <c r="M1646">
        <v>102293</v>
      </c>
      <c r="N1646">
        <v>10366600</v>
      </c>
      <c r="O1646">
        <v>102293</v>
      </c>
      <c r="P1646">
        <v>-1.9148528142679099E-2</v>
      </c>
      <c r="Q1646">
        <v>-1.9334235714178201E-2</v>
      </c>
      <c r="R1646" s="8">
        <v>18.482343673706101</v>
      </c>
      <c r="S1646" s="8">
        <v>-3.6529674917153601E-2</v>
      </c>
      <c r="T1646" s="9">
        <v>-3.7213590685726501E-2</v>
      </c>
      <c r="U1646" s="12">
        <v>8.4419999999999999E-3</v>
      </c>
      <c r="V1646" s="16">
        <v>5.476</v>
      </c>
      <c r="W1646" s="17">
        <f t="shared" si="25"/>
        <v>6.3216700970303297E-3</v>
      </c>
    </row>
    <row r="1647" spans="1:23" x14ac:dyDescent="0.2">
      <c r="A1647" s="15">
        <v>43959</v>
      </c>
      <c r="B1647" s="5">
        <v>240861046180424</v>
      </c>
      <c r="C1647" s="5">
        <f>[1]!nefin_factors__1[[#This Row],[Rm_minus_Rf]]/B1646-1</f>
        <v>-2.6844089729808971</v>
      </c>
      <c r="D1647" s="5">
        <v>-131246458017007</v>
      </c>
      <c r="E1647" s="5">
        <f>[1]!nefin_factors__1[[#This Row],[SMB]]/D1646-1</f>
        <v>-0.32296234031903714</v>
      </c>
      <c r="F1647" s="5">
        <v>136236214126756</v>
      </c>
      <c r="G1647" s="5">
        <f>[1]!nefin_factors__1[[#This Row],[HML]]/F1646-1</f>
        <v>-0.53718050183943655</v>
      </c>
      <c r="H1647" s="5">
        <v>111519829425033</v>
      </c>
      <c r="I1647" s="6">
        <f>[1]!nefin_factors__1[[#This Row],[Risk_Free]]/H1646-1</f>
        <v>-3.4480251280475382E-3</v>
      </c>
      <c r="J1647">
        <v>102292</v>
      </c>
      <c r="K1647">
        <v>102694</v>
      </c>
      <c r="L1647">
        <v>100859</v>
      </c>
      <c r="M1647">
        <v>102382</v>
      </c>
      <c r="N1647">
        <v>9795200</v>
      </c>
      <c r="O1647">
        <v>102382</v>
      </c>
      <c r="P1647">
        <v>8.7004975902549297E-4</v>
      </c>
      <c r="Q1647">
        <v>8.6967148512940998E-4</v>
      </c>
      <c r="R1647" s="8">
        <v>18.079410552978501</v>
      </c>
      <c r="S1647" s="8">
        <v>-2.1800975452088998E-2</v>
      </c>
      <c r="T1647" s="9">
        <v>-2.2042128068227002E-2</v>
      </c>
      <c r="U1647" s="12">
        <v>8.4419999999999999E-3</v>
      </c>
      <c r="V1647" s="16">
        <v>5.3651</v>
      </c>
      <c r="W1647" s="17">
        <f t="shared" si="25"/>
        <v>-2.0252008765522245E-2</v>
      </c>
    </row>
    <row r="1648" spans="1:23" x14ac:dyDescent="0.2">
      <c r="A1648" s="14">
        <v>43962</v>
      </c>
      <c r="B1648" s="3">
        <v>-131373001043193</v>
      </c>
      <c r="C1648" s="3">
        <f>[1]!nefin_factors__1[[#This Row],[Rm_minus_Rf]]/B1647-1</f>
        <v>-1.5454306668782971</v>
      </c>
      <c r="D1648" s="3">
        <v>-215617384914416</v>
      </c>
      <c r="E1648" s="3">
        <f>[1]!nefin_factors__1[[#This Row],[SMB]]/D1647-1</f>
        <v>0.64284345781336172</v>
      </c>
      <c r="F1648" s="3">
        <v>-671567928014369</v>
      </c>
      <c r="G1648" s="3">
        <f>[1]!nefin_factors__1[[#This Row],[HML]]/F1647-1</f>
        <v>-5.9294376852657784</v>
      </c>
      <c r="H1648" s="3">
        <v>110748010096362</v>
      </c>
      <c r="I1648" s="4">
        <f>[1]!nefin_factors__1[[#This Row],[Risk_Free]]/H1647-1</f>
        <v>-6.9209156133962502E-3</v>
      </c>
      <c r="J1648">
        <v>102381</v>
      </c>
      <c r="K1648">
        <v>104585</v>
      </c>
      <c r="L1648">
        <v>102381</v>
      </c>
      <c r="M1648">
        <v>104477</v>
      </c>
      <c r="N1648">
        <v>9622400</v>
      </c>
      <c r="O1648">
        <v>104477</v>
      </c>
      <c r="P1648">
        <v>2.0462581313121401E-2</v>
      </c>
      <c r="Q1648">
        <v>2.0256035582401199E-2</v>
      </c>
      <c r="R1648" s="8">
        <v>18.403509140014599</v>
      </c>
      <c r="S1648" s="8">
        <v>1.7926391244140302E-2</v>
      </c>
      <c r="T1648" s="9">
        <v>1.7767608288242101E-2</v>
      </c>
      <c r="U1648" s="12">
        <v>8.4419999999999999E-3</v>
      </c>
      <c r="V1648" s="16">
        <v>5.3028000000000004</v>
      </c>
      <c r="W1648" s="17">
        <f t="shared" si="25"/>
        <v>-1.1612085515647297E-2</v>
      </c>
    </row>
    <row r="1649" spans="1:23" x14ac:dyDescent="0.2">
      <c r="A1649" s="15">
        <v>43963</v>
      </c>
      <c r="B1649" s="5">
        <v>-156366925264756</v>
      </c>
      <c r="C1649" s="5">
        <f>[1]!nefin_factors__1[[#This Row],[Rm_minus_Rf]]/B1648-1</f>
        <v>0.1902516043866993</v>
      </c>
      <c r="D1649" s="5">
        <v>-145052688122483</v>
      </c>
      <c r="E1649" s="5">
        <f>[1]!nefin_factors__1[[#This Row],[SMB]]/D1648-1</f>
        <v>-0.32726812274410022</v>
      </c>
      <c r="F1649" s="5">
        <v>-683033816628801</v>
      </c>
      <c r="G1649" s="5">
        <f>[1]!nefin_factors__1[[#This Row],[HML]]/F1648-1</f>
        <v>1.7073311777012989E-2</v>
      </c>
      <c r="H1649" s="5">
        <v>111133938448749</v>
      </c>
      <c r="I1649" s="6">
        <f>[1]!nefin_factors__1[[#This Row],[Risk_Free]]/H1648-1</f>
        <v>3.4847429949413922E-3</v>
      </c>
      <c r="J1649">
        <v>104477</v>
      </c>
      <c r="K1649">
        <v>104663</v>
      </c>
      <c r="L1649">
        <v>103592</v>
      </c>
      <c r="M1649">
        <v>104109</v>
      </c>
      <c r="N1649">
        <v>9087100</v>
      </c>
      <c r="O1649">
        <v>104109</v>
      </c>
      <c r="P1649">
        <v>-3.5223063449371099E-3</v>
      </c>
      <c r="Q1649">
        <v>-3.5285242711854399E-3</v>
      </c>
      <c r="R1649" s="8">
        <v>18.823959350585898</v>
      </c>
      <c r="S1649" s="8">
        <v>2.2846197829581701E-2</v>
      </c>
      <c r="T1649" s="9">
        <v>2.2589131414051101E-2</v>
      </c>
      <c r="U1649" s="12">
        <v>8.4419999999999999E-3</v>
      </c>
      <c r="V1649" s="16">
        <v>5.3373999999999997</v>
      </c>
      <c r="W1649" s="17">
        <f t="shared" si="25"/>
        <v>6.5248547936938017E-3</v>
      </c>
    </row>
    <row r="1650" spans="1:23" x14ac:dyDescent="0.2">
      <c r="A1650" s="14">
        <v>43964</v>
      </c>
      <c r="B1650" s="3">
        <v>-399118087395711</v>
      </c>
      <c r="C1650" s="3">
        <f>[1]!nefin_factors__1[[#This Row],[Rm_minus_Rf]]/B1649-1</f>
        <v>1.5524457088347532</v>
      </c>
      <c r="D1650" s="3">
        <v>-443588570866938</v>
      </c>
      <c r="E1650" s="3">
        <f>[1]!nefin_factors__1[[#This Row],[SMB]]/D1649-1</f>
        <v>2.0581203051705614</v>
      </c>
      <c r="F1650" s="3">
        <v>-296346266447204</v>
      </c>
      <c r="G1650" s="3">
        <f>[1]!nefin_factors__1[[#This Row],[HML]]/F1649-1</f>
        <v>-0.56613236529069944</v>
      </c>
      <c r="H1650" s="3">
        <v>111133938448749</v>
      </c>
      <c r="I1650" s="4">
        <f>[1]!nefin_factors__1[[#This Row],[Risk_Free]]/H1649-1</f>
        <v>0</v>
      </c>
      <c r="J1650">
        <v>104112</v>
      </c>
      <c r="K1650">
        <v>105704</v>
      </c>
      <c r="L1650">
        <v>104112</v>
      </c>
      <c r="M1650">
        <v>105605</v>
      </c>
      <c r="N1650">
        <v>9238300</v>
      </c>
      <c r="O1650">
        <v>105605</v>
      </c>
      <c r="P1650">
        <v>1.436955498564E-2</v>
      </c>
      <c r="Q1650">
        <v>1.4267291420816799E-2</v>
      </c>
      <c r="R1650" s="8">
        <v>18.7801628112793</v>
      </c>
      <c r="S1650" s="8">
        <v>-2.3266380090901698E-3</v>
      </c>
      <c r="T1650" s="9">
        <v>-2.3293488368623799E-3</v>
      </c>
      <c r="U1650" s="12">
        <v>8.4419999999999999E-3</v>
      </c>
      <c r="V1650" s="16">
        <v>5.3085000000000004</v>
      </c>
      <c r="W1650" s="17">
        <f t="shared" si="25"/>
        <v>-5.4146213512195063E-3</v>
      </c>
    </row>
    <row r="1651" spans="1:23" x14ac:dyDescent="0.2">
      <c r="A1651" s="15">
        <v>43965</v>
      </c>
      <c r="B1651" s="5">
        <v>165740686541372</v>
      </c>
      <c r="C1651" s="5">
        <f>[1]!nefin_factors__1[[#This Row],[Rm_minus_Rf]]/B1650-1</f>
        <v>-1.415267289996422</v>
      </c>
      <c r="D1651" s="5">
        <v>158935861190906</v>
      </c>
      <c r="E1651" s="5">
        <f>[1]!nefin_factors__1[[#This Row],[SMB]]/D1650-1</f>
        <v>-1.3582956632094598</v>
      </c>
      <c r="F1651" s="5">
        <v>10973664831467</v>
      </c>
      <c r="G1651" s="5">
        <f>[1]!nefin_factors__1[[#This Row],[HML]]/F1650-1</f>
        <v>-1.0370298737454215</v>
      </c>
      <c r="H1651" s="5">
        <v>110362044360102</v>
      </c>
      <c r="I1651" s="6">
        <f>[1]!nefin_factors__1[[#This Row],[Risk_Free]]/H1650-1</f>
        <v>-6.945619847738671E-3</v>
      </c>
      <c r="J1651">
        <v>105605</v>
      </c>
      <c r="K1651">
        <v>105607</v>
      </c>
      <c r="L1651">
        <v>103920</v>
      </c>
      <c r="M1651">
        <v>105009</v>
      </c>
      <c r="N1651">
        <v>9591700</v>
      </c>
      <c r="O1651">
        <v>105009</v>
      </c>
      <c r="P1651">
        <v>-5.6436721746129202E-3</v>
      </c>
      <c r="Q1651">
        <v>-5.65965786612727E-3</v>
      </c>
      <c r="R1651" s="8">
        <v>18.832719802856399</v>
      </c>
      <c r="S1651" s="8">
        <v>2.7985375901844502E-3</v>
      </c>
      <c r="T1651" s="9">
        <v>2.79462897443657E-3</v>
      </c>
      <c r="U1651" s="12">
        <v>8.4419999999999999E-3</v>
      </c>
      <c r="V1651" s="16">
        <v>5.3318000000000003</v>
      </c>
      <c r="W1651" s="17">
        <f t="shared" si="25"/>
        <v>4.3891871526795523E-3</v>
      </c>
    </row>
    <row r="1652" spans="1:23" x14ac:dyDescent="0.2">
      <c r="A1652" s="14">
        <v>43966</v>
      </c>
      <c r="B1652" s="3">
        <v>-186436626833969</v>
      </c>
      <c r="C1652" s="3">
        <f>[1]!nefin_factors__1[[#This Row],[Rm_minus_Rf]]/B1651-1</f>
        <v>-2.1248694012585192</v>
      </c>
      <c r="D1652" s="3">
        <v>169451218827927</v>
      </c>
      <c r="E1652" s="3">
        <f>[1]!nefin_factors__1[[#This Row],[SMB]]/D1651-1</f>
        <v>6.616101336872271E-2</v>
      </c>
      <c r="F1652" s="3">
        <v>-104746589810808</v>
      </c>
      <c r="G1652" s="3">
        <f>[1]!nefin_factors__1[[#This Row],[HML]]/F1651-1</f>
        <v>-10.545269645054859</v>
      </c>
      <c r="H1652" s="3">
        <v>109976041233084</v>
      </c>
      <c r="I1652" s="4">
        <f>[1]!nefin_factors__1[[#This Row],[Risk_Free]]/H1651-1</f>
        <v>-3.4976076173299786E-3</v>
      </c>
      <c r="J1652">
        <v>105010</v>
      </c>
      <c r="K1652">
        <v>105462</v>
      </c>
      <c r="L1652">
        <v>102642</v>
      </c>
      <c r="M1652">
        <v>102912</v>
      </c>
      <c r="N1652">
        <v>12929300</v>
      </c>
      <c r="O1652">
        <v>102912</v>
      </c>
      <c r="P1652">
        <v>-1.99697168814101E-2</v>
      </c>
      <c r="Q1652">
        <v>-2.0171806653531701E-2</v>
      </c>
      <c r="R1652" s="8">
        <v>18.219560623168899</v>
      </c>
      <c r="S1652" s="8">
        <v>-3.2558185227951002E-2</v>
      </c>
      <c r="T1652" s="9">
        <v>-3.3099995657160597E-2</v>
      </c>
      <c r="U1652" s="12">
        <v>8.4419999999999999E-3</v>
      </c>
      <c r="V1652" s="16">
        <v>5.3482000000000003</v>
      </c>
      <c r="W1652" s="17">
        <f t="shared" si="25"/>
        <v>3.0758843167411065E-3</v>
      </c>
    </row>
    <row r="1653" spans="1:23" x14ac:dyDescent="0.2">
      <c r="A1653" s="15">
        <v>43969</v>
      </c>
      <c r="B1653" s="5">
        <v>437545172103689</v>
      </c>
      <c r="C1653" s="5">
        <f>[1]!nefin_factors__1[[#This Row],[Rm_minus_Rf]]/B1652-1</f>
        <v>-3.3468841908051927</v>
      </c>
      <c r="D1653" s="5">
        <v>32376812995956</v>
      </c>
      <c r="E1653" s="5">
        <f>[1]!nefin_factors__1[[#This Row],[SMB]]/D1652-1</f>
        <v>-0.80893136549915434</v>
      </c>
      <c r="F1653" s="5">
        <v>174250211126823</v>
      </c>
      <c r="G1653" s="5">
        <f>[1]!nefin_factors__1[[#This Row],[HML]]/F1652-1</f>
        <v>-2.6635406598109932</v>
      </c>
      <c r="H1653" s="5">
        <v>108817807434436</v>
      </c>
      <c r="I1653" s="6">
        <f>[1]!nefin_factors__1[[#This Row],[Risk_Free]]/H1652-1</f>
        <v>-1.0531692045481322E-2</v>
      </c>
      <c r="J1653">
        <v>102913</v>
      </c>
      <c r="K1653">
        <v>103863</v>
      </c>
      <c r="L1653">
        <v>102304</v>
      </c>
      <c r="M1653">
        <v>102830</v>
      </c>
      <c r="N1653">
        <v>10901000</v>
      </c>
      <c r="O1653">
        <v>102830</v>
      </c>
      <c r="P1653">
        <v>-7.9679726368153702E-4</v>
      </c>
      <c r="Q1653">
        <v>-7.9711487534718701E-4</v>
      </c>
      <c r="R1653" s="8">
        <v>17.5188083648682</v>
      </c>
      <c r="S1653" s="8">
        <v>-3.8461534435120702E-2</v>
      </c>
      <c r="T1653" s="9">
        <v>-3.9220708965806803E-2</v>
      </c>
      <c r="U1653" s="12">
        <v>8.4419999999999999E-3</v>
      </c>
      <c r="V1653" s="16">
        <v>5.2977999999999996</v>
      </c>
      <c r="W1653" s="17">
        <f t="shared" si="25"/>
        <v>-9.4237313488652052E-3</v>
      </c>
    </row>
    <row r="1654" spans="1:23" x14ac:dyDescent="0.2">
      <c r="A1654" s="14">
        <v>43970</v>
      </c>
      <c r="B1654" s="3">
        <v>-429689784633559</v>
      </c>
      <c r="C1654" s="3">
        <f>[1]!nefin_factors__1[[#This Row],[Rm_minus_Rf]]/B1653-1</f>
        <v>-1.9820466823291369</v>
      </c>
      <c r="D1654" s="3">
        <v>-101371830302448</v>
      </c>
      <c r="E1654" s="3">
        <f>[1]!nefin_factors__1[[#This Row],[SMB]]/D1653-1</f>
        <v>-4.1310008898995019</v>
      </c>
      <c r="F1654" s="3">
        <v>-719155912137673</v>
      </c>
      <c r="G1654" s="3">
        <f>[1]!nefin_factors__1[[#This Row],[HML]]/F1653-1</f>
        <v>-5.1271451408128055</v>
      </c>
      <c r="H1654" s="3">
        <v>108817807434436</v>
      </c>
      <c r="I1654" s="4">
        <f>[1]!nefin_factors__1[[#This Row],[Risk_Free]]/H1653-1</f>
        <v>0</v>
      </c>
      <c r="J1654">
        <v>102826</v>
      </c>
      <c r="K1654">
        <v>103012</v>
      </c>
      <c r="L1654">
        <v>100005</v>
      </c>
      <c r="M1654">
        <v>101216</v>
      </c>
      <c r="N1654">
        <v>12029800</v>
      </c>
      <c r="O1654">
        <v>101216</v>
      </c>
      <c r="P1654">
        <v>-1.5695808616162599E-2</v>
      </c>
      <c r="Q1654">
        <v>-1.5820292117860901E-2</v>
      </c>
      <c r="R1654" s="8">
        <v>16.572792053222699</v>
      </c>
      <c r="S1654" s="8">
        <v>-5.40000376705203E-2</v>
      </c>
      <c r="T1654" s="9">
        <v>-5.5512749751105601E-2</v>
      </c>
      <c r="U1654" s="12">
        <v>8.4419999999999999E-3</v>
      </c>
      <c r="V1654" s="16">
        <v>5.3440000000000003</v>
      </c>
      <c r="W1654" s="17">
        <f t="shared" si="25"/>
        <v>8.7206010041904758E-3</v>
      </c>
    </row>
    <row r="1655" spans="1:23" x14ac:dyDescent="0.2">
      <c r="A1655" s="15">
        <v>43971</v>
      </c>
      <c r="B1655" s="5">
        <v>587183063031045</v>
      </c>
      <c r="C1655" s="5">
        <f>[1]!nefin_factors__1[[#This Row],[Rm_minus_Rf]]/B1654-1</f>
        <v>-2.3665278627272857</v>
      </c>
      <c r="D1655" s="5">
        <v>821644029064978</v>
      </c>
      <c r="E1655" s="5">
        <f>[1]!nefin_factors__1[[#This Row],[SMB]]/D1654-1</f>
        <v>-9.1052500148568036</v>
      </c>
      <c r="F1655" s="5">
        <v>112967666001682</v>
      </c>
      <c r="G1655" s="5">
        <f>[1]!nefin_factors__1[[#This Row],[HML]]/F1654-1</f>
        <v>-1.1570836922773651</v>
      </c>
      <c r="H1655" s="5">
        <v>108045464481288</v>
      </c>
      <c r="I1655" s="6">
        <f>[1]!nefin_factors__1[[#This Row],[Risk_Free]]/H1654-1</f>
        <v>-7.0975787084603947E-3</v>
      </c>
      <c r="J1655">
        <v>101220</v>
      </c>
      <c r="K1655">
        <v>103763</v>
      </c>
      <c r="L1655">
        <v>101220</v>
      </c>
      <c r="M1655">
        <v>102802</v>
      </c>
      <c r="N1655">
        <v>10922100</v>
      </c>
      <c r="O1655">
        <v>102802</v>
      </c>
      <c r="P1655">
        <v>1.5669459374012099E-2</v>
      </c>
      <c r="Q1655">
        <v>1.5547960961493801E-2</v>
      </c>
      <c r="R1655" s="8">
        <v>17.3874187469482</v>
      </c>
      <c r="S1655" s="8">
        <v>4.9154462996304799E-2</v>
      </c>
      <c r="T1655" s="9">
        <v>4.7984566425836803E-2</v>
      </c>
      <c r="U1655" s="12">
        <v>8.4419999999999999E-3</v>
      </c>
      <c r="V1655" s="16">
        <v>5.3486000000000002</v>
      </c>
      <c r="W1655" s="17">
        <f t="shared" si="25"/>
        <v>8.6077844311382989E-4</v>
      </c>
    </row>
    <row r="1656" spans="1:23" x14ac:dyDescent="0.2">
      <c r="A1656" s="14">
        <v>43972</v>
      </c>
      <c r="B1656" s="3">
        <v>185377988879727</v>
      </c>
      <c r="C1656" s="3">
        <f>[1]!nefin_factors__1[[#This Row],[Rm_minus_Rf]]/B1655-1</f>
        <v>-0.68429268391563625</v>
      </c>
      <c r="D1656" s="3">
        <v>102183871785733</v>
      </c>
      <c r="E1656" s="3">
        <f>[1]!nefin_factors__1[[#This Row],[SMB]]/D1655-1</f>
        <v>-0.87563486355275155</v>
      </c>
      <c r="F1656" s="3">
        <v>-1777617513521</v>
      </c>
      <c r="G1656" s="3">
        <f>[1]!nefin_factors__1[[#This Row],[HML]]/F1655-1</f>
        <v>-1.0157356310565409</v>
      </c>
      <c r="H1656" s="3">
        <v>107272971790362</v>
      </c>
      <c r="I1656" s="4">
        <f>[1]!nefin_factors__1[[#This Row],[Risk_Free]]/H1655-1</f>
        <v>-7.1497003102780621E-3</v>
      </c>
      <c r="J1656">
        <v>102733</v>
      </c>
      <c r="K1656">
        <v>104523</v>
      </c>
      <c r="L1656">
        <v>102733</v>
      </c>
      <c r="M1656">
        <v>104126</v>
      </c>
      <c r="N1656">
        <v>9686600</v>
      </c>
      <c r="O1656">
        <v>104126</v>
      </c>
      <c r="P1656">
        <v>1.28791268652362E-2</v>
      </c>
      <c r="Q1656">
        <v>1.27968961976948E-2</v>
      </c>
      <c r="R1656" s="8">
        <v>17.159673690795898</v>
      </c>
      <c r="S1656" s="8">
        <v>-1.30982671704687E-2</v>
      </c>
      <c r="T1656" s="9">
        <v>-1.3184805974800699E-2</v>
      </c>
      <c r="U1656" s="12">
        <v>8.4419999999999999E-3</v>
      </c>
      <c r="V1656" s="16">
        <v>5.4287999999999998</v>
      </c>
      <c r="W1656" s="17">
        <f t="shared" si="25"/>
        <v>1.4994578020416593E-2</v>
      </c>
    </row>
    <row r="1657" spans="1:23" x14ac:dyDescent="0.2">
      <c r="A1657" s="15">
        <v>43973</v>
      </c>
      <c r="B1657" s="5">
        <v>-992822182078842</v>
      </c>
      <c r="C1657" s="5">
        <f>[1]!nefin_factors__1[[#This Row],[Rm_minus_Rf]]/B1656-1</f>
        <v>-6.3556637876947937</v>
      </c>
      <c r="D1657" s="5">
        <v>-666537431864392</v>
      </c>
      <c r="E1657" s="5">
        <f>[1]!nefin_factors__1[[#This Row],[SMB]]/D1656-1</f>
        <v>-7.5229220640810999</v>
      </c>
      <c r="F1657" s="5">
        <v>156681993844317</v>
      </c>
      <c r="G1657" s="5">
        <f>[1]!nefin_factors__1[[#This Row],[HML]]/F1656-1</f>
        <v>-89.141567380246244</v>
      </c>
      <c r="H1657" s="5">
        <v>10688666927483</v>
      </c>
      <c r="I1657" s="6">
        <f>[1]!nefin_factors__1[[#This Row],[Risk_Free]]/H1656-1</f>
        <v>-0.90036011169363983</v>
      </c>
      <c r="J1657">
        <v>104116</v>
      </c>
      <c r="K1657">
        <v>104126</v>
      </c>
      <c r="L1657">
        <v>101957</v>
      </c>
      <c r="M1657">
        <v>102776</v>
      </c>
      <c r="N1657">
        <v>10337100</v>
      </c>
      <c r="O1657">
        <v>102776</v>
      </c>
      <c r="P1657">
        <v>-1.29650615600331E-2</v>
      </c>
      <c r="Q1657">
        <v>-1.3049841553118301E-2</v>
      </c>
      <c r="R1657" s="8">
        <v>16.651628494262699</v>
      </c>
      <c r="S1657" s="8">
        <v>-2.96069264304081E-2</v>
      </c>
      <c r="T1657" s="9">
        <v>-3.0054059084291301E-2</v>
      </c>
      <c r="U1657" s="12">
        <v>8.4419999999999999E-3</v>
      </c>
      <c r="V1657" s="16">
        <v>5.3491</v>
      </c>
      <c r="W1657" s="17">
        <f t="shared" si="25"/>
        <v>-1.4680960801650489E-2</v>
      </c>
    </row>
    <row r="1658" spans="1:23" x14ac:dyDescent="0.2">
      <c r="A1658" s="14">
        <v>43976</v>
      </c>
      <c r="B1658" s="3">
        <v>404795296692456</v>
      </c>
      <c r="C1658" s="3">
        <f>[1]!nefin_factors__1[[#This Row],[Rm_minus_Rf]]/B1657-1</f>
        <v>-1.4077218498934689</v>
      </c>
      <c r="D1658" s="3">
        <v>149615654993574</v>
      </c>
      <c r="E1658" s="3">
        <f>[1]!nefin_factors__1[[#This Row],[SMB]]/D1657-1</f>
        <v>-1.2244669959121119</v>
      </c>
      <c r="F1658" s="3">
        <v>762283715928318</v>
      </c>
      <c r="G1658" s="3">
        <f>[1]!nefin_factors__1[[#This Row],[HML]]/F1657-1</f>
        <v>3.8651647660658535</v>
      </c>
      <c r="H1658" s="3">
        <v>106113951868103</v>
      </c>
      <c r="I1658" s="4">
        <f>[1]!nefin_factors__1[[#This Row],[Risk_Free]]/H1657-1</f>
        <v>8.9277068495099083</v>
      </c>
      <c r="J1658">
        <v>102776</v>
      </c>
      <c r="K1658">
        <v>103722</v>
      </c>
      <c r="L1658">
        <v>101282</v>
      </c>
      <c r="M1658">
        <v>103444</v>
      </c>
      <c r="N1658">
        <v>8259500</v>
      </c>
      <c r="O1658">
        <v>103444</v>
      </c>
      <c r="P1658">
        <v>6.4995718844866896E-3</v>
      </c>
      <c r="Q1658">
        <v>6.4785407468851202E-3</v>
      </c>
      <c r="R1658" s="8">
        <v>16.730461120605501</v>
      </c>
      <c r="S1658" s="8">
        <v>4.7342292298879797E-3</v>
      </c>
      <c r="T1658" s="9">
        <v>4.7230580108867997E-3</v>
      </c>
      <c r="U1658" s="12">
        <v>8.4419999999999999E-3</v>
      </c>
      <c r="V1658" s="16">
        <v>5.3559999999999999</v>
      </c>
      <c r="W1658" s="17">
        <f t="shared" si="25"/>
        <v>1.2899366248526611E-3</v>
      </c>
    </row>
    <row r="1659" spans="1:23" x14ac:dyDescent="0.2">
      <c r="A1659" s="15">
        <v>43977</v>
      </c>
      <c r="B1659" s="5">
        <v>178997214397516</v>
      </c>
      <c r="C1659" s="5">
        <f>[1]!nefin_factors__1[[#This Row],[Rm_minus_Rf]]/B1658-1</f>
        <v>-0.55780806778120873</v>
      </c>
      <c r="D1659" s="5">
        <v>885474527195767</v>
      </c>
      <c r="E1659" s="5">
        <f>[1]!nefin_factors__1[[#This Row],[SMB]]/D1658-1</f>
        <v>4.9183280468464226</v>
      </c>
      <c r="F1659" s="5">
        <v>-853043785666524</v>
      </c>
      <c r="G1659" s="5">
        <f>[1]!nefin_factors__1[[#This Row],[HML]]/F1658-1</f>
        <v>-2.1190633721299914</v>
      </c>
      <c r="H1659" s="5">
        <v>105727536962252</v>
      </c>
      <c r="I1659" s="6">
        <f>[1]!nefin_factors__1[[#This Row],[Risk_Free]]/H1658-1</f>
        <v>-3.6415089538018863E-3</v>
      </c>
      <c r="J1659">
        <v>103449</v>
      </c>
      <c r="K1659">
        <v>104409</v>
      </c>
      <c r="L1659">
        <v>102174</v>
      </c>
      <c r="M1659">
        <v>102174</v>
      </c>
      <c r="N1659">
        <v>9360900</v>
      </c>
      <c r="O1659">
        <v>102174</v>
      </c>
      <c r="P1659">
        <v>-1.22771741231971E-2</v>
      </c>
      <c r="Q1659">
        <v>-1.2353161203671E-2</v>
      </c>
      <c r="R1659" s="8">
        <v>17.8253879547119</v>
      </c>
      <c r="S1659" s="8">
        <v>6.5445107950905093E-2</v>
      </c>
      <c r="T1659" s="9">
        <v>6.3392653586006403E-2</v>
      </c>
      <c r="U1659" s="12">
        <v>8.4419999999999999E-3</v>
      </c>
      <c r="V1659" s="16">
        <v>5.351</v>
      </c>
      <c r="W1659" s="17">
        <f t="shared" si="25"/>
        <v>-9.3353248693051061E-4</v>
      </c>
    </row>
    <row r="1660" spans="1:23" x14ac:dyDescent="0.2">
      <c r="A1660" s="14">
        <v>43978</v>
      </c>
      <c r="B1660" s="3">
        <v>310594519510123</v>
      </c>
      <c r="C1660" s="3">
        <f>[1]!nefin_factors__1[[#This Row],[Rm_minus_Rf]]/B1659-1</f>
        <v>0.73519191656444693</v>
      </c>
      <c r="D1660" s="3">
        <v>150981597533144</v>
      </c>
      <c r="E1660" s="3">
        <f>[1]!nefin_factors__1[[#This Row],[SMB]]/D1659-1</f>
        <v>-0.82949074999221983</v>
      </c>
      <c r="F1660" s="3">
        <v>198914183301177</v>
      </c>
      <c r="G1660" s="3">
        <f>[1]!nefin_factors__1[[#This Row],[HML]]/F1659-1</f>
        <v>-1.2331816802882583</v>
      </c>
      <c r="H1660" s="3">
        <v>104954594708717</v>
      </c>
      <c r="I1660" s="4">
        <f>[1]!nefin_factors__1[[#This Row],[Risk_Free]]/H1659-1</f>
        <v>-7.3106995182434797E-3</v>
      </c>
      <c r="J1660">
        <v>102176</v>
      </c>
      <c r="K1660">
        <v>103116</v>
      </c>
      <c r="L1660">
        <v>100698</v>
      </c>
      <c r="M1660">
        <v>102118</v>
      </c>
      <c r="N1660">
        <v>10114200</v>
      </c>
      <c r="O1660">
        <v>102118</v>
      </c>
      <c r="P1660">
        <v>-5.4808463992794799E-4</v>
      </c>
      <c r="Q1660">
        <v>-5.4823489321773197E-4</v>
      </c>
      <c r="R1660" s="8">
        <v>17.273544311523398</v>
      </c>
      <c r="S1660" s="8">
        <v>-3.0958296368669098E-2</v>
      </c>
      <c r="T1660" s="9">
        <v>-3.1447630214239401E-2</v>
      </c>
      <c r="U1660" s="12">
        <v>8.4419999999999999E-3</v>
      </c>
      <c r="V1660" s="16">
        <v>5.3635000000000002</v>
      </c>
      <c r="W1660" s="17">
        <f t="shared" si="25"/>
        <v>2.3360119603812457E-3</v>
      </c>
    </row>
    <row r="1661" spans="1:23" x14ac:dyDescent="0.2">
      <c r="A1661" s="15">
        <v>43979</v>
      </c>
      <c r="B1661" s="5">
        <v>-121340349119015</v>
      </c>
      <c r="C1661" s="5">
        <f>[1]!nefin_factors__1[[#This Row],[Rm_minus_Rf]]/B1660-1</f>
        <v>-1.3906712498031062</v>
      </c>
      <c r="D1661" s="5">
        <v>159314064513378</v>
      </c>
      <c r="E1661" s="5">
        <f>[1]!nefin_factors__1[[#This Row],[SMB]]/D1660-1</f>
        <v>5.5188626404650609E-2</v>
      </c>
      <c r="F1661" s="5">
        <v>567564325766278</v>
      </c>
      <c r="G1661" s="5">
        <f>[1]!nefin_factors__1[[#This Row],[HML]]/F1660-1</f>
        <v>1.853312500632124</v>
      </c>
      <c r="H1661" s="5">
        <v>104181502484257</v>
      </c>
      <c r="I1661" s="6">
        <f>[1]!nefin_factors__1[[#This Row],[Risk_Free]]/H1660-1</f>
        <v>-7.3659683657069097E-3</v>
      </c>
      <c r="J1661">
        <v>102118</v>
      </c>
      <c r="K1661">
        <v>103237</v>
      </c>
      <c r="L1661">
        <v>100187</v>
      </c>
      <c r="M1661">
        <v>100461</v>
      </c>
      <c r="N1661">
        <v>10721300</v>
      </c>
      <c r="O1661">
        <v>100461</v>
      </c>
      <c r="P1661">
        <v>-1.6226326406706001E-2</v>
      </c>
      <c r="Q1661">
        <v>-1.6359414896317901E-2</v>
      </c>
      <c r="R1661" s="8">
        <v>16.5815525054932</v>
      </c>
      <c r="S1661" s="8">
        <v>-4.0060788541737599E-2</v>
      </c>
      <c r="T1661" s="9">
        <v>-4.0885317922782799E-2</v>
      </c>
      <c r="U1661" s="12">
        <v>8.4419999999999999E-3</v>
      </c>
      <c r="V1661" s="16">
        <v>5.2282999999999999</v>
      </c>
      <c r="W1661" s="17">
        <f t="shared" si="25"/>
        <v>-2.5207420527640578E-2</v>
      </c>
    </row>
    <row r="1662" spans="1:23" x14ac:dyDescent="0.2">
      <c r="A1662" s="14">
        <v>43980</v>
      </c>
      <c r="B1662" s="3">
        <v>256516079381668</v>
      </c>
      <c r="C1662" s="3">
        <f>[1]!nefin_factors__1[[#This Row],[Rm_minus_Rf]]/B1661-1</f>
        <v>-3.1140212735836763</v>
      </c>
      <c r="D1662" s="3">
        <v>-293683257740683</v>
      </c>
      <c r="E1662" s="3">
        <f>[1]!nefin_factors__1[[#This Row],[SMB]]/D1661-1</f>
        <v>-2.8434232949723137</v>
      </c>
      <c r="F1662" s="3">
        <v>108610872468651</v>
      </c>
      <c r="G1662" s="3">
        <f>[1]!nefin_factors__1[[#This Row],[HML]]/F1661-1</f>
        <v>-0.80863689358556201</v>
      </c>
      <c r="H1662" s="3">
        <v>103408260230919</v>
      </c>
      <c r="I1662" s="4">
        <f>[1]!nefin_factors__1[[#This Row],[Risk_Free]]/H1661-1</f>
        <v>-7.4220685524749586E-3</v>
      </c>
      <c r="J1662">
        <v>100469</v>
      </c>
      <c r="K1662">
        <v>101717</v>
      </c>
      <c r="L1662">
        <v>100445</v>
      </c>
      <c r="M1662">
        <v>101353</v>
      </c>
      <c r="N1662">
        <v>8576300</v>
      </c>
      <c r="O1662">
        <v>101353</v>
      </c>
      <c r="P1662">
        <v>8.8790674988303807E-3</v>
      </c>
      <c r="Q1662">
        <v>8.8398803716110003E-3</v>
      </c>
      <c r="R1662" s="8">
        <v>17.028282165527301</v>
      </c>
      <c r="S1662" s="8">
        <v>2.6941365103550202E-2</v>
      </c>
      <c r="T1662" s="9">
        <v>2.6584835941216099E-2</v>
      </c>
      <c r="U1662" s="12">
        <v>8.4419999999999999E-3</v>
      </c>
      <c r="V1662" s="16">
        <v>5.1111000000000004</v>
      </c>
      <c r="W1662" s="17">
        <f t="shared" si="25"/>
        <v>-2.2416464242679179E-2</v>
      </c>
    </row>
    <row r="1663" spans="1:23" x14ac:dyDescent="0.2">
      <c r="A1663" s="15">
        <v>43983</v>
      </c>
      <c r="B1663" s="5">
        <v>132761811965306</v>
      </c>
      <c r="C1663" s="5">
        <f>[1]!nefin_factors__1[[#This Row],[Rm_minus_Rf]]/B1662-1</f>
        <v>-0.48244253426401829</v>
      </c>
      <c r="D1663" s="5">
        <v>276735587839545</v>
      </c>
      <c r="E1663" s="5">
        <f>[1]!nefin_factors__1[[#This Row],[SMB]]/D1662-1</f>
        <v>-1.9422926930478872</v>
      </c>
      <c r="F1663" s="5">
        <v>803727462355173</v>
      </c>
      <c r="G1663" s="5">
        <f>[1]!nefin_factors__1[[#This Row],[HML]]/F1662-1</f>
        <v>6.4000645063150339</v>
      </c>
      <c r="H1663" s="5">
        <v>102634867890306</v>
      </c>
      <c r="I1663" s="6">
        <f>[1]!nefin_factors__1[[#This Row],[Risk_Free]]/H1662-1</f>
        <v>-7.4790189766847925E-3</v>
      </c>
      <c r="J1663">
        <v>101348</v>
      </c>
      <c r="K1663">
        <v>101689</v>
      </c>
      <c r="L1663">
        <v>98513</v>
      </c>
      <c r="M1663">
        <v>99595</v>
      </c>
      <c r="N1663">
        <v>10816200</v>
      </c>
      <c r="O1663">
        <v>99595</v>
      </c>
      <c r="P1663">
        <v>-1.7345317849496299E-2</v>
      </c>
      <c r="Q1663">
        <v>-1.7497510327360698E-2</v>
      </c>
      <c r="R1663" s="8">
        <v>16.528995513916001</v>
      </c>
      <c r="S1663" s="8">
        <v>-2.9321022916927099E-2</v>
      </c>
      <c r="T1663" s="9">
        <v>-2.9759475979607101E-2</v>
      </c>
      <c r="U1663" s="12">
        <v>8.4419999999999999E-3</v>
      </c>
      <c r="V1663" s="16">
        <v>5.1646999999999998</v>
      </c>
      <c r="W1663" s="17">
        <f t="shared" si="25"/>
        <v>1.048697931952014E-2</v>
      </c>
    </row>
    <row r="1664" spans="1:23" x14ac:dyDescent="0.2">
      <c r="A1664" s="14">
        <v>43984</v>
      </c>
      <c r="B1664" s="3">
        <v>261016352821209</v>
      </c>
      <c r="C1664" s="3">
        <f>[1]!nefin_factors__1[[#This Row],[Rm_minus_Rf]]/B1663-1</f>
        <v>0.96604994280598655</v>
      </c>
      <c r="D1664" s="3">
        <v>151843702586946</v>
      </c>
      <c r="E1664" s="3">
        <f>[1]!nefin_factors__1[[#This Row],[SMB]]/D1663-1</f>
        <v>-0.45130402716766949</v>
      </c>
      <c r="F1664" s="3">
        <v>160139293174436</v>
      </c>
      <c r="G1664" s="3">
        <f>[1]!nefin_factors__1[[#This Row],[HML]]/F1663-1</f>
        <v>-0.80075423489303477</v>
      </c>
      <c r="H1664" s="3">
        <v>100700730022663</v>
      </c>
      <c r="I1664" s="4">
        <f>[1]!nefin_factors__1[[#This Row],[Risk_Free]]/H1663-1</f>
        <v>-1.8844841985962923E-2</v>
      </c>
      <c r="J1664">
        <v>99597</v>
      </c>
      <c r="K1664">
        <v>102247</v>
      </c>
      <c r="L1664">
        <v>99597</v>
      </c>
      <c r="M1664">
        <v>102065</v>
      </c>
      <c r="N1664">
        <v>9418700</v>
      </c>
      <c r="O1664">
        <v>102065</v>
      </c>
      <c r="P1664">
        <v>2.4800441789246501E-2</v>
      </c>
      <c r="Q1664">
        <v>2.44979026983102E-2</v>
      </c>
      <c r="R1664" s="8">
        <v>16.940687179565401</v>
      </c>
      <c r="S1664" s="8">
        <v>2.4907240449233901E-2</v>
      </c>
      <c r="T1664" s="9">
        <v>2.46021113725612E-2</v>
      </c>
      <c r="U1664" s="12">
        <v>8.4419999999999999E-3</v>
      </c>
      <c r="V1664" s="16">
        <v>5.2145999999999999</v>
      </c>
      <c r="W1664" s="17">
        <f t="shared" si="25"/>
        <v>9.6617422115514717E-3</v>
      </c>
    </row>
    <row r="1665" spans="1:23" x14ac:dyDescent="0.2">
      <c r="A1665" s="15">
        <v>43985</v>
      </c>
      <c r="B1665" s="5">
        <v>202148012310186</v>
      </c>
      <c r="C1665" s="5">
        <f>[1]!nefin_factors__1[[#This Row],[Rm_minus_Rf]]/B1664-1</f>
        <v>-0.22553506657625644</v>
      </c>
      <c r="D1665" s="5">
        <v>809464050895924</v>
      </c>
      <c r="E1665" s="5">
        <f>[1]!nefin_factors__1[[#This Row],[SMB]]/D1664-1</f>
        <v>4.3309030081930686</v>
      </c>
      <c r="F1665" s="5">
        <v>-6539667707.9186697</v>
      </c>
      <c r="G1665" s="5">
        <f>[1]!nefin_factors__1[[#This Row],[HML]]/F1664-1</f>
        <v>-1.0000408373708807</v>
      </c>
      <c r="H1665" s="5">
        <v>9915274346</v>
      </c>
      <c r="I1665" s="6">
        <f>[1]!nefin_factors__1[[#This Row],[Risk_Free]]/H1664-1</f>
        <v>-0.99990153721483677</v>
      </c>
      <c r="J1665">
        <v>102072</v>
      </c>
      <c r="K1665">
        <v>102334</v>
      </c>
      <c r="L1665">
        <v>100800</v>
      </c>
      <c r="M1665">
        <v>100854</v>
      </c>
      <c r="N1665">
        <v>10025800</v>
      </c>
      <c r="O1665">
        <v>100854</v>
      </c>
      <c r="P1665">
        <v>-1.18649879978445E-2</v>
      </c>
      <c r="Q1665">
        <v>-1.19359387462352E-2</v>
      </c>
      <c r="R1665" s="8">
        <v>16.590311050415</v>
      </c>
      <c r="S1665" s="8">
        <v>-2.0682521637789799E-2</v>
      </c>
      <c r="T1665" s="9">
        <v>-2.0899400602741699E-2</v>
      </c>
      <c r="U1665" s="12">
        <v>8.4419999999999999E-3</v>
      </c>
      <c r="V1665" s="16">
        <v>5.1889000000000003</v>
      </c>
      <c r="W1665" s="17">
        <f t="shared" si="25"/>
        <v>-4.9284700648178914E-3</v>
      </c>
    </row>
    <row r="1666" spans="1:23" x14ac:dyDescent="0.2">
      <c r="A1666" s="14">
        <v>43986</v>
      </c>
      <c r="B1666" s="3">
        <v>732349105957775</v>
      </c>
      <c r="C1666" s="3">
        <f>[1]!nefin_factors__1[[#This Row],[Rm_minus_Rf]]/B1665-1</f>
        <v>2.6228360476482053</v>
      </c>
      <c r="D1666" s="3">
        <v>295339462079593</v>
      </c>
      <c r="E1666" s="3">
        <f>[1]!nefin_factors__1[[#This Row],[SMB]]/D1665-1</f>
        <v>-0.63514196615315044</v>
      </c>
      <c r="F1666" s="3">
        <v>182034417039023</v>
      </c>
      <c r="G1666" s="3">
        <f>[1]!nefin_factors__1[[#This Row],[HML]]/F1665-1</f>
        <v>-27836.423016769411</v>
      </c>
      <c r="H1666" s="3">
        <v>9760415526</v>
      </c>
      <c r="I1666" s="4">
        <f>[1]!nefin_factors__1[[#This Row],[Risk_Free]]/H1665-1</f>
        <v>-1.5618208291177771E-2</v>
      </c>
      <c r="J1666">
        <v>100853</v>
      </c>
      <c r="K1666">
        <v>101749</v>
      </c>
      <c r="L1666">
        <v>99131</v>
      </c>
      <c r="M1666">
        <v>101468</v>
      </c>
      <c r="N1666">
        <v>9405000</v>
      </c>
      <c r="O1666">
        <v>101468</v>
      </c>
      <c r="P1666">
        <v>6.0880084081940096E-3</v>
      </c>
      <c r="Q1666">
        <v>6.0695513582397203E-3</v>
      </c>
      <c r="R1666" s="8">
        <v>16.7917785644531</v>
      </c>
      <c r="S1666" s="8">
        <v>1.2143685156104801E-2</v>
      </c>
      <c r="T1666" s="9">
        <v>1.20705421664218E-2</v>
      </c>
      <c r="U1666" s="12">
        <v>8.4419999999999999E-3</v>
      </c>
      <c r="V1666" s="16">
        <v>5.1776999999999997</v>
      </c>
      <c r="W1666" s="17">
        <f t="shared" si="25"/>
        <v>-2.1584536221550543E-3</v>
      </c>
    </row>
    <row r="1667" spans="1:23" x14ac:dyDescent="0.2">
      <c r="A1667" s="15">
        <v>43987</v>
      </c>
      <c r="B1667" s="5">
        <v>107440240335288</v>
      </c>
      <c r="C1667" s="5">
        <f>[1]!nefin_factors__1[[#This Row],[Rm_minus_Rf]]/B1666-1</f>
        <v>-0.85329368266958372</v>
      </c>
      <c r="D1667" s="5">
        <v>-114364368279853</v>
      </c>
      <c r="E1667" s="5">
        <f>[1]!nefin_factors__1[[#This Row],[SMB]]/D1666-1</f>
        <v>-1.3872302315260268</v>
      </c>
      <c r="F1667" s="5">
        <v>-58674998608965</v>
      </c>
      <c r="G1667" s="5">
        <f>[1]!nefin_factors__1[[#This Row],[HML]]/F1666-1</f>
        <v>-1.3223291483191706</v>
      </c>
      <c r="H1667" s="5">
        <v>9721691415</v>
      </c>
      <c r="I1667" s="6">
        <f>[1]!nefin_factors__1[[#This Row],[Risk_Free]]/H1666-1</f>
        <v>-3.9674654113696084E-3</v>
      </c>
      <c r="J1667">
        <v>101460</v>
      </c>
      <c r="K1667">
        <v>101566</v>
      </c>
      <c r="L1667">
        <v>100412</v>
      </c>
      <c r="M1667">
        <v>101521</v>
      </c>
      <c r="N1667">
        <v>9100200</v>
      </c>
      <c r="O1667">
        <v>101521</v>
      </c>
      <c r="P1667">
        <v>5.2233216383479298E-4</v>
      </c>
      <c r="Q1667">
        <v>5.2219579587428698E-4</v>
      </c>
      <c r="R1667" s="8">
        <v>17.492530822753899</v>
      </c>
      <c r="S1667" s="8">
        <v>4.1731866318450501E-2</v>
      </c>
      <c r="T1667" s="9">
        <v>4.0884584227190997E-2</v>
      </c>
      <c r="U1667" s="12">
        <v>8.4419999999999999E-3</v>
      </c>
      <c r="V1667" s="16">
        <v>5.1395</v>
      </c>
      <c r="W1667" s="17">
        <f t="shared" si="25"/>
        <v>-7.3777932286536174E-3</v>
      </c>
    </row>
    <row r="1668" spans="1:23" x14ac:dyDescent="0.2">
      <c r="A1668" s="14">
        <v>43990</v>
      </c>
      <c r="B1668" s="3">
        <v>309127872000883</v>
      </c>
      <c r="C1668" s="3">
        <f>[1]!nefin_factors__1[[#This Row],[Rm_minus_Rf]]/B1667-1</f>
        <v>1.8772075624197213</v>
      </c>
      <c r="D1668" s="3">
        <v>282210297440404</v>
      </c>
      <c r="E1668" s="3">
        <f>[1]!nefin_factors__1[[#This Row],[SMB]]/D1667-1</f>
        <v>-3.4676418161103033</v>
      </c>
      <c r="F1668" s="3">
        <v>200256205339069</v>
      </c>
      <c r="G1668" s="3">
        <f>[1]!nefin_factors__1[[#This Row],[HML]]/F1667-1</f>
        <v>-4.4129733291288344</v>
      </c>
      <c r="H1668" s="3">
        <v>9528014387</v>
      </c>
      <c r="I1668" s="4">
        <f>[1]!nefin_factors__1[[#This Row],[Risk_Free]]/H1667-1</f>
        <v>-1.9922153433215128E-2</v>
      </c>
      <c r="J1668">
        <v>101525</v>
      </c>
      <c r="K1668">
        <v>102515</v>
      </c>
      <c r="L1668">
        <v>101525</v>
      </c>
      <c r="M1668">
        <v>102298</v>
      </c>
      <c r="N1668">
        <v>7723000</v>
      </c>
      <c r="O1668">
        <v>102298</v>
      </c>
      <c r="P1668">
        <v>7.6535889126387903E-3</v>
      </c>
      <c r="Q1668">
        <v>7.62444879091311E-3</v>
      </c>
      <c r="R1668" s="8">
        <v>17.597642898559599</v>
      </c>
      <c r="S1668" s="8">
        <v>6.0089690205911202E-3</v>
      </c>
      <c r="T1668" s="9">
        <v>5.9909871652309397E-3</v>
      </c>
      <c r="U1668" s="12">
        <v>8.4419999999999999E-3</v>
      </c>
      <c r="V1668" s="16">
        <v>5.1837</v>
      </c>
      <c r="W1668" s="17">
        <f t="shared" ref="W1668:W1731" si="26">V1668/V1667-1</f>
        <v>8.6000583714369583E-3</v>
      </c>
    </row>
    <row r="1669" spans="1:23" x14ac:dyDescent="0.2">
      <c r="A1669" s="15">
        <v>43991</v>
      </c>
      <c r="B1669" s="5">
        <v>-981332177492789</v>
      </c>
      <c r="C1669" s="5">
        <f>[1]!nefin_factors__1[[#This Row],[Rm_minus_Rf]]/B1668-1</f>
        <v>-4.1745185936840592</v>
      </c>
      <c r="D1669" s="5">
        <v>165320094026389</v>
      </c>
      <c r="E1669" s="5">
        <f>[1]!nefin_factors__1[[#This Row],[SMB]]/D1668-1</f>
        <v>-0.41419538717824211</v>
      </c>
      <c r="F1669" s="5">
        <v>200553932389293</v>
      </c>
      <c r="G1669" s="5">
        <f>[1]!nefin_factors__1[[#This Row],[HML]]/F1668-1</f>
        <v>1.4867307093924254E-3</v>
      </c>
      <c r="H1669" s="5">
        <v>9411762965</v>
      </c>
      <c r="I1669" s="6">
        <f>[1]!nefin_factors__1[[#This Row],[Risk_Free]]/H1668-1</f>
        <v>-1.2201012433253E-2</v>
      </c>
      <c r="J1669">
        <v>102293</v>
      </c>
      <c r="K1669">
        <v>102708</v>
      </c>
      <c r="L1669">
        <v>101623</v>
      </c>
      <c r="M1669">
        <v>102118</v>
      </c>
      <c r="N1669">
        <v>8170900</v>
      </c>
      <c r="O1669">
        <v>102118</v>
      </c>
      <c r="P1669">
        <v>-1.75956519189036E-3</v>
      </c>
      <c r="Q1669">
        <v>-1.7611150450345401E-3</v>
      </c>
      <c r="R1669" s="8">
        <v>17.212230682373001</v>
      </c>
      <c r="S1669" s="8">
        <v>-2.1901354539821401E-2</v>
      </c>
      <c r="T1669" s="9">
        <v>-2.2144749555089001E-2</v>
      </c>
      <c r="U1669" s="12">
        <v>8.4419999999999999E-3</v>
      </c>
      <c r="V1669" s="16">
        <v>5.2032999999999996</v>
      </c>
      <c r="W1669" s="17">
        <f t="shared" si="26"/>
        <v>3.7810830102049664E-3</v>
      </c>
    </row>
    <row r="1670" spans="1:23" x14ac:dyDescent="0.2">
      <c r="A1670" s="14">
        <v>43992</v>
      </c>
      <c r="B1670" s="3">
        <v>-204613822713352</v>
      </c>
      <c r="C1670" s="3">
        <f>[1]!nefin_factors__1[[#This Row],[Rm_minus_Rf]]/B1669-1</f>
        <v>-0.79149382094438092</v>
      </c>
      <c r="D1670" s="3">
        <v>-196242454796964</v>
      </c>
      <c r="E1670" s="3">
        <f>[1]!nefin_factors__1[[#This Row],[SMB]]/D1669-1</f>
        <v>-2.1870453858176431</v>
      </c>
      <c r="F1670" s="3">
        <v>-184741667750985</v>
      </c>
      <c r="G1670" s="3">
        <f>[1]!nefin_factors__1[[#This Row],[HML]]/F1669-1</f>
        <v>-1.9211570451402817</v>
      </c>
      <c r="H1670" s="3">
        <v>9179158318</v>
      </c>
      <c r="I1670" s="4">
        <f>[1]!nefin_factors__1[[#This Row],[Risk_Free]]/H1669-1</f>
        <v>-2.4714248315113596E-2</v>
      </c>
      <c r="J1670">
        <v>102119</v>
      </c>
      <c r="K1670">
        <v>102521</v>
      </c>
      <c r="L1670">
        <v>99359</v>
      </c>
      <c r="M1670">
        <v>100627</v>
      </c>
      <c r="N1670">
        <v>9861200</v>
      </c>
      <c r="O1670">
        <v>100627</v>
      </c>
      <c r="P1670">
        <v>-1.4600755988170599E-2</v>
      </c>
      <c r="Q1670">
        <v>-1.4708396061700499E-2</v>
      </c>
      <c r="R1670" s="8">
        <v>16.528995513916001</v>
      </c>
      <c r="S1670" s="8">
        <v>-3.9694748523021503E-2</v>
      </c>
      <c r="T1670" s="9">
        <v>-4.05040747735744E-2</v>
      </c>
      <c r="U1670" s="12">
        <v>8.4419999999999999E-3</v>
      </c>
      <c r="V1670" s="16">
        <v>5.3075000000000001</v>
      </c>
      <c r="W1670" s="17">
        <f t="shared" si="26"/>
        <v>2.0025752887590675E-2</v>
      </c>
    </row>
    <row r="1671" spans="1:23" x14ac:dyDescent="0.2">
      <c r="A1671" s="15">
        <v>43994</v>
      </c>
      <c r="B1671" s="5">
        <v>-188906795520333</v>
      </c>
      <c r="C1671" s="5">
        <f>[1]!nefin_factors__1[[#This Row],[Rm_minus_Rf]]/B1670-1</f>
        <v>-7.6764252701653102E-2</v>
      </c>
      <c r="D1671" s="5">
        <v>-28317671750339</v>
      </c>
      <c r="E1671" s="5">
        <f>[1]!nefin_factors__1[[#This Row],[SMB]]/D1670-1</f>
        <v>-0.85570058334402221</v>
      </c>
      <c r="F1671" s="5">
        <v>-217392090111075</v>
      </c>
      <c r="G1671" s="5">
        <f>[1]!nefin_factors__1[[#This Row],[HML]]/F1670-1</f>
        <v>0.17673556137914592</v>
      </c>
      <c r="H1671" s="5">
        <v>9101593250</v>
      </c>
      <c r="I1671" s="6">
        <f>[1]!nefin_factors__1[[#This Row],[Risk_Free]]/H1670-1</f>
        <v>-8.4501285752853761E-3</v>
      </c>
      <c r="J1671">
        <v>100625</v>
      </c>
      <c r="K1671">
        <v>101548</v>
      </c>
      <c r="L1671">
        <v>99857</v>
      </c>
      <c r="M1671">
        <v>100624</v>
      </c>
      <c r="N1671">
        <v>7360600</v>
      </c>
      <c r="O1671">
        <v>100624</v>
      </c>
      <c r="P1671">
        <v>-2.98130720383094E-5</v>
      </c>
      <c r="Q1671">
        <v>-2.9813516456774601E-5</v>
      </c>
      <c r="R1671" s="8">
        <v>16.721702575683601</v>
      </c>
      <c r="S1671" s="8">
        <v>1.16587279369358E-2</v>
      </c>
      <c r="T1671" s="9">
        <v>1.1591288633257001E-2</v>
      </c>
      <c r="U1671" s="12">
        <v>8.4419999999999999E-3</v>
      </c>
      <c r="V1671" s="16">
        <v>5.3329000000000004</v>
      </c>
      <c r="W1671" s="17">
        <f t="shared" si="26"/>
        <v>4.7856806406030294E-3</v>
      </c>
    </row>
    <row r="1672" spans="1:23" x14ac:dyDescent="0.2">
      <c r="A1672" s="14">
        <v>43997</v>
      </c>
      <c r="B1672" s="3">
        <v>-382701478278397</v>
      </c>
      <c r="C1672" s="3">
        <f>[1]!nefin_factors__1[[#This Row],[Rm_minus_Rf]]/B1671-1</f>
        <v>1.0258745971751182</v>
      </c>
      <c r="D1672" s="3">
        <v>-178594356030849</v>
      </c>
      <c r="E1672" s="3">
        <f>[1]!nefin_factors__1[[#This Row],[SMB]]/D1671-1</f>
        <v>5.3068163797297707</v>
      </c>
      <c r="F1672" s="3">
        <v>-588741377881284</v>
      </c>
      <c r="G1672" s="3">
        <f>[1]!nefin_factors__1[[#This Row],[HML]]/F1671-1</f>
        <v>1.7082005494333794</v>
      </c>
      <c r="H1672" s="3">
        <v>8946417801</v>
      </c>
      <c r="I1672" s="4">
        <f>[1]!nefin_factors__1[[#This Row],[Risk_Free]]/H1671-1</f>
        <v>-1.7049262116827779E-2</v>
      </c>
      <c r="J1672">
        <v>100631</v>
      </c>
      <c r="K1672">
        <v>102347</v>
      </c>
      <c r="L1672">
        <v>100631</v>
      </c>
      <c r="M1672">
        <v>102143</v>
      </c>
      <c r="N1672">
        <v>7665700</v>
      </c>
      <c r="O1672">
        <v>102143</v>
      </c>
      <c r="P1672">
        <v>1.5095802194307501E-2</v>
      </c>
      <c r="Q1672">
        <v>1.4982994437967301E-2</v>
      </c>
      <c r="R1672" s="8">
        <v>16.783018112182599</v>
      </c>
      <c r="S1672" s="8">
        <v>3.6668237711743302E-3</v>
      </c>
      <c r="T1672" s="9">
        <v>3.66011736203711E-3</v>
      </c>
      <c r="U1672" s="12">
        <v>8.4419999999999999E-3</v>
      </c>
      <c r="V1672" s="16">
        <v>5.2759999999999998</v>
      </c>
      <c r="W1672" s="17">
        <f t="shared" si="26"/>
        <v>-1.0669616906373802E-2</v>
      </c>
    </row>
    <row r="1673" spans="1:23" x14ac:dyDescent="0.2">
      <c r="A1673" s="15">
        <v>43998</v>
      </c>
      <c r="B1673" s="5">
        <v>106123873171452</v>
      </c>
      <c r="C1673" s="5">
        <f>[1]!nefin_factors__1[[#This Row],[Rm_minus_Rf]]/B1672-1</f>
        <v>-1.2773019682308413</v>
      </c>
      <c r="D1673" s="5">
        <v>-107144134104251</v>
      </c>
      <c r="E1673" s="5">
        <f>[1]!nefin_factors__1[[#This Row],[SMB]]/D1672-1</f>
        <v>-0.40006987630816426</v>
      </c>
      <c r="F1673" s="5">
        <v>137837129521086</v>
      </c>
      <c r="G1673" s="5">
        <f>[1]!nefin_factors__1[[#This Row],[HML]]/F1672-1</f>
        <v>-1.2341216953649892</v>
      </c>
      <c r="H1673" s="5">
        <v>8829996541</v>
      </c>
      <c r="I1673" s="6">
        <f>[1]!nefin_factors__1[[#This Row],[Risk_Free]]/H1672-1</f>
        <v>-1.3013170476678049E-2</v>
      </c>
      <c r="J1673">
        <v>102142</v>
      </c>
      <c r="K1673">
        <v>102142</v>
      </c>
      <c r="L1673">
        <v>99369</v>
      </c>
      <c r="M1673">
        <v>99369</v>
      </c>
      <c r="N1673">
        <v>12226100</v>
      </c>
      <c r="O1673">
        <v>99369</v>
      </c>
      <c r="P1673">
        <v>-2.71580039748196E-2</v>
      </c>
      <c r="Q1673">
        <v>-2.7533598445895601E-2</v>
      </c>
      <c r="R1673" s="8">
        <v>16.029710769653299</v>
      </c>
      <c r="S1673" s="8">
        <v>-4.4885093818881103E-2</v>
      </c>
      <c r="T1673" s="9">
        <v>-4.5923625130849098E-2</v>
      </c>
      <c r="U1673" s="12">
        <v>7.4689999999999999E-3</v>
      </c>
      <c r="V1673" s="16">
        <v>5.3430999999999997</v>
      </c>
      <c r="W1673" s="17">
        <f t="shared" si="26"/>
        <v>1.2717968157695214E-2</v>
      </c>
    </row>
    <row r="1674" spans="1:23" x14ac:dyDescent="0.2">
      <c r="A1674" s="14">
        <v>43999</v>
      </c>
      <c r="B1674" s="3">
        <v>226058181888878</v>
      </c>
      <c r="C1674" s="3">
        <f>[1]!nefin_factors__1[[#This Row],[Rm_minus_Rf]]/B1673-1</f>
        <v>1.1301350500434721</v>
      </c>
      <c r="D1674" s="3">
        <v>742674475947682</v>
      </c>
      <c r="E1674" s="3">
        <f>[1]!nefin_factors__1[[#This Row],[SMB]]/D1673-1</f>
        <v>-7.9315458298917365</v>
      </c>
      <c r="F1674" s="3">
        <v>151594176882321</v>
      </c>
      <c r="G1674" s="3">
        <f>[1]!nefin_factors__1[[#This Row],[HML]]/F1673-1</f>
        <v>9.9806542758353656E-2</v>
      </c>
      <c r="H1674" s="3">
        <v>867471526</v>
      </c>
      <c r="I1674" s="4">
        <f>[1]!nefin_factors__1[[#This Row],[Risk_Free]]/H1673-1</f>
        <v>-0.90175856559262502</v>
      </c>
      <c r="J1674">
        <v>99382</v>
      </c>
      <c r="K1674">
        <v>102238</v>
      </c>
      <c r="L1674">
        <v>99382</v>
      </c>
      <c r="M1674">
        <v>102168</v>
      </c>
      <c r="N1674">
        <v>9384700</v>
      </c>
      <c r="O1674">
        <v>102168</v>
      </c>
      <c r="P1674">
        <v>2.816773842949E-2</v>
      </c>
      <c r="Q1674">
        <v>2.77783234007416E-2</v>
      </c>
      <c r="R1674" s="8">
        <v>16.3800868988037</v>
      </c>
      <c r="S1674" s="8">
        <v>2.1857919596010699E-2</v>
      </c>
      <c r="T1674" s="9">
        <v>2.1622460195358E-2</v>
      </c>
      <c r="U1674" s="12">
        <v>7.4689999999999999E-3</v>
      </c>
      <c r="V1674" s="16">
        <v>5.4226999999999999</v>
      </c>
      <c r="W1674" s="17">
        <f t="shared" si="26"/>
        <v>1.4897718552900008E-2</v>
      </c>
    </row>
    <row r="1675" spans="1:23" x14ac:dyDescent="0.2">
      <c r="A1675" s="15">
        <v>44000</v>
      </c>
      <c r="B1675" s="5">
        <v>626237241978114</v>
      </c>
      <c r="C1675" s="5">
        <f>[1]!nefin_factors__1[[#This Row],[Rm_minus_Rf]]/B1674-1</f>
        <v>1.7702480695255236</v>
      </c>
      <c r="D1675" s="5">
        <v>-921758344339473</v>
      </c>
      <c r="E1675" s="5">
        <f>[1]!nefin_factors__1[[#This Row],[SMB]]/D1674-1</f>
        <v>-2.2411337324650518</v>
      </c>
      <c r="F1675" s="5">
        <v>300907870159576</v>
      </c>
      <c r="G1675" s="5">
        <f>[1]!nefin_factors__1[[#This Row],[HML]]/F1674-1</f>
        <v>0.98495665432560586</v>
      </c>
      <c r="H1675" s="5">
        <v>8441679812</v>
      </c>
      <c r="I1675" s="6">
        <f>[1]!nefin_factors__1[[#This Row],[Risk_Free]]/H1674-1</f>
        <v>8.7313624239926924</v>
      </c>
      <c r="J1675">
        <v>102168</v>
      </c>
      <c r="K1675">
        <v>102824</v>
      </c>
      <c r="L1675">
        <v>100872</v>
      </c>
      <c r="M1675">
        <v>101911</v>
      </c>
      <c r="N1675">
        <v>7557900</v>
      </c>
      <c r="O1675">
        <v>101911</v>
      </c>
      <c r="P1675">
        <v>-2.51546472476705E-3</v>
      </c>
      <c r="Q1675">
        <v>-2.5186338217745101E-3</v>
      </c>
      <c r="R1675" s="8">
        <v>16.204898834228501</v>
      </c>
      <c r="S1675" s="8">
        <v>-1.06951852977037E-2</v>
      </c>
      <c r="T1675" s="9">
        <v>-1.07527898879948E-2</v>
      </c>
      <c r="U1675" s="12">
        <v>7.4689999999999999E-3</v>
      </c>
      <c r="V1675" s="16">
        <v>5.3933</v>
      </c>
      <c r="W1675" s="17">
        <f t="shared" si="26"/>
        <v>-5.421653419883099E-3</v>
      </c>
    </row>
    <row r="1676" spans="1:23" x14ac:dyDescent="0.2">
      <c r="A1676" s="14">
        <v>44001</v>
      </c>
      <c r="B1676" s="3">
        <v>617015377602276</v>
      </c>
      <c r="C1676" s="3">
        <f>[1]!nefin_factors__1[[#This Row],[Rm_minus_Rf]]/B1675-1</f>
        <v>-1.4725831933451672E-2</v>
      </c>
      <c r="D1676" s="3">
        <v>262230310985004</v>
      </c>
      <c r="E1676" s="3">
        <f>[1]!nefin_factors__1[[#This Row],[SMB]]/D1675-1</f>
        <v>-1.2844892184544494</v>
      </c>
      <c r="F1676" s="3">
        <v>670358973118584</v>
      </c>
      <c r="G1676" s="3">
        <f>[1]!nefin_factors__1[[#This Row],[HML]]/F1675-1</f>
        <v>1.2277881025945998</v>
      </c>
      <c r="H1676" s="3">
        <v>8441679812</v>
      </c>
      <c r="I1676" s="4">
        <f>[1]!nefin_factors__1[[#This Row],[Risk_Free]]/H1675-1</f>
        <v>0</v>
      </c>
      <c r="J1676">
        <v>101911</v>
      </c>
      <c r="K1676">
        <v>103226</v>
      </c>
      <c r="L1676">
        <v>99751</v>
      </c>
      <c r="M1676">
        <v>100721</v>
      </c>
      <c r="N1676">
        <v>12611000</v>
      </c>
      <c r="O1676">
        <v>100721</v>
      </c>
      <c r="P1676">
        <v>-1.1676855295306701E-2</v>
      </c>
      <c r="Q1676">
        <v>-1.1745565170687901E-2</v>
      </c>
      <c r="R1676" s="8">
        <v>15.8545217514038</v>
      </c>
      <c r="S1676" s="8">
        <v>-2.1621676655248799E-2</v>
      </c>
      <c r="T1676" s="9">
        <v>-2.1858850062340601E-2</v>
      </c>
      <c r="U1676" s="12">
        <v>7.4689999999999999E-3</v>
      </c>
      <c r="V1676" s="16">
        <v>5.4284999999999997</v>
      </c>
      <c r="W1676" s="17">
        <f t="shared" si="26"/>
        <v>6.5266163573320934E-3</v>
      </c>
    </row>
    <row r="1677" spans="1:23" x14ac:dyDescent="0.2">
      <c r="A1677" s="15">
        <v>44004</v>
      </c>
      <c r="B1677" s="5">
        <v>-111830397153464</v>
      </c>
      <c r="C1677" s="5">
        <f>[1]!nefin_factors__1[[#This Row],[Rm_minus_Rf]]/B1676-1</f>
        <v>-1.181244100573372</v>
      </c>
      <c r="D1677" s="5">
        <v>385614231859135</v>
      </c>
      <c r="E1677" s="5">
        <f>[1]!nefin_factors__1[[#This Row],[SMB]]/D1676-1</f>
        <v>0.47051738759973816</v>
      </c>
      <c r="F1677" s="5">
        <v>122430470164328</v>
      </c>
      <c r="G1677" s="5">
        <f>[1]!nefin_factors__1[[#This Row],[HML]]/F1676-1</f>
        <v>-0.81736580686797122</v>
      </c>
      <c r="H1677" s="5">
        <v>8441679812</v>
      </c>
      <c r="I1677" s="6">
        <f>[1]!nefin_factors__1[[#This Row],[Risk_Free]]/H1676-1</f>
        <v>0</v>
      </c>
      <c r="J1677">
        <v>100733</v>
      </c>
      <c r="K1677">
        <v>101582</v>
      </c>
      <c r="L1677">
        <v>98961</v>
      </c>
      <c r="M1677">
        <v>101242</v>
      </c>
      <c r="N1677">
        <v>11327400</v>
      </c>
      <c r="O1677">
        <v>101242</v>
      </c>
      <c r="P1677">
        <v>5.17270479840359E-3</v>
      </c>
      <c r="Q1677">
        <v>5.1593723178312203E-3</v>
      </c>
      <c r="R1677" s="8">
        <v>15.828244209289601</v>
      </c>
      <c r="S1677" s="8">
        <v>-1.6574162580420501E-3</v>
      </c>
      <c r="T1677" s="9">
        <v>-1.65879129191396E-3</v>
      </c>
      <c r="U1677" s="12">
        <v>7.4689999999999999E-3</v>
      </c>
      <c r="V1677" s="16">
        <v>5.4550999999999998</v>
      </c>
      <c r="W1677" s="17">
        <f t="shared" si="26"/>
        <v>4.9000644745325062E-3</v>
      </c>
    </row>
    <row r="1678" spans="1:23" x14ac:dyDescent="0.2">
      <c r="A1678" s="14">
        <v>44005</v>
      </c>
      <c r="B1678" s="3">
        <v>389675580305087</v>
      </c>
      <c r="C1678" s="3">
        <f>[1]!nefin_factors__1[[#This Row],[Rm_minus_Rf]]/B1677-1</f>
        <v>-4.4845229045403299</v>
      </c>
      <c r="D1678" s="3">
        <v>-796509167898575</v>
      </c>
      <c r="E1678" s="3">
        <f>[1]!nefin_factors__1[[#This Row],[SMB]]/D1677-1</f>
        <v>-3.0655595724733002</v>
      </c>
      <c r="F1678" s="3">
        <v>69623515372429</v>
      </c>
      <c r="G1678" s="3">
        <f>[1]!nefin_factors__1[[#This Row],[HML]]/F1677-1</f>
        <v>-0.43132199624015755</v>
      </c>
      <c r="H1678" s="3">
        <v>8441679812</v>
      </c>
      <c r="I1678" s="4">
        <f>[1]!nefin_factors__1[[#This Row],[Risk_Free]]/H1677-1</f>
        <v>0</v>
      </c>
      <c r="J1678">
        <v>101239</v>
      </c>
      <c r="K1678">
        <v>101239</v>
      </c>
      <c r="L1678">
        <v>99373</v>
      </c>
      <c r="M1678">
        <v>100050</v>
      </c>
      <c r="N1678">
        <v>8479000</v>
      </c>
      <c r="O1678">
        <v>100050</v>
      </c>
      <c r="P1678">
        <v>-1.1773769779340601E-2</v>
      </c>
      <c r="Q1678">
        <v>-1.1843629489587299E-2</v>
      </c>
      <c r="R1678" s="8">
        <v>15.7669277191162</v>
      </c>
      <c r="S1678" s="8">
        <v>-3.8738655635192098E-3</v>
      </c>
      <c r="T1678" s="9">
        <v>-3.8813884153506401E-3</v>
      </c>
      <c r="U1678" s="12">
        <v>7.4689999999999999E-3</v>
      </c>
      <c r="V1678" s="16">
        <v>5.3800999999999997</v>
      </c>
      <c r="W1678" s="17">
        <f t="shared" si="26"/>
        <v>-1.3748602225440498E-2</v>
      </c>
    </row>
    <row r="1679" spans="1:23" x14ac:dyDescent="0.2">
      <c r="A1679" s="15">
        <v>44006</v>
      </c>
      <c r="B1679" s="5">
        <v>-1719065416585</v>
      </c>
      <c r="C1679" s="5">
        <f>[1]!nefin_factors__1[[#This Row],[Rm_minus_Rf]]/B1678-1</f>
        <v>-1.0044115297531324</v>
      </c>
      <c r="D1679" s="5">
        <v>-762980220971228</v>
      </c>
      <c r="E1679" s="5">
        <f>[1]!nefin_factors__1[[#This Row],[SMB]]/D1678-1</f>
        <v>-4.2094866297403999E-2</v>
      </c>
      <c r="F1679" s="5">
        <v>-511767573069605</v>
      </c>
      <c r="G1679" s="5">
        <f>[1]!nefin_factors__1[[#This Row],[HML]]/F1678-1</f>
        <v>-8.3504988987135462</v>
      </c>
      <c r="H1679" s="5">
        <v>8441679812</v>
      </c>
      <c r="I1679" s="6">
        <f>[1]!nefin_factors__1[[#This Row],[Risk_Free]]/H1678-1</f>
        <v>0</v>
      </c>
      <c r="J1679">
        <v>100050</v>
      </c>
      <c r="K1679">
        <v>101578</v>
      </c>
      <c r="L1679">
        <v>100050</v>
      </c>
      <c r="M1679">
        <v>101292</v>
      </c>
      <c r="N1679">
        <v>7955600</v>
      </c>
      <c r="O1679">
        <v>101292</v>
      </c>
      <c r="P1679">
        <v>1.24137931034483E-2</v>
      </c>
      <c r="Q1679">
        <v>1.23373737598408E-2</v>
      </c>
      <c r="R1679" s="8">
        <v>15.5129051208496</v>
      </c>
      <c r="S1679" s="8">
        <v>-1.6111103113551899E-2</v>
      </c>
      <c r="T1679" s="9">
        <v>-1.6242297972903899E-2</v>
      </c>
      <c r="U1679" s="12">
        <v>7.4689999999999999E-3</v>
      </c>
      <c r="V1679" s="16">
        <v>5.3852000000000002</v>
      </c>
      <c r="W1679" s="17">
        <f t="shared" si="26"/>
        <v>9.4793777067359031E-4</v>
      </c>
    </row>
    <row r="1680" spans="1:23" x14ac:dyDescent="0.2">
      <c r="A1680" s="14">
        <v>44007</v>
      </c>
      <c r="B1680" s="3">
        <v>166291920147146</v>
      </c>
      <c r="C1680" s="3">
        <f>[1]!nefin_factors__1[[#This Row],[Rm_minus_Rf]]/B1679-1</f>
        <v>-97.733910497421505</v>
      </c>
      <c r="D1680" s="3">
        <v>-141950545356916</v>
      </c>
      <c r="E1680" s="3">
        <f>[1]!nefin_factors__1[[#This Row],[SMB]]/D1679-1</f>
        <v>-0.81395252267978657</v>
      </c>
      <c r="F1680" s="3">
        <v>-109600885087634</v>
      </c>
      <c r="G1680" s="3">
        <f>[1]!nefin_factors__1[[#This Row],[HML]]/F1679-1</f>
        <v>-0.78583855082837129</v>
      </c>
      <c r="H1680" s="3">
        <v>8441679812</v>
      </c>
      <c r="I1680" s="4">
        <f>[1]!nefin_factors__1[[#This Row],[Risk_Free]]/H1679-1</f>
        <v>0</v>
      </c>
      <c r="J1680">
        <v>101291</v>
      </c>
      <c r="K1680">
        <v>101536</v>
      </c>
      <c r="L1680">
        <v>98687</v>
      </c>
      <c r="M1680">
        <v>98835</v>
      </c>
      <c r="N1680">
        <v>8894600</v>
      </c>
      <c r="O1680">
        <v>98835</v>
      </c>
      <c r="P1680">
        <v>-2.4256604667693402E-2</v>
      </c>
      <c r="Q1680">
        <v>-2.4555641755690302E-2</v>
      </c>
      <c r="R1680" s="8">
        <v>14.943544387817401</v>
      </c>
      <c r="S1680" s="8">
        <v>-3.67023925303969E-2</v>
      </c>
      <c r="T1680" s="9">
        <v>-3.73928729031517E-2</v>
      </c>
      <c r="U1680" s="12">
        <v>7.4689999999999999E-3</v>
      </c>
      <c r="V1680" s="16">
        <v>5.4497</v>
      </c>
      <c r="W1680" s="17">
        <f t="shared" si="26"/>
        <v>1.1977271039144366E-2</v>
      </c>
    </row>
    <row r="1681" spans="1:23" x14ac:dyDescent="0.2">
      <c r="A1681" s="15">
        <v>44008</v>
      </c>
      <c r="B1681" s="5">
        <v>-219520734770234</v>
      </c>
      <c r="C1681" s="5">
        <f>[1]!nefin_factors__1[[#This Row],[Rm_minus_Rf]]/B1680-1</f>
        <v>-2.3200926092860534</v>
      </c>
      <c r="D1681" s="5">
        <v>266721061359266</v>
      </c>
      <c r="E1681" s="5">
        <f>[1]!nefin_factors__1[[#This Row],[SMB]]/D1680-1</f>
        <v>-2.8789717270097901</v>
      </c>
      <c r="F1681" s="5">
        <v>-590542996699507</v>
      </c>
      <c r="G1681" s="5">
        <f>[1]!nefin_factors__1[[#This Row],[HML]]/F1680-1</f>
        <v>4.388122515865855</v>
      </c>
      <c r="H1681" s="5">
        <v>8441679812</v>
      </c>
      <c r="I1681" s="6">
        <f>[1]!nefin_factors__1[[#This Row],[Risk_Free]]/H1680-1</f>
        <v>0</v>
      </c>
      <c r="J1681">
        <v>98839</v>
      </c>
      <c r="K1681">
        <v>99435</v>
      </c>
      <c r="L1681">
        <v>97758</v>
      </c>
      <c r="M1681">
        <v>98363</v>
      </c>
      <c r="N1681">
        <v>9107900</v>
      </c>
      <c r="O1681">
        <v>98363</v>
      </c>
      <c r="P1681">
        <v>-4.7756361612788503E-3</v>
      </c>
      <c r="Q1681">
        <v>-4.7870759476880999E-3</v>
      </c>
      <c r="R1681" s="8">
        <v>14.785875320434601</v>
      </c>
      <c r="S1681" s="8">
        <v>-1.0550981968598499E-2</v>
      </c>
      <c r="T1681" s="9">
        <v>-1.0607038226545001E-2</v>
      </c>
      <c r="U1681" s="12">
        <v>7.4689999999999999E-3</v>
      </c>
      <c r="V1681" s="16">
        <v>5.4659000000000004</v>
      </c>
      <c r="W1681" s="17">
        <f t="shared" si="26"/>
        <v>2.9726406958181517E-3</v>
      </c>
    </row>
    <row r="1682" spans="1:23" x14ac:dyDescent="0.2">
      <c r="A1682" s="14">
        <v>44011</v>
      </c>
      <c r="B1682" s="3">
        <v>191653348225943</v>
      </c>
      <c r="C1682" s="3">
        <f>[1]!nefin_factors__1[[#This Row],[Rm_minus_Rf]]/B1681-1</f>
        <v>-1.873053510988568</v>
      </c>
      <c r="D1682" s="3">
        <v>118162609999676</v>
      </c>
      <c r="E1682" s="3">
        <f>[1]!nefin_factors__1[[#This Row],[SMB]]/D1681-1</f>
        <v>-0.55698057964566139</v>
      </c>
      <c r="F1682" s="3">
        <v>960009898905282</v>
      </c>
      <c r="G1682" s="3">
        <f>[1]!nefin_factors__1[[#This Row],[HML]]/F1681-1</f>
        <v>-2.6256392917546956</v>
      </c>
      <c r="H1682" s="3">
        <v>8441679812</v>
      </c>
      <c r="I1682" s="4">
        <f>[1]!nefin_factors__1[[#This Row],[Risk_Free]]/H1681-1</f>
        <v>0</v>
      </c>
      <c r="J1682">
        <v>98367</v>
      </c>
      <c r="K1682">
        <v>100520</v>
      </c>
      <c r="L1682">
        <v>98367</v>
      </c>
      <c r="M1682">
        <v>100275</v>
      </c>
      <c r="N1682">
        <v>8182100</v>
      </c>
      <c r="O1682">
        <v>100275</v>
      </c>
      <c r="P1682">
        <v>1.9438203389486E-2</v>
      </c>
      <c r="Q1682">
        <v>1.9251694569911899E-2</v>
      </c>
      <c r="R1682" s="8">
        <v>15.4515886306763</v>
      </c>
      <c r="S1682" s="8">
        <v>4.5023598252696098E-2</v>
      </c>
      <c r="T1682" s="9">
        <v>4.4039467221799702E-2</v>
      </c>
      <c r="U1682" s="12">
        <v>7.4689999999999999E-3</v>
      </c>
      <c r="V1682" s="16">
        <v>5.4905999999999997</v>
      </c>
      <c r="W1682" s="17">
        <f t="shared" si="26"/>
        <v>4.5189264348046709E-3</v>
      </c>
    </row>
    <row r="1683" spans="1:23" x14ac:dyDescent="0.2">
      <c r="A1683" s="15">
        <v>44012</v>
      </c>
      <c r="B1683" s="5">
        <v>-600499212577514</v>
      </c>
      <c r="C1683" s="5">
        <f>[1]!nefin_factors__1[[#This Row],[Rm_minus_Rf]]/B1682-1</f>
        <v>-4.1332570922245324</v>
      </c>
      <c r="D1683" s="5">
        <v>101003443395244</v>
      </c>
      <c r="E1683" s="5">
        <f>[1]!nefin_factors__1[[#This Row],[SMB]]/D1682-1</f>
        <v>-0.14521655034937908</v>
      </c>
      <c r="F1683" s="5">
        <v>204021778695036</v>
      </c>
      <c r="G1683" s="5">
        <f>[1]!nefin_factors__1[[#This Row],[HML]]/F1682-1</f>
        <v>-0.78747950523459598</v>
      </c>
      <c r="H1683" s="5">
        <v>8441679812</v>
      </c>
      <c r="I1683" s="6">
        <f>[1]!nefin_factors__1[[#This Row],[Risk_Free]]/H1682-1</f>
        <v>0</v>
      </c>
      <c r="J1683">
        <v>100277</v>
      </c>
      <c r="K1683">
        <v>100949</v>
      </c>
      <c r="L1683">
        <v>99647</v>
      </c>
      <c r="M1683">
        <v>100298</v>
      </c>
      <c r="N1683">
        <v>9216700</v>
      </c>
      <c r="O1683">
        <v>100298</v>
      </c>
      <c r="P1683">
        <v>2.29369234604926E-4</v>
      </c>
      <c r="Q1683">
        <v>2.29342933503733E-4</v>
      </c>
      <c r="R1683" s="8">
        <v>15.311438560485801</v>
      </c>
      <c r="S1683" s="8">
        <v>-9.0702693127739896E-3</v>
      </c>
      <c r="T1683" s="9">
        <v>-9.1116546462981195E-3</v>
      </c>
      <c r="U1683" s="12">
        <v>7.4689999999999999E-3</v>
      </c>
      <c r="V1683" s="16">
        <v>5.6509999999999998</v>
      </c>
      <c r="W1683" s="17">
        <f t="shared" si="26"/>
        <v>2.9213565002003339E-2</v>
      </c>
    </row>
    <row r="1684" spans="1:23" x14ac:dyDescent="0.2">
      <c r="A1684" s="14">
        <v>44013</v>
      </c>
      <c r="B1684" s="3">
        <v>145771593624242</v>
      </c>
      <c r="C1684" s="3">
        <f>[1]!nefin_factors__1[[#This Row],[Rm_minus_Rf]]/B1683-1</f>
        <v>-1.2427506823839929</v>
      </c>
      <c r="D1684" s="3">
        <v>153349389264834</v>
      </c>
      <c r="E1684" s="3">
        <f>[1]!nefin_factors__1[[#This Row],[SMB]]/D1683-1</f>
        <v>0.51825902276174118</v>
      </c>
      <c r="F1684" s="3">
        <v>364778128829431</v>
      </c>
      <c r="G1684" s="3">
        <f>[1]!nefin_factors__1[[#This Row],[HML]]/F1683-1</f>
        <v>0.7879372053445699</v>
      </c>
      <c r="H1684" s="3">
        <v>8441679812</v>
      </c>
      <c r="I1684" s="4">
        <f>[1]!nefin_factors__1[[#This Row],[Risk_Free]]/H1683-1</f>
        <v>0</v>
      </c>
      <c r="J1684">
        <v>100299</v>
      </c>
      <c r="K1684">
        <v>100663</v>
      </c>
      <c r="L1684">
        <v>99663</v>
      </c>
      <c r="M1684">
        <v>99676</v>
      </c>
      <c r="N1684">
        <v>7139400</v>
      </c>
      <c r="O1684">
        <v>99676</v>
      </c>
      <c r="P1684">
        <v>-6.20151947197356E-3</v>
      </c>
      <c r="Q1684">
        <v>-6.22082876655839E-3</v>
      </c>
      <c r="R1684" s="8">
        <v>15.942115783691399</v>
      </c>
      <c r="S1684" s="8">
        <v>4.1189939189198797E-2</v>
      </c>
      <c r="T1684" s="9">
        <v>4.0364231384327001E-2</v>
      </c>
      <c r="U1684" s="12">
        <v>7.4689999999999999E-3</v>
      </c>
      <c r="V1684" s="16">
        <v>5.6063999999999998</v>
      </c>
      <c r="W1684" s="17">
        <f t="shared" si="26"/>
        <v>-7.8924084232878666E-3</v>
      </c>
    </row>
    <row r="1685" spans="1:23" x14ac:dyDescent="0.2">
      <c r="A1685" s="15">
        <v>44014</v>
      </c>
      <c r="B1685" s="5">
        <v>-342908507836235</v>
      </c>
      <c r="C1685" s="5">
        <f>[1]!nefin_factors__1[[#This Row],[Rm_minus_Rf]]/B1684-1</f>
        <v>-3.3523685192065353</v>
      </c>
      <c r="D1685" s="5">
        <v>121450912389629</v>
      </c>
      <c r="E1685" s="5">
        <f>[1]!nefin_factors__1[[#This Row],[SMB]]/D1684-1</f>
        <v>-0.20801176338639615</v>
      </c>
      <c r="F1685" s="5">
        <v>1384160034719</v>
      </c>
      <c r="G1685" s="5">
        <f>[1]!nefin_factors__1[[#This Row],[HML]]/F1684-1</f>
        <v>-0.9962054741627171</v>
      </c>
      <c r="H1685" s="5">
        <v>8441679812</v>
      </c>
      <c r="I1685" s="6">
        <f>[1]!nefin_factors__1[[#This Row],[Risk_Free]]/H1684-1</f>
        <v>0</v>
      </c>
      <c r="J1685">
        <v>99674</v>
      </c>
      <c r="K1685">
        <v>100251</v>
      </c>
      <c r="L1685">
        <v>98562</v>
      </c>
      <c r="M1685">
        <v>100098</v>
      </c>
      <c r="N1685">
        <v>0</v>
      </c>
      <c r="O1685">
        <v>100098</v>
      </c>
      <c r="P1685">
        <v>4.2337172438702301E-3</v>
      </c>
      <c r="Q1685">
        <v>4.2247802785298503E-3</v>
      </c>
      <c r="R1685" s="8">
        <v>15.591739654541</v>
      </c>
      <c r="S1685" s="8">
        <v>-2.19780193485247E-2</v>
      </c>
      <c r="T1685" s="9">
        <v>-2.2223134096123101E-2</v>
      </c>
      <c r="U1685" s="12">
        <v>7.4689999999999999E-3</v>
      </c>
      <c r="V1685" s="16">
        <v>5.5953999999999997</v>
      </c>
      <c r="W1685" s="17">
        <f t="shared" si="26"/>
        <v>-1.962043378995415E-3</v>
      </c>
    </row>
    <row r="1686" spans="1:23" x14ac:dyDescent="0.2">
      <c r="A1686" s="14">
        <v>44015</v>
      </c>
      <c r="B1686" s="3">
        <v>673581466010936</v>
      </c>
      <c r="C1686" s="3">
        <f>[1]!nefin_factors__1[[#This Row],[Rm_minus_Rf]]/B1685-1</f>
        <v>-2.964318325786838</v>
      </c>
      <c r="D1686" s="3">
        <v>298706862112903</v>
      </c>
      <c r="E1686" s="3">
        <f>[1]!nefin_factors__1[[#This Row],[SMB]]/D1685-1</f>
        <v>1.4594863573738812</v>
      </c>
      <c r="F1686" s="3">
        <v>877962057137513</v>
      </c>
      <c r="G1686" s="3">
        <f>[1]!nefin_factors__1[[#This Row],[HML]]/F1685-1</f>
        <v>633.29230371887536</v>
      </c>
      <c r="H1686" s="3">
        <v>8441679812</v>
      </c>
      <c r="I1686" s="4">
        <f>[1]!nefin_factors__1[[#This Row],[Risk_Free]]/H1685-1</f>
        <v>0</v>
      </c>
      <c r="J1686">
        <v>100098</v>
      </c>
      <c r="K1686">
        <v>100102</v>
      </c>
      <c r="L1686">
        <v>98045</v>
      </c>
      <c r="M1686">
        <v>98290</v>
      </c>
      <c r="N1686">
        <v>11370300</v>
      </c>
      <c r="O1686">
        <v>98290</v>
      </c>
      <c r="P1686">
        <v>-1.8062298947031898E-2</v>
      </c>
      <c r="Q1686">
        <v>-1.8227413523053699E-2</v>
      </c>
      <c r="R1686" s="8">
        <v>15.136251449585</v>
      </c>
      <c r="S1686" s="8">
        <v>-2.9213430640075901E-2</v>
      </c>
      <c r="T1686" s="9">
        <v>-2.96486398360984E-2</v>
      </c>
      <c r="U1686" s="12">
        <v>7.4689999999999999E-3</v>
      </c>
      <c r="V1686" s="16">
        <v>5.5997000000000003</v>
      </c>
      <c r="W1686" s="17">
        <f t="shared" si="26"/>
        <v>7.6848840118670658E-4</v>
      </c>
    </row>
    <row r="1687" spans="1:23" x14ac:dyDescent="0.2">
      <c r="A1687" s="15">
        <v>44018</v>
      </c>
      <c r="B1687" s="5">
        <v>205816445021937</v>
      </c>
      <c r="C1687" s="5">
        <f>[1]!nefin_factors__1[[#This Row],[Rm_minus_Rf]]/B1686-1</f>
        <v>-0.69444461374387723</v>
      </c>
      <c r="D1687" s="5">
        <v>414027056858547</v>
      </c>
      <c r="E1687" s="5">
        <f>[1]!nefin_factors__1[[#This Row],[SMB]]/D1686-1</f>
        <v>0.38606476573697246</v>
      </c>
      <c r="F1687" s="5">
        <v>-37065254050423</v>
      </c>
      <c r="G1687" s="5">
        <f>[1]!nefin_factors__1[[#This Row],[HML]]/F1686-1</f>
        <v>-1.0422173757386164</v>
      </c>
      <c r="H1687" s="5">
        <v>8402827316</v>
      </c>
      <c r="I1687" s="6">
        <f>[1]!nefin_factors__1[[#This Row],[Risk_Free]]/H1686-1</f>
        <v>-4.6024602763030664E-3</v>
      </c>
      <c r="J1687">
        <v>98283</v>
      </c>
      <c r="K1687">
        <v>98283</v>
      </c>
      <c r="L1687">
        <v>95820</v>
      </c>
      <c r="M1687">
        <v>96991</v>
      </c>
      <c r="N1687">
        <v>9738000</v>
      </c>
      <c r="O1687">
        <v>96991</v>
      </c>
      <c r="P1687">
        <v>-1.3215993488656E-2</v>
      </c>
      <c r="Q1687">
        <v>-1.33041018849654E-2</v>
      </c>
      <c r="R1687" s="8">
        <v>14.4705362319946</v>
      </c>
      <c r="S1687" s="8">
        <v>-4.3981511525998503E-2</v>
      </c>
      <c r="T1687" s="9">
        <v>-4.4978026709788302E-2</v>
      </c>
      <c r="U1687" s="12">
        <v>7.4689999999999999E-3</v>
      </c>
      <c r="V1687" s="16">
        <v>5.5679999999999996</v>
      </c>
      <c r="W1687" s="17">
        <f t="shared" si="26"/>
        <v>-5.6610175545119823E-3</v>
      </c>
    </row>
    <row r="1688" spans="1:23" x14ac:dyDescent="0.2">
      <c r="A1688" s="14">
        <v>44019</v>
      </c>
      <c r="B1688" s="3">
        <v>-111311816707785</v>
      </c>
      <c r="C1688" s="3">
        <f>[1]!nefin_factors__1[[#This Row],[Rm_minus_Rf]]/B1687-1</f>
        <v>-1.5408305283667727</v>
      </c>
      <c r="D1688" s="3">
        <v>415459167701054</v>
      </c>
      <c r="E1688" s="3">
        <f>[1]!nefin_factors__1[[#This Row],[SMB]]/D1687-1</f>
        <v>3.4589788729586513E-3</v>
      </c>
      <c r="F1688" s="3">
        <v>-716713704373877</v>
      </c>
      <c r="G1688" s="3">
        <f>[1]!nefin_factors__1[[#This Row],[HML]]/F1687-1</f>
        <v>18.336538295376869</v>
      </c>
      <c r="H1688" s="3">
        <v>8402827316</v>
      </c>
      <c r="I1688" s="4">
        <f>[1]!nefin_factors__1[[#This Row],[Risk_Free]]/H1687-1</f>
        <v>0</v>
      </c>
      <c r="J1688">
        <v>96995</v>
      </c>
      <c r="K1688">
        <v>97684</v>
      </c>
      <c r="L1688">
        <v>96390</v>
      </c>
      <c r="M1688">
        <v>97294</v>
      </c>
      <c r="N1688">
        <v>7281300</v>
      </c>
      <c r="O1688">
        <v>97294</v>
      </c>
      <c r="P1688">
        <v>3.1240011959872099E-3</v>
      </c>
      <c r="Q1688">
        <v>3.11913164327413E-3</v>
      </c>
      <c r="R1688" s="8">
        <v>14.190235137939499</v>
      </c>
      <c r="S1688" s="8">
        <v>-1.9370470420814401E-2</v>
      </c>
      <c r="T1688" s="9">
        <v>-1.95605364317686E-2</v>
      </c>
      <c r="U1688" s="12">
        <v>7.4689999999999999E-3</v>
      </c>
      <c r="V1688" s="16">
        <v>5.5956000000000001</v>
      </c>
      <c r="W1688" s="17">
        <f t="shared" si="26"/>
        <v>4.9568965517241548E-3</v>
      </c>
    </row>
    <row r="1689" spans="1:23" x14ac:dyDescent="0.2">
      <c r="A1689" s="15">
        <v>44020</v>
      </c>
      <c r="B1689" s="5">
        <v>181756181104549</v>
      </c>
      <c r="C1689" s="5">
        <f>[1]!nefin_factors__1[[#This Row],[Rm_minus_Rf]]/B1688-1</f>
        <v>-2.6328561196848854</v>
      </c>
      <c r="D1689" s="5">
        <v>12629842098064</v>
      </c>
      <c r="E1689" s="5">
        <f>[1]!nefin_factors__1[[#This Row],[SMB]]/D1688-1</f>
        <v>-0.96960028065344828</v>
      </c>
      <c r="F1689" s="5">
        <v>649502167892869</v>
      </c>
      <c r="G1689" s="5">
        <f>[1]!nefin_factors__1[[#This Row],[HML]]/F1688-1</f>
        <v>-1.9062226157099589</v>
      </c>
      <c r="H1689" s="5">
        <v>8402827316</v>
      </c>
      <c r="I1689" s="6">
        <f>[1]!nefin_factors__1[[#This Row],[Risk_Free]]/H1688-1</f>
        <v>0</v>
      </c>
      <c r="J1689">
        <v>97294</v>
      </c>
      <c r="K1689">
        <v>97389</v>
      </c>
      <c r="L1689">
        <v>95728</v>
      </c>
      <c r="M1689">
        <v>95735</v>
      </c>
      <c r="N1689">
        <v>8830700</v>
      </c>
      <c r="O1689">
        <v>95735</v>
      </c>
      <c r="P1689">
        <v>-1.6023598577507299E-2</v>
      </c>
      <c r="Q1689">
        <v>-1.61533645116782E-2</v>
      </c>
      <c r="R1689" s="8">
        <v>14.330385208129901</v>
      </c>
      <c r="S1689" s="8">
        <v>9.8765149997917003E-3</v>
      </c>
      <c r="T1689" s="9">
        <v>9.8280610020706205E-3</v>
      </c>
      <c r="U1689" s="12">
        <v>7.4689999999999999E-3</v>
      </c>
      <c r="V1689" s="16">
        <v>5.4679000000000002</v>
      </c>
      <c r="W1689" s="17">
        <f t="shared" si="26"/>
        <v>-2.2821502609192912E-2</v>
      </c>
    </row>
    <row r="1690" spans="1:23" x14ac:dyDescent="0.2">
      <c r="A1690" s="14">
        <v>44021</v>
      </c>
      <c r="B1690" s="3">
        <v>-406010268427964</v>
      </c>
      <c r="C1690" s="3">
        <f>[1]!nefin_factors__1[[#This Row],[Rm_minus_Rf]]/B1689-1</f>
        <v>-3.2338182171335377</v>
      </c>
      <c r="D1690" s="3">
        <v>-820189222059428</v>
      </c>
      <c r="E1690" s="3">
        <f>[1]!nefin_factors__1[[#This Row],[SMB]]/D1689-1</f>
        <v>-65.940576112598663</v>
      </c>
      <c r="F1690" s="3">
        <v>306150690223654</v>
      </c>
      <c r="G1690" s="3">
        <f>[1]!nefin_factors__1[[#This Row],[HML]]/F1689-1</f>
        <v>-0.52863792400127685</v>
      </c>
      <c r="H1690" s="3">
        <v>8363971031</v>
      </c>
      <c r="I1690" s="4">
        <f>[1]!nefin_factors__1[[#This Row],[Risk_Free]]/H1689-1</f>
        <v>-4.6241917795946108E-3</v>
      </c>
      <c r="J1690">
        <v>95735</v>
      </c>
      <c r="K1690">
        <v>97955</v>
      </c>
      <c r="L1690">
        <v>95653</v>
      </c>
      <c r="M1690">
        <v>97012</v>
      </c>
      <c r="N1690">
        <v>9331000</v>
      </c>
      <c r="O1690">
        <v>97012</v>
      </c>
      <c r="P1690">
        <v>1.33389042669869E-2</v>
      </c>
      <c r="Q1690">
        <v>1.32507243668037E-2</v>
      </c>
      <c r="R1690" s="8">
        <v>14.996100425720201</v>
      </c>
      <c r="S1690" s="8">
        <v>4.6454802709187601E-2</v>
      </c>
      <c r="T1690" s="9">
        <v>4.5408072969035901E-2</v>
      </c>
      <c r="U1690" s="12">
        <v>7.4689999999999999E-3</v>
      </c>
      <c r="V1690" s="16">
        <v>5.4713000000000003</v>
      </c>
      <c r="W1690" s="17">
        <f t="shared" si="26"/>
        <v>6.2181093289925826E-4</v>
      </c>
    </row>
    <row r="1691" spans="1:23" x14ac:dyDescent="0.2">
      <c r="A1691" s="15">
        <v>44022</v>
      </c>
      <c r="B1691" s="5">
        <v>7366606381034</v>
      </c>
      <c r="C1691" s="5">
        <f>[1]!nefin_factors__1[[#This Row],[Rm_minus_Rf]]/B1690-1</f>
        <v>-1.0181438918024337</v>
      </c>
      <c r="D1691" s="5">
        <v>125758648437326</v>
      </c>
      <c r="E1691" s="5">
        <f>[1]!nefin_factors__1[[#This Row],[SMB]]/D1690-1</f>
        <v>-1.1533288234653418</v>
      </c>
      <c r="F1691" s="5">
        <v>392888412759986</v>
      </c>
      <c r="G1691" s="5">
        <f>[1]!nefin_factors__1[[#This Row],[HML]]/F1690-1</f>
        <v>0.2833170896102406</v>
      </c>
      <c r="H1691" s="5">
        <v>8363971031</v>
      </c>
      <c r="I1691" s="6">
        <f>[1]!nefin_factors__1[[#This Row],[Risk_Free]]/H1690-1</f>
        <v>0</v>
      </c>
      <c r="J1691">
        <v>97011</v>
      </c>
      <c r="K1691">
        <v>97012</v>
      </c>
      <c r="L1691">
        <v>95632</v>
      </c>
      <c r="M1691">
        <v>96999</v>
      </c>
      <c r="N1691">
        <v>7351100</v>
      </c>
      <c r="O1691">
        <v>96999</v>
      </c>
      <c r="P1691">
        <v>-1.3400404073726801E-4</v>
      </c>
      <c r="Q1691">
        <v>-1.34013020080923E-4</v>
      </c>
      <c r="R1691" s="8">
        <v>14.6720018386841</v>
      </c>
      <c r="S1691" s="8">
        <v>-2.1612191025358999E-2</v>
      </c>
      <c r="T1691" s="9">
        <v>-2.1849154851724301E-2</v>
      </c>
      <c r="U1691" s="12">
        <v>7.4689999999999999E-3</v>
      </c>
      <c r="V1691" s="16">
        <v>5.3731999999999998</v>
      </c>
      <c r="W1691" s="17">
        <f t="shared" si="26"/>
        <v>-1.7929925246285228E-2</v>
      </c>
    </row>
    <row r="1692" spans="1:23" x14ac:dyDescent="0.2">
      <c r="A1692" s="14">
        <v>44025</v>
      </c>
      <c r="B1692" s="3">
        <v>-142018945989651</v>
      </c>
      <c r="C1692" s="3">
        <f>[1]!nefin_factors__1[[#This Row],[Rm_minus_Rf]]/B1691-1</f>
        <v>-20.27874772232866</v>
      </c>
      <c r="D1692" s="3">
        <v>313661678935905</v>
      </c>
      <c r="E1692" s="3">
        <f>[1]!nefin_factors__1[[#This Row],[SMB]]/D1691-1</f>
        <v>1.4941559314882724</v>
      </c>
      <c r="F1692" s="3">
        <v>839006514677815</v>
      </c>
      <c r="G1692" s="3">
        <f>[1]!nefin_factors__1[[#This Row],[HML]]/F1691-1</f>
        <v>1.1354829703016995</v>
      </c>
      <c r="H1692" s="3">
        <v>832511096</v>
      </c>
      <c r="I1692" s="4">
        <f>[1]!nefin_factors__1[[#This Row],[Risk_Free]]/H1691-1</f>
        <v>-0.90046461269241573</v>
      </c>
      <c r="J1692">
        <v>97005</v>
      </c>
      <c r="K1692">
        <v>98314</v>
      </c>
      <c r="L1692">
        <v>94371</v>
      </c>
      <c r="M1692">
        <v>94666</v>
      </c>
      <c r="N1692">
        <v>10508900</v>
      </c>
      <c r="O1692">
        <v>94666</v>
      </c>
      <c r="P1692">
        <v>-2.40517943483953E-2</v>
      </c>
      <c r="Q1692">
        <v>-2.43457619571129E-2</v>
      </c>
      <c r="R1692" s="8">
        <v>14.234031677246101</v>
      </c>
      <c r="S1692" s="8">
        <v>-2.9850743358226701E-2</v>
      </c>
      <c r="T1692" s="9">
        <v>-3.0305346495347201E-2</v>
      </c>
      <c r="U1692" s="12">
        <v>7.4689999999999999E-3</v>
      </c>
      <c r="V1692" s="16">
        <v>5.3741000000000003</v>
      </c>
      <c r="W1692" s="17">
        <f t="shared" si="26"/>
        <v>1.6749795280279756E-4</v>
      </c>
    </row>
    <row r="1693" spans="1:23" x14ac:dyDescent="0.2">
      <c r="A1693" s="15">
        <v>44026</v>
      </c>
      <c r="B1693" s="5">
        <v>133644109036733</v>
      </c>
      <c r="C1693" s="5">
        <f>[1]!nefin_factors__1[[#This Row],[Rm_minus_Rf]]/B1692-1</f>
        <v>-1.9410301428829906</v>
      </c>
      <c r="D1693" s="5">
        <v>-882446273362156</v>
      </c>
      <c r="E1693" s="5">
        <f>[1]!nefin_factors__1[[#This Row],[SMB]]/D1692-1</f>
        <v>-3.8133697312207491</v>
      </c>
      <c r="F1693" s="5">
        <v>-131866147705377</v>
      </c>
      <c r="G1693" s="5">
        <f>[1]!nefin_factors__1[[#This Row],[HML]]/F1692-1</f>
        <v>-1.1571693966595893</v>
      </c>
      <c r="H1693" s="5">
        <v>8286247092</v>
      </c>
      <c r="I1693" s="6">
        <f>[1]!nefin_factors__1[[#This Row],[Risk_Free]]/H1692-1</f>
        <v>8.9533172972868105</v>
      </c>
      <c r="J1693">
        <v>94665</v>
      </c>
      <c r="K1693">
        <v>95505</v>
      </c>
      <c r="L1693">
        <v>93408</v>
      </c>
      <c r="M1693">
        <v>93580</v>
      </c>
      <c r="N1693">
        <v>8737200</v>
      </c>
      <c r="O1693">
        <v>93580</v>
      </c>
      <c r="P1693">
        <v>-1.1471911774026599E-2</v>
      </c>
      <c r="Q1693">
        <v>-1.15382217767083E-2</v>
      </c>
      <c r="R1693" s="8">
        <v>13.6821899414062</v>
      </c>
      <c r="S1693" s="8">
        <v>-3.8769179973232398E-2</v>
      </c>
      <c r="T1693" s="9">
        <v>-3.9540711519459301E-2</v>
      </c>
      <c r="U1693" s="12">
        <v>7.4689999999999999E-3</v>
      </c>
      <c r="V1693" s="16">
        <v>5.3079000000000001</v>
      </c>
      <c r="W1693" s="17">
        <f t="shared" si="26"/>
        <v>-1.2318341675815581E-2</v>
      </c>
    </row>
    <row r="1694" spans="1:23" x14ac:dyDescent="0.2">
      <c r="A1694" s="14">
        <v>44027</v>
      </c>
      <c r="B1694" s="3">
        <v>13147285133754</v>
      </c>
      <c r="C1694" s="3">
        <f>[1]!nefin_factors__1[[#This Row],[Rm_minus_Rf]]/B1693-1</f>
        <v>-0.90162465649615442</v>
      </c>
      <c r="D1694" s="3">
        <v>-153930964413908</v>
      </c>
      <c r="E1694" s="3">
        <f>[1]!nefin_factors__1[[#This Row],[SMB]]/D1693-1</f>
        <v>-0.8255633582910098</v>
      </c>
      <c r="F1694" s="3">
        <v>554190233781363</v>
      </c>
      <c r="G1694" s="3">
        <f>[1]!nefin_factors__1[[#This Row],[HML]]/F1693-1</f>
        <v>-5.2026725086378267</v>
      </c>
      <c r="H1694" s="3">
        <v>8247379436</v>
      </c>
      <c r="I1694" s="4">
        <f>[1]!nefin_factors__1[[#This Row],[Risk_Free]]/H1693-1</f>
        <v>-4.6906223732484653E-3</v>
      </c>
      <c r="J1694">
        <v>93586</v>
      </c>
      <c r="K1694">
        <v>95340</v>
      </c>
      <c r="L1694">
        <v>93584</v>
      </c>
      <c r="M1694">
        <v>94603</v>
      </c>
      <c r="N1694">
        <v>9454300</v>
      </c>
      <c r="O1694">
        <v>94603</v>
      </c>
      <c r="P1694">
        <v>1.0931823039110901E-2</v>
      </c>
      <c r="Q1694">
        <v>1.0872502590505401E-2</v>
      </c>
      <c r="R1694" s="8">
        <v>14.128918647766101</v>
      </c>
      <c r="S1694" s="8">
        <v>3.2650380404962299E-2</v>
      </c>
      <c r="T1694" s="9">
        <v>3.2128682128892902E-2</v>
      </c>
      <c r="U1694" s="12">
        <v>7.4689999999999999E-3</v>
      </c>
      <c r="V1694" s="16">
        <v>5.2847999999999997</v>
      </c>
      <c r="W1694" s="17">
        <f t="shared" si="26"/>
        <v>-4.3520036172498555E-3</v>
      </c>
    </row>
    <row r="1695" spans="1:23" x14ac:dyDescent="0.2">
      <c r="A1695" s="15">
        <v>44028</v>
      </c>
      <c r="B1695" s="5">
        <v>-118009331341118</v>
      </c>
      <c r="C1695" s="5">
        <f>[1]!nefin_factors__1[[#This Row],[Rm_minus_Rf]]/B1694-1</f>
        <v>-9.9759467555886427</v>
      </c>
      <c r="D1695" s="5">
        <v>141639141197551</v>
      </c>
      <c r="E1695" s="5">
        <f>[1]!nefin_factors__1[[#This Row],[SMB]]/D1694-1</f>
        <v>-1.9201471694589967</v>
      </c>
      <c r="F1695" s="5">
        <v>-460824812240586</v>
      </c>
      <c r="G1695" s="5">
        <f>[1]!nefin_factors__1[[#This Row],[HML]]/F1694-1</f>
        <v>-1.8315282084570059</v>
      </c>
      <c r="H1695" s="5">
        <v>8247379436</v>
      </c>
      <c r="I1695" s="6">
        <f>[1]!nefin_factors__1[[#This Row],[Risk_Free]]/H1694-1</f>
        <v>0</v>
      </c>
      <c r="J1695">
        <v>94604</v>
      </c>
      <c r="K1695">
        <v>95486</v>
      </c>
      <c r="L1695">
        <v>93599</v>
      </c>
      <c r="M1695">
        <v>95479</v>
      </c>
      <c r="N1695">
        <v>9243500</v>
      </c>
      <c r="O1695">
        <v>95479</v>
      </c>
      <c r="P1695">
        <v>9.2597486337642199E-3</v>
      </c>
      <c r="Q1695">
        <v>9.2171399896370503E-3</v>
      </c>
      <c r="R1695" s="8">
        <v>13.761024475097701</v>
      </c>
      <c r="S1695" s="8">
        <v>-2.60383814104997E-2</v>
      </c>
      <c r="T1695" s="9">
        <v>-2.6383382081642901E-2</v>
      </c>
      <c r="U1695" s="12">
        <v>7.4689999999999999E-3</v>
      </c>
      <c r="V1695" s="16">
        <v>5.3697999999999997</v>
      </c>
      <c r="W1695" s="17">
        <f t="shared" si="26"/>
        <v>1.6083863154707778E-2</v>
      </c>
    </row>
    <row r="1696" spans="1:23" x14ac:dyDescent="0.2">
      <c r="A1696" s="14">
        <v>44029</v>
      </c>
      <c r="B1696" s="3">
        <v>220052028716427</v>
      </c>
      <c r="C1696" s="3">
        <f>[1]!nefin_factors__1[[#This Row],[Rm_minus_Rf]]/B1695-1</f>
        <v>-2.864700242054115</v>
      </c>
      <c r="D1696" s="3">
        <v>-146730389286232</v>
      </c>
      <c r="E1696" s="3">
        <f>[1]!nefin_factors__1[[#This Row],[SMB]]/D1695-1</f>
        <v>-2.0359452058635403</v>
      </c>
      <c r="F1696" s="3">
        <v>-431307258159411</v>
      </c>
      <c r="G1696" s="3">
        <f>[1]!nefin_factors__1[[#This Row],[HML]]/F1695-1</f>
        <v>-6.4053742978068096E-2</v>
      </c>
      <c r="H1696" s="3">
        <v>8247379436</v>
      </c>
      <c r="I1696" s="4">
        <f>[1]!nefin_factors__1[[#This Row],[Risk_Free]]/H1695-1</f>
        <v>0</v>
      </c>
      <c r="J1696">
        <v>95475</v>
      </c>
      <c r="K1696">
        <v>95996</v>
      </c>
      <c r="L1696">
        <v>93897</v>
      </c>
      <c r="M1696">
        <v>94016</v>
      </c>
      <c r="N1696">
        <v>8584900</v>
      </c>
      <c r="O1696">
        <v>94016</v>
      </c>
      <c r="P1696">
        <v>-1.5322741126320901E-2</v>
      </c>
      <c r="Q1696">
        <v>-1.5441347466800599E-2</v>
      </c>
      <c r="R1696" s="8">
        <v>13.033993721008301</v>
      </c>
      <c r="S1696" s="8">
        <v>-5.2832603808314699E-2</v>
      </c>
      <c r="T1696" s="9">
        <v>-5.4279436695152901E-2</v>
      </c>
      <c r="U1696" s="12">
        <v>7.4689999999999999E-3</v>
      </c>
      <c r="V1696" s="16">
        <v>5.3023999999999996</v>
      </c>
      <c r="W1696" s="17">
        <f t="shared" si="26"/>
        <v>-1.2551677902342795E-2</v>
      </c>
    </row>
    <row r="1697" spans="1:23" x14ac:dyDescent="0.2">
      <c r="A1697" s="15">
        <v>44032</v>
      </c>
      <c r="B1697" s="5">
        <v>146884637399446</v>
      </c>
      <c r="C1697" s="5">
        <f>[1]!nefin_factors__1[[#This Row],[Rm_minus_Rf]]/B1696-1</f>
        <v>-0.33250041703214261</v>
      </c>
      <c r="D1697" s="5">
        <v>-179205039354125</v>
      </c>
      <c r="E1697" s="5">
        <f>[1]!nefin_factors__1[[#This Row],[SMB]]/D1696-1</f>
        <v>0.22132191038179272</v>
      </c>
      <c r="F1697" s="5">
        <v>-892543081128662</v>
      </c>
      <c r="G1697" s="5">
        <f>[1]!nefin_factors__1[[#This Row],[HML]]/F1696-1</f>
        <v>1.069390357439286</v>
      </c>
      <c r="H1697" s="5">
        <v>8208507988</v>
      </c>
      <c r="I1697" s="6">
        <f>[1]!nefin_factors__1[[#This Row],[Risk_Free]]/H1696-1</f>
        <v>-4.7131877830580704E-3</v>
      </c>
      <c r="J1697">
        <v>94019</v>
      </c>
      <c r="K1697">
        <v>96414</v>
      </c>
      <c r="L1697">
        <v>93984</v>
      </c>
      <c r="M1697">
        <v>96089</v>
      </c>
      <c r="N1697">
        <v>8616000</v>
      </c>
      <c r="O1697">
        <v>96089</v>
      </c>
      <c r="P1697">
        <v>2.20494383934648E-2</v>
      </c>
      <c r="Q1697">
        <v>2.1809864773423601E-2</v>
      </c>
      <c r="R1697" s="8">
        <v>12.666098594665501</v>
      </c>
      <c r="S1697" s="8">
        <v>-2.8225817367841601E-2</v>
      </c>
      <c r="T1697" s="9">
        <v>-2.8631823907624799E-2</v>
      </c>
      <c r="U1697" s="12">
        <v>7.4689999999999999E-3</v>
      </c>
      <c r="V1697" s="16">
        <v>5.2935999999999996</v>
      </c>
      <c r="W1697" s="17">
        <f t="shared" si="26"/>
        <v>-1.6596258298129385E-3</v>
      </c>
    </row>
    <row r="1698" spans="1:23" x14ac:dyDescent="0.2">
      <c r="A1698" s="14">
        <v>44033</v>
      </c>
      <c r="B1698" s="3">
        <v>885001215480149</v>
      </c>
      <c r="C1698" s="3">
        <f>[1]!nefin_factors__1[[#This Row],[Rm_minus_Rf]]/B1697-1</f>
        <v>5.0251448425707652</v>
      </c>
      <c r="D1698" s="3">
        <v>142322726843203</v>
      </c>
      <c r="E1698" s="3">
        <f>[1]!nefin_factors__1[[#This Row],[SMB]]/D1697-1</f>
        <v>-1.7941893116184122</v>
      </c>
      <c r="F1698" s="3">
        <v>-819250407643147</v>
      </c>
      <c r="G1698" s="3">
        <f>[1]!nefin_factors__1[[#This Row],[HML]]/F1697-1</f>
        <v>-8.2116678774578622E-2</v>
      </c>
      <c r="H1698" s="3">
        <v>8247379436</v>
      </c>
      <c r="I1698" s="4">
        <f>[1]!nefin_factors__1[[#This Row],[Risk_Free]]/H1697-1</f>
        <v>4.7355071173502683E-3</v>
      </c>
      <c r="J1698">
        <v>96091</v>
      </c>
      <c r="K1698">
        <v>97405</v>
      </c>
      <c r="L1698">
        <v>95211</v>
      </c>
      <c r="M1698">
        <v>95615</v>
      </c>
      <c r="N1698">
        <v>11299600</v>
      </c>
      <c r="O1698">
        <v>95615</v>
      </c>
      <c r="P1698">
        <v>-4.9329267658108104E-3</v>
      </c>
      <c r="Q1698">
        <v>-4.9451338098981997E-3</v>
      </c>
      <c r="R1698" s="8">
        <v>13.8486175537109</v>
      </c>
      <c r="S1698" s="8">
        <v>9.3360946956740201E-2</v>
      </c>
      <c r="T1698" s="9">
        <v>8.9256389771878303E-2</v>
      </c>
      <c r="U1698" s="12">
        <v>7.4689999999999999E-3</v>
      </c>
      <c r="V1698" s="16">
        <v>5.2854000000000001</v>
      </c>
      <c r="W1698" s="17">
        <f t="shared" si="26"/>
        <v>-1.5490403506119854E-3</v>
      </c>
    </row>
    <row r="1699" spans="1:23" x14ac:dyDescent="0.2">
      <c r="A1699" s="15">
        <v>44034</v>
      </c>
      <c r="B1699" s="5">
        <v>150980409411848</v>
      </c>
      <c r="C1699" s="5">
        <f>[1]!nefin_factors__1[[#This Row],[Rm_minus_Rf]]/B1698-1</f>
        <v>-0.82940090163612368</v>
      </c>
      <c r="D1699" s="5">
        <v>-115837392806152</v>
      </c>
      <c r="E1699" s="5">
        <f>[1]!nefin_factors__1[[#This Row],[SMB]]/D1698-1</f>
        <v>-1.8139065023239058</v>
      </c>
      <c r="F1699" s="5">
        <v>563536141829559</v>
      </c>
      <c r="G1699" s="5">
        <f>[1]!nefin_factors__1[[#This Row],[HML]]/F1698-1</f>
        <v>-1.6878680029598798</v>
      </c>
      <c r="H1699" s="5">
        <v>8169632747</v>
      </c>
      <c r="I1699" s="6">
        <f>[1]!nefin_factors__1[[#This Row],[Risk_Free]]/H1698-1</f>
        <v>-9.426835469777739E-3</v>
      </c>
      <c r="J1699">
        <v>95616</v>
      </c>
      <c r="K1699">
        <v>96380</v>
      </c>
      <c r="L1699">
        <v>94881</v>
      </c>
      <c r="M1699">
        <v>95526</v>
      </c>
      <c r="N1699">
        <v>9829900</v>
      </c>
      <c r="O1699">
        <v>95526</v>
      </c>
      <c r="P1699">
        <v>-9.3081629451441405E-4</v>
      </c>
      <c r="Q1699">
        <v>-9.3124977301492398E-4</v>
      </c>
      <c r="R1699" s="8">
        <v>13.051511764526399</v>
      </c>
      <c r="S1699" s="8">
        <v>-5.7558509800205597E-2</v>
      </c>
      <c r="T1699" s="9">
        <v>-5.9281440950588002E-2</v>
      </c>
      <c r="U1699" s="12">
        <v>7.4689999999999999E-3</v>
      </c>
      <c r="V1699" s="16">
        <v>5.2984</v>
      </c>
      <c r="W1699" s="17">
        <f t="shared" si="26"/>
        <v>2.4596057062851173E-3</v>
      </c>
    </row>
    <row r="1700" spans="1:23" x14ac:dyDescent="0.2">
      <c r="A1700" s="14">
        <v>44035</v>
      </c>
      <c r="B1700" s="3">
        <v>-195338355907354</v>
      </c>
      <c r="C1700" s="3">
        <f>[1]!nefin_factors__1[[#This Row],[Rm_minus_Rf]]/B1699-1</f>
        <v>-2.2937993523020945</v>
      </c>
      <c r="D1700" s="3">
        <v>-120017636249142</v>
      </c>
      <c r="E1700" s="3">
        <f>[1]!nefin_factors__1[[#This Row],[SMB]]/D1699-1</f>
        <v>3.6087167897376871E-2</v>
      </c>
      <c r="F1700" s="3">
        <v>569710198852234</v>
      </c>
      <c r="G1700" s="3">
        <f>[1]!nefin_factors__1[[#This Row],[HML]]/F1699-1</f>
        <v>1.0955920240768302E-2</v>
      </c>
      <c r="H1700" s="3">
        <v>8169632747</v>
      </c>
      <c r="I1700" s="4">
        <f>[1]!nefin_factors__1[[#This Row],[Risk_Free]]/H1699-1</f>
        <v>0</v>
      </c>
      <c r="J1700">
        <v>95530</v>
      </c>
      <c r="K1700">
        <v>97938</v>
      </c>
      <c r="L1700">
        <v>95530</v>
      </c>
      <c r="M1700">
        <v>97920</v>
      </c>
      <c r="N1700">
        <v>11163600</v>
      </c>
      <c r="O1700">
        <v>97920</v>
      </c>
      <c r="P1700">
        <v>2.50612398718673E-2</v>
      </c>
      <c r="Q1700">
        <v>2.4752357022093299E-2</v>
      </c>
      <c r="R1700" s="8">
        <v>13.086549758911101</v>
      </c>
      <c r="S1700" s="8">
        <v>2.6845927902388001E-3</v>
      </c>
      <c r="T1700" s="9">
        <v>2.68099570737773E-3</v>
      </c>
      <c r="U1700" s="12">
        <v>7.4689999999999999E-3</v>
      </c>
      <c r="V1700" s="16">
        <v>5.2728000000000002</v>
      </c>
      <c r="W1700" s="17">
        <f t="shared" si="26"/>
        <v>-4.8316472897478313E-3</v>
      </c>
    </row>
    <row r="1701" spans="1:23" x14ac:dyDescent="0.2">
      <c r="A1701" s="15">
        <v>44036</v>
      </c>
      <c r="B1701" s="5">
        <v>173233745935557</v>
      </c>
      <c r="C1701" s="5">
        <f>[1]!nefin_factors__1[[#This Row],[Rm_minus_Rf]]/B1700-1</f>
        <v>-1.8868393774017385</v>
      </c>
      <c r="D1701" s="5">
        <v>-665063309685552</v>
      </c>
      <c r="E1701" s="5">
        <f>[1]!nefin_factors__1[[#This Row],[SMB]]/D1700-1</f>
        <v>4.5413798377511911</v>
      </c>
      <c r="F1701" s="5">
        <v>-50527649434357</v>
      </c>
      <c r="G1701" s="5">
        <f>[1]!nefin_factors__1[[#This Row],[HML]]/F1700-1</f>
        <v>-1.0886900910957054</v>
      </c>
      <c r="H1701" s="5">
        <v>8014093844</v>
      </c>
      <c r="I1701" s="6">
        <f>[1]!nefin_factors__1[[#This Row],[Risk_Free]]/H1700-1</f>
        <v>-1.9038665239525687E-2</v>
      </c>
      <c r="J1701">
        <v>97924</v>
      </c>
      <c r="K1701">
        <v>98642</v>
      </c>
      <c r="L1701">
        <v>97161</v>
      </c>
      <c r="M1701">
        <v>97483</v>
      </c>
      <c r="N1701">
        <v>10810500</v>
      </c>
      <c r="O1701">
        <v>97483</v>
      </c>
      <c r="P1701">
        <v>-4.4628267973856302E-3</v>
      </c>
      <c r="Q1701">
        <v>-4.4728149368665404E-3</v>
      </c>
      <c r="R1701" s="8">
        <v>13.6383934020996</v>
      </c>
      <c r="S1701" s="8">
        <v>4.2168765133277802E-2</v>
      </c>
      <c r="T1701" s="9">
        <v>4.13038929165159E-2</v>
      </c>
      <c r="U1701" s="12">
        <v>7.4689999999999999E-3</v>
      </c>
      <c r="V1701" s="16">
        <v>5.2531999999999996</v>
      </c>
      <c r="W1701" s="17">
        <f t="shared" si="26"/>
        <v>-3.7171901077227565E-3</v>
      </c>
    </row>
    <row r="1702" spans="1:23" x14ac:dyDescent="0.2">
      <c r="A1702" s="14">
        <v>44039</v>
      </c>
      <c r="B1702" s="3">
        <v>203833861943094</v>
      </c>
      <c r="C1702" s="3">
        <f>[1]!nefin_factors__1[[#This Row],[Rm_minus_Rf]]/B1701-1</f>
        <v>0.17664061838690626</v>
      </c>
      <c r="D1702" s="3">
        <v>-964060824536084</v>
      </c>
      <c r="E1702" s="3">
        <f>[1]!nefin_factors__1[[#This Row],[SMB]]/D1701-1</f>
        <v>0.44957752216386848</v>
      </c>
      <c r="F1702" s="3">
        <v>980465181773123</v>
      </c>
      <c r="G1702" s="3">
        <f>[1]!nefin_factors__1[[#This Row],[HML]]/F1701-1</f>
        <v>-20.404527872346296</v>
      </c>
      <c r="H1702" s="3">
        <v>7897399807</v>
      </c>
      <c r="I1702" s="4">
        <f>[1]!nefin_factors__1[[#This Row],[Risk_Free]]/H1701-1</f>
        <v>-1.4561101887690886E-2</v>
      </c>
      <c r="J1702">
        <v>97483</v>
      </c>
      <c r="K1702">
        <v>98998</v>
      </c>
      <c r="L1702">
        <v>97336</v>
      </c>
      <c r="M1702">
        <v>98503</v>
      </c>
      <c r="N1702">
        <v>7867500</v>
      </c>
      <c r="O1702">
        <v>98503</v>
      </c>
      <c r="P1702">
        <v>1.04633628427522E-2</v>
      </c>
      <c r="Q1702">
        <v>1.04090007398852E-2</v>
      </c>
      <c r="R1702" s="8">
        <v>13.655911445617701</v>
      </c>
      <c r="S1702" s="8">
        <v>1.2844653326520301E-3</v>
      </c>
      <c r="T1702" s="9">
        <v>1.28364111276905E-3</v>
      </c>
      <c r="U1702" s="12">
        <v>7.4689999999999999E-3</v>
      </c>
      <c r="V1702" s="16">
        <v>5.2592999999999996</v>
      </c>
      <c r="W1702" s="17">
        <f t="shared" si="26"/>
        <v>1.1611969846949677E-3</v>
      </c>
    </row>
    <row r="1703" spans="1:23" x14ac:dyDescent="0.2">
      <c r="A1703" s="15">
        <v>44040</v>
      </c>
      <c r="B1703" s="5">
        <v>-407685224498463</v>
      </c>
      <c r="C1703" s="5">
        <f>[1]!nefin_factors__1[[#This Row],[Rm_minus_Rf]]/B1702-1</f>
        <v>-3.0000858572374001</v>
      </c>
      <c r="D1703" s="5">
        <v>-52168206825646</v>
      </c>
      <c r="E1703" s="5">
        <f>[1]!nefin_factors__1[[#This Row],[SMB]]/D1702-1</f>
        <v>-0.94588701719027957</v>
      </c>
      <c r="F1703" s="5">
        <v>121393198054203</v>
      </c>
      <c r="G1703" s="5">
        <f>[1]!nefin_factors__1[[#This Row],[HML]]/F1702-1</f>
        <v>-0.87618816016019108</v>
      </c>
      <c r="H1703" s="5">
        <v>7858494198</v>
      </c>
      <c r="I1703" s="6">
        <f>[1]!nefin_factors__1[[#This Row],[Risk_Free]]/H1702-1</f>
        <v>-4.926382094207149E-3</v>
      </c>
      <c r="J1703">
        <v>98502</v>
      </c>
      <c r="K1703">
        <v>99571</v>
      </c>
      <c r="L1703">
        <v>98501</v>
      </c>
      <c r="M1703">
        <v>99334</v>
      </c>
      <c r="N1703">
        <v>8891000</v>
      </c>
      <c r="O1703">
        <v>99334</v>
      </c>
      <c r="P1703">
        <v>8.4362912804685202E-3</v>
      </c>
      <c r="Q1703">
        <v>8.4009046571346807E-3</v>
      </c>
      <c r="R1703" s="8">
        <v>13.507000923156699</v>
      </c>
      <c r="S1703" s="8">
        <v>-1.09044733523609E-2</v>
      </c>
      <c r="T1703" s="9">
        <v>-1.09643628958068E-2</v>
      </c>
      <c r="U1703" s="12">
        <v>7.4689999999999999E-3</v>
      </c>
      <c r="V1703" s="16">
        <v>5.2888999999999999</v>
      </c>
      <c r="W1703" s="17">
        <f t="shared" si="26"/>
        <v>5.62812541592983E-3</v>
      </c>
    </row>
    <row r="1704" spans="1:23" x14ac:dyDescent="0.2">
      <c r="A1704" s="14">
        <v>44041</v>
      </c>
      <c r="B1704" s="3">
        <v>126742911609683</v>
      </c>
      <c r="C1704" s="3">
        <f>[1]!nefin_factors__1[[#This Row],[Rm_minus_Rf]]/B1703-1</f>
        <v>-1.3108842410602517</v>
      </c>
      <c r="D1704" s="3">
        <v>322219968225117</v>
      </c>
      <c r="E1704" s="3">
        <f>[1]!nefin_factors__1[[#This Row],[SMB]]/D1703-1</f>
        <v>-7.1765582493955495</v>
      </c>
      <c r="F1704" s="3">
        <v>263024562289339</v>
      </c>
      <c r="G1704" s="3">
        <f>[1]!nefin_factors__1[[#This Row],[HML]]/F1703-1</f>
        <v>1.1667158169100751</v>
      </c>
      <c r="H1704" s="3">
        <v>7819584791</v>
      </c>
      <c r="I1704" s="4">
        <f>[1]!nefin_factors__1[[#This Row],[Risk_Free]]/H1703-1</f>
        <v>-4.9512547849055455E-3</v>
      </c>
      <c r="J1704">
        <v>99328</v>
      </c>
      <c r="K1704">
        <v>99486</v>
      </c>
      <c r="L1704">
        <v>97778</v>
      </c>
      <c r="M1704">
        <v>99054</v>
      </c>
      <c r="N1704">
        <v>8335200</v>
      </c>
      <c r="O1704">
        <v>99054</v>
      </c>
      <c r="P1704">
        <v>-2.81877302836897E-3</v>
      </c>
      <c r="Q1704">
        <v>-2.82275325038292E-3</v>
      </c>
      <c r="R1704" s="8">
        <v>13.4894828796387</v>
      </c>
      <c r="S1704" s="8">
        <v>-1.2969602665854299E-3</v>
      </c>
      <c r="T1704" s="9">
        <v>-1.29780204746828E-3</v>
      </c>
      <c r="U1704" s="12">
        <v>7.4689999999999999E-3</v>
      </c>
      <c r="V1704" s="16">
        <v>5.444</v>
      </c>
      <c r="W1704" s="17">
        <f t="shared" si="26"/>
        <v>2.9325568643763456E-2</v>
      </c>
    </row>
    <row r="1705" spans="1:23" x14ac:dyDescent="0.2">
      <c r="A1705" s="15">
        <v>44042</v>
      </c>
      <c r="B1705" s="5">
        <v>-391845919195738</v>
      </c>
      <c r="C1705" s="5">
        <f>[1]!nefin_factors__1[[#This Row],[Rm_minus_Rf]]/B1704-1</f>
        <v>-4.0916594405095035</v>
      </c>
      <c r="D1705" s="5">
        <v>120276316054411</v>
      </c>
      <c r="E1705" s="5">
        <f>[1]!nefin_factors__1[[#This Row],[SMB]]/D1704-1</f>
        <v>-0.62672606320170487</v>
      </c>
      <c r="F1705" s="5">
        <v>-108843875370347</v>
      </c>
      <c r="G1705" s="5">
        <f>[1]!nefin_factors__1[[#This Row],[HML]]/F1704-1</f>
        <v>-1.4138163919862883</v>
      </c>
      <c r="H1705" s="5">
        <v>7780671583</v>
      </c>
      <c r="I1705" s="6">
        <f>[1]!nefin_factors__1[[#This Row],[Risk_Free]]/H1704-1</f>
        <v>-4.976377779647212E-3</v>
      </c>
      <c r="J1705">
        <v>99054</v>
      </c>
      <c r="K1705">
        <v>99172</v>
      </c>
      <c r="L1705">
        <v>98309</v>
      </c>
      <c r="M1705">
        <v>98309</v>
      </c>
      <c r="N1705">
        <v>7840200</v>
      </c>
      <c r="O1705">
        <v>98309</v>
      </c>
      <c r="P1705">
        <v>-7.5211500797545102E-3</v>
      </c>
      <c r="Q1705">
        <v>-7.5495765518855803E-3</v>
      </c>
      <c r="R1705" s="8">
        <v>13.235460281372101</v>
      </c>
      <c r="S1705" s="8">
        <v>-1.8831159098769399E-2</v>
      </c>
      <c r="T1705" s="9">
        <v>-1.9010723215746001E-2</v>
      </c>
      <c r="U1705" s="12">
        <v>7.4689999999999999E-3</v>
      </c>
      <c r="V1705" s="16">
        <v>5.4329000000000001</v>
      </c>
      <c r="W1705" s="17">
        <f t="shared" si="26"/>
        <v>-2.0389419544452059E-3</v>
      </c>
    </row>
    <row r="1706" spans="1:23" x14ac:dyDescent="0.2">
      <c r="A1706" s="14">
        <v>44043</v>
      </c>
      <c r="B1706" s="3">
        <v>-177906505947026</v>
      </c>
      <c r="C1706" s="3">
        <f>[1]!nefin_factors__1[[#This Row],[Rm_minus_Rf]]/B1705-1</f>
        <v>-0.54597841337182151</v>
      </c>
      <c r="D1706" s="3">
        <v>-123878199768406</v>
      </c>
      <c r="E1706" s="3">
        <f>[1]!nefin_factors__1[[#This Row],[SMB]]/D1705-1</f>
        <v>-2.029946741238446</v>
      </c>
      <c r="F1706" s="3">
        <v>-908190911916943</v>
      </c>
      <c r="G1706" s="3">
        <f>[1]!nefin_factors__1[[#This Row],[HML]]/F1705-1</f>
        <v>7.3439780954764409</v>
      </c>
      <c r="H1706" s="3">
        <v>7780671583</v>
      </c>
      <c r="I1706" s="4">
        <f>[1]!nefin_factors__1[[#This Row],[Risk_Free]]/H1705-1</f>
        <v>0</v>
      </c>
      <c r="J1706">
        <v>98310</v>
      </c>
      <c r="K1706">
        <v>99917</v>
      </c>
      <c r="L1706">
        <v>98310</v>
      </c>
      <c r="M1706">
        <v>98658</v>
      </c>
      <c r="N1706">
        <v>9929400</v>
      </c>
      <c r="O1706">
        <v>98658</v>
      </c>
      <c r="P1706">
        <v>3.5500310246263699E-3</v>
      </c>
      <c r="Q1706">
        <v>3.54374453824308E-3</v>
      </c>
      <c r="R1706" s="8">
        <v>13.6383934020996</v>
      </c>
      <c r="S1706" s="8">
        <v>3.04434535831473E-2</v>
      </c>
      <c r="T1706" s="9">
        <v>2.9989247046251999E-2</v>
      </c>
      <c r="U1706" s="12">
        <v>7.4689999999999999E-3</v>
      </c>
      <c r="V1706" s="16">
        <v>5.5311000000000003</v>
      </c>
      <c r="W1706" s="17">
        <f t="shared" si="26"/>
        <v>1.8075061201200171E-2</v>
      </c>
    </row>
    <row r="1707" spans="1:23" x14ac:dyDescent="0.2">
      <c r="A1707" s="15">
        <v>44046</v>
      </c>
      <c r="B1707" s="5">
        <v>-249694948752968</v>
      </c>
      <c r="C1707" s="5">
        <f>[1]!nefin_factors__1[[#This Row],[Rm_minus_Rf]]/B1706-1</f>
        <v>0.40351780517412861</v>
      </c>
      <c r="D1707" s="5">
        <v>232524624595511</v>
      </c>
      <c r="E1707" s="5">
        <f>[1]!nefin_factors__1[[#This Row],[SMB]]/D1706-1</f>
        <v>-2.8770423289184275</v>
      </c>
      <c r="F1707" s="5">
        <v>-104869260733274</v>
      </c>
      <c r="G1707" s="5">
        <f>[1]!nefin_factors__1[[#This Row],[HML]]/F1706-1</f>
        <v>-0.88452949775513212</v>
      </c>
      <c r="H1707" s="5">
        <v>7702833764</v>
      </c>
      <c r="I1707" s="6">
        <f>[1]!nefin_factors__1[[#This Row],[Risk_Free]]/H1706-1</f>
        <v>-1.0003997491690564E-2</v>
      </c>
      <c r="J1707">
        <v>98664</v>
      </c>
      <c r="K1707">
        <v>100722</v>
      </c>
      <c r="L1707">
        <v>98664</v>
      </c>
      <c r="M1707">
        <v>100540</v>
      </c>
      <c r="N1707">
        <v>8796000</v>
      </c>
      <c r="O1707">
        <v>100540</v>
      </c>
      <c r="P1707">
        <v>1.9075999918911801E-2</v>
      </c>
      <c r="Q1707">
        <v>1.8896334304285198E-2</v>
      </c>
      <c r="R1707" s="8">
        <v>13.5945949554443</v>
      </c>
      <c r="S1707" s="8">
        <v>-3.2114080716083601E-3</v>
      </c>
      <c r="T1707" s="9">
        <v>-3.2165757090705498E-3</v>
      </c>
      <c r="U1707" s="12">
        <v>7.4689999999999999E-3</v>
      </c>
      <c r="V1707" s="16">
        <v>5.5713999999999997</v>
      </c>
      <c r="W1707" s="17">
        <f t="shared" si="26"/>
        <v>7.2860732946429252E-3</v>
      </c>
    </row>
    <row r="1708" spans="1:23" x14ac:dyDescent="0.2">
      <c r="A1708" s="14">
        <v>44047</v>
      </c>
      <c r="B1708" s="3">
        <v>-15745269498006</v>
      </c>
      <c r="C1708" s="3">
        <f>[1]!nefin_factors__1[[#This Row],[Rm_minus_Rf]]/B1707-1</f>
        <v>-0.93694197829535053</v>
      </c>
      <c r="D1708" s="3">
        <v>-113170729511071</v>
      </c>
      <c r="E1708" s="3">
        <f>[1]!nefin_factors__1[[#This Row],[SMB]]/D1707-1</f>
        <v>-1.4867042779143822</v>
      </c>
      <c r="F1708" s="3">
        <v>-473976636219701</v>
      </c>
      <c r="G1708" s="3">
        <f>[1]!nefin_factors__1[[#This Row],[HML]]/F1707-1</f>
        <v>3.519690831283917</v>
      </c>
      <c r="H1708" s="3">
        <v>7702833764</v>
      </c>
      <c r="I1708" s="4">
        <f>[1]!nefin_factors__1[[#This Row],[Risk_Free]]/H1707-1</f>
        <v>0</v>
      </c>
      <c r="J1708">
        <v>100541</v>
      </c>
      <c r="K1708">
        <v>101586</v>
      </c>
      <c r="L1708">
        <v>100149</v>
      </c>
      <c r="M1708">
        <v>100552</v>
      </c>
      <c r="N1708">
        <v>8661100</v>
      </c>
      <c r="O1708">
        <v>100552</v>
      </c>
      <c r="P1708">
        <v>1.1935548040575801E-4</v>
      </c>
      <c r="Q1708">
        <v>1.19348358107125E-4</v>
      </c>
      <c r="R1708" s="8">
        <v>13.200422286987299</v>
      </c>
      <c r="S1708" s="8">
        <v>-2.8994807844508402E-2</v>
      </c>
      <c r="T1708" s="9">
        <v>-2.9423463480091401E-2</v>
      </c>
      <c r="U1708" s="12">
        <v>7.4689999999999999E-3</v>
      </c>
      <c r="V1708" s="16">
        <v>5.5667</v>
      </c>
      <c r="W1708" s="17">
        <f t="shared" si="26"/>
        <v>-8.4359406971312723E-4</v>
      </c>
    </row>
    <row r="1709" spans="1:23" x14ac:dyDescent="0.2">
      <c r="A1709" s="15">
        <v>44048</v>
      </c>
      <c r="B1709" s="5">
        <v>138933527660801</v>
      </c>
      <c r="C1709" s="5">
        <f>[1]!nefin_factors__1[[#This Row],[Rm_minus_Rf]]/B1708-1</f>
        <v>-9.8238265898462842</v>
      </c>
      <c r="D1709" s="5">
        <v>113590724750683</v>
      </c>
      <c r="E1709" s="5">
        <f>[1]!nefin_factors__1[[#This Row],[SMB]]/D1708-1</f>
        <v>-2.0037111649047992</v>
      </c>
      <c r="F1709" s="5">
        <v>827130346859924</v>
      </c>
      <c r="G1709" s="5">
        <f>[1]!nefin_factors__1[[#This Row],[HML]]/F1708-1</f>
        <v>-2.7450867482770325</v>
      </c>
      <c r="H1709" s="5">
        <v>7780671583</v>
      </c>
      <c r="I1709" s="6">
        <f>[1]!nefin_factors__1[[#This Row],[Risk_Free]]/H1708-1</f>
        <v>1.0105088774443383E-2</v>
      </c>
      <c r="J1709">
        <v>100553</v>
      </c>
      <c r="K1709">
        <v>102020</v>
      </c>
      <c r="L1709">
        <v>100457</v>
      </c>
      <c r="M1709">
        <v>101918</v>
      </c>
      <c r="N1709">
        <v>9556900</v>
      </c>
      <c r="O1709">
        <v>101918</v>
      </c>
      <c r="P1709">
        <v>1.3585010740711201E-2</v>
      </c>
      <c r="Q1709">
        <v>1.34935617748696E-2</v>
      </c>
      <c r="R1709" s="8">
        <v>12.9989557266235</v>
      </c>
      <c r="S1709" s="8">
        <v>-1.52621299518858E-2</v>
      </c>
      <c r="T1709" s="9">
        <v>-1.5379795005296499E-2</v>
      </c>
      <c r="U1709" s="12">
        <v>7.4689999999999999E-3</v>
      </c>
      <c r="V1709" s="16">
        <v>5.5857999999999999</v>
      </c>
      <c r="W1709" s="17">
        <f t="shared" si="26"/>
        <v>3.4311171789389583E-3</v>
      </c>
    </row>
    <row r="1710" spans="1:23" x14ac:dyDescent="0.2">
      <c r="A1710" s="14">
        <v>44049</v>
      </c>
      <c r="B1710" s="3">
        <v>13974907104477</v>
      </c>
      <c r="C1710" s="3">
        <f>[1]!nefin_factors__1[[#This Row],[Rm_minus_Rf]]/B1709-1</f>
        <v>-0.89941299742567526</v>
      </c>
      <c r="D1710" s="3">
        <v>-177289346434527</v>
      </c>
      <c r="E1710" s="3">
        <f>[1]!nefin_factors__1[[#This Row],[SMB]]/D1709-1</f>
        <v>-2.5607730897364576</v>
      </c>
      <c r="F1710" s="3">
        <v>-133434233485009</v>
      </c>
      <c r="G1710" s="3">
        <f>[1]!nefin_factors__1[[#This Row],[HML]]/F1709-1</f>
        <v>-1.1613218932077296</v>
      </c>
      <c r="H1710" s="3">
        <v>7469229029</v>
      </c>
      <c r="I1710" s="4">
        <f>[1]!nefin_factors__1[[#This Row],[Risk_Free]]/H1709-1</f>
        <v>-4.002772134483501E-2</v>
      </c>
      <c r="J1710">
        <v>101918</v>
      </c>
      <c r="K1710">
        <v>102218</v>
      </c>
      <c r="L1710">
        <v>101188</v>
      </c>
      <c r="M1710">
        <v>101260</v>
      </c>
      <c r="N1710">
        <v>7561100</v>
      </c>
      <c r="O1710">
        <v>101260</v>
      </c>
      <c r="P1710">
        <v>-6.45617064699067E-3</v>
      </c>
      <c r="Q1710">
        <v>-6.4771018556429296E-3</v>
      </c>
      <c r="R1710" s="8">
        <v>13.200422286987299</v>
      </c>
      <c r="S1710" s="8">
        <v>1.5498672708849999E-2</v>
      </c>
      <c r="T1710" s="9">
        <v>1.5379795005296499E-2</v>
      </c>
      <c r="U1710" s="12">
        <v>7.4689999999999999E-3</v>
      </c>
      <c r="V1710" s="16">
        <v>5.6528</v>
      </c>
      <c r="W1710" s="17">
        <f t="shared" si="26"/>
        <v>1.1994700848580342E-2</v>
      </c>
    </row>
    <row r="1711" spans="1:23" x14ac:dyDescent="0.2">
      <c r="A1711" s="15">
        <v>44050</v>
      </c>
      <c r="B1711" s="5">
        <v>-112944132864652</v>
      </c>
      <c r="C1711" s="5">
        <f>[1]!nefin_factors__1[[#This Row],[Rm_minus_Rf]]/B1710-1</f>
        <v>-9.0819236951113069</v>
      </c>
      <c r="D1711" s="5">
        <v>326243873461738</v>
      </c>
      <c r="E1711" s="5">
        <f>[1]!nefin_factors__1[[#This Row],[SMB]]/D1710-1</f>
        <v>-2.8401775404040981</v>
      </c>
      <c r="F1711" s="5">
        <v>-963754712611154</v>
      </c>
      <c r="G1711" s="5">
        <f>[1]!nefin_factors__1[[#This Row],[HML]]/F1710-1</f>
        <v>6.2226945622573639</v>
      </c>
      <c r="H1711" s="5">
        <v>7469229029</v>
      </c>
      <c r="I1711" s="6">
        <f>[1]!nefin_factors__1[[#This Row],[Risk_Free]]/H1710-1</f>
        <v>0</v>
      </c>
      <c r="J1711">
        <v>101260</v>
      </c>
      <c r="K1711">
        <v>101784</v>
      </c>
      <c r="L1711">
        <v>99762</v>
      </c>
      <c r="M1711">
        <v>101017</v>
      </c>
      <c r="N1711">
        <v>8070400</v>
      </c>
      <c r="O1711">
        <v>101017</v>
      </c>
      <c r="P1711">
        <v>-2.3997629863716798E-3</v>
      </c>
      <c r="Q1711">
        <v>-2.40264703250907E-3</v>
      </c>
      <c r="R1711" s="8">
        <v>12.639820098876999</v>
      </c>
      <c r="S1711" s="8">
        <v>-4.2468504107098203E-2</v>
      </c>
      <c r="T1711" s="9">
        <v>-4.3396664585401798E-2</v>
      </c>
      <c r="U1711" s="12">
        <v>7.4689999999999999E-3</v>
      </c>
      <c r="V1711" s="16">
        <v>5.6406999999999998</v>
      </c>
      <c r="W1711" s="17">
        <f t="shared" si="26"/>
        <v>-2.1405321256722232E-3</v>
      </c>
    </row>
    <row r="1712" spans="1:23" x14ac:dyDescent="0.2">
      <c r="A1712" s="14">
        <v>44053</v>
      </c>
      <c r="B1712" s="3">
        <v>473696615011043</v>
      </c>
      <c r="C1712" s="3">
        <f>[1]!nefin_factors__1[[#This Row],[Rm_minus_Rf]]/B1711-1</f>
        <v>-5.1940789928300495</v>
      </c>
      <c r="D1712" s="3">
        <v>-118385762860026</v>
      </c>
      <c r="E1712" s="3">
        <f>[1]!nefin_factors__1[[#This Row],[SMB]]/D1711-1</f>
        <v>-1.3628750529591487</v>
      </c>
      <c r="F1712" s="3">
        <v>132823604240126</v>
      </c>
      <c r="G1712" s="3">
        <f>[1]!nefin_factors__1[[#This Row],[HML]]/F1711-1</f>
        <v>-1.1378188894975774</v>
      </c>
      <c r="H1712" s="3">
        <v>7430281587</v>
      </c>
      <c r="I1712" s="4">
        <f>[1]!nefin_factors__1[[#This Row],[Risk_Free]]/H1711-1</f>
        <v>-5.2143858286822775E-3</v>
      </c>
      <c r="J1712">
        <v>101017</v>
      </c>
      <c r="K1712">
        <v>101660</v>
      </c>
      <c r="L1712">
        <v>99414</v>
      </c>
      <c r="M1712">
        <v>99606</v>
      </c>
      <c r="N1712">
        <v>8672300</v>
      </c>
      <c r="O1712">
        <v>99606</v>
      </c>
      <c r="P1712">
        <v>-1.3967945989289E-2</v>
      </c>
      <c r="Q1712">
        <v>-1.4066415769260101E-2</v>
      </c>
      <c r="R1712" s="8">
        <v>12.412075996398899</v>
      </c>
      <c r="S1712" s="8">
        <v>-1.8017986070724398E-2</v>
      </c>
      <c r="T1712" s="9">
        <v>-1.8182286549708399E-2</v>
      </c>
      <c r="U1712" s="12">
        <v>7.4689999999999999E-3</v>
      </c>
      <c r="V1712" s="16">
        <v>5.6440999999999999</v>
      </c>
      <c r="W1712" s="17">
        <f t="shared" si="26"/>
        <v>6.0276206853759895E-4</v>
      </c>
    </row>
    <row r="1713" spans="1:23" x14ac:dyDescent="0.2">
      <c r="A1713" s="15">
        <v>44054</v>
      </c>
      <c r="B1713" s="5">
        <v>-103624991828892</v>
      </c>
      <c r="C1713" s="5">
        <f>[1]!nefin_factors__1[[#This Row],[Rm_minus_Rf]]/B1712-1</f>
        <v>-1.2187581429655694</v>
      </c>
      <c r="D1713" s="5">
        <v>116839886029294</v>
      </c>
      <c r="E1713" s="5">
        <f>[1]!nefin_factors__1[[#This Row],[SMB]]/D1712-1</f>
        <v>-1.986942037679313</v>
      </c>
      <c r="F1713" s="5">
        <v>-102124070873587</v>
      </c>
      <c r="G1713" s="5">
        <f>[1]!nefin_factors__1[[#This Row],[HML]]/F1712-1</f>
        <v>-1.7688698967162595</v>
      </c>
      <c r="H1713" s="5">
        <v>7430281587</v>
      </c>
      <c r="I1713" s="6">
        <f>[1]!nefin_factors__1[[#This Row],[Risk_Free]]/H1712-1</f>
        <v>0</v>
      </c>
      <c r="J1713">
        <v>99598</v>
      </c>
      <c r="K1713">
        <v>99598</v>
      </c>
      <c r="L1713">
        <v>95369</v>
      </c>
      <c r="M1713">
        <v>95369</v>
      </c>
      <c r="N1713">
        <v>11051600</v>
      </c>
      <c r="O1713">
        <v>95369</v>
      </c>
      <c r="P1713">
        <v>-4.25375981366585E-2</v>
      </c>
      <c r="Q1713">
        <v>-4.3468825681759499E-2</v>
      </c>
      <c r="R1713" s="8">
        <v>11.1857585906982</v>
      </c>
      <c r="S1713" s="8">
        <v>-9.8800346215771703E-2</v>
      </c>
      <c r="T1713" s="9">
        <v>-0.10402845459608299</v>
      </c>
      <c r="U1713" s="12">
        <v>7.4689999999999999E-3</v>
      </c>
      <c r="V1713" s="16">
        <v>5.6463999999999999</v>
      </c>
      <c r="W1713" s="17">
        <f t="shared" si="26"/>
        <v>4.0750518240284528E-4</v>
      </c>
    </row>
    <row r="1714" spans="1:23" x14ac:dyDescent="0.2">
      <c r="A1714" s="14">
        <v>44055</v>
      </c>
      <c r="B1714" s="3">
        <v>-227492795436286</v>
      </c>
      <c r="C1714" s="3">
        <f>[1]!nefin_factors__1[[#This Row],[Rm_minus_Rf]]/B1713-1</f>
        <v>1.1953468118185948</v>
      </c>
      <c r="D1714" s="3">
        <v>-182959803278919</v>
      </c>
      <c r="E1714" s="3">
        <f>[1]!nefin_factors__1[[#This Row],[SMB]]/D1713-1</f>
        <v>-2.5659019320940408</v>
      </c>
      <c r="F1714" s="3">
        <v>-398561956826948</v>
      </c>
      <c r="G1714" s="3">
        <f>[1]!nefin_factors__1[[#This Row],[HML]]/F1713-1</f>
        <v>2.9027229664620688</v>
      </c>
      <c r="H1714" s="3">
        <v>7430281587</v>
      </c>
      <c r="I1714" s="4">
        <f>[1]!nefin_factors__1[[#This Row],[Risk_Free]]/H1713-1</f>
        <v>0</v>
      </c>
      <c r="J1714">
        <v>95368</v>
      </c>
      <c r="K1714">
        <v>96688</v>
      </c>
      <c r="L1714">
        <v>93387</v>
      </c>
      <c r="M1714">
        <v>96582</v>
      </c>
      <c r="N1714">
        <v>12704400</v>
      </c>
      <c r="O1714">
        <v>96582</v>
      </c>
      <c r="P1714">
        <v>1.27190177101575E-2</v>
      </c>
      <c r="Q1714">
        <v>1.2638810393913E-2</v>
      </c>
      <c r="R1714" s="8">
        <v>11.1069250106812</v>
      </c>
      <c r="S1714" s="8">
        <v>-7.0476740024271196E-3</v>
      </c>
      <c r="T1714" s="9">
        <v>-7.07262616242258E-3</v>
      </c>
      <c r="U1714" s="12">
        <v>7.4689999999999999E-3</v>
      </c>
      <c r="V1714" s="16">
        <v>5.6299000000000001</v>
      </c>
      <c r="W1714" s="17">
        <f t="shared" si="26"/>
        <v>-2.9222159251912627E-3</v>
      </c>
    </row>
    <row r="1715" spans="1:23" x14ac:dyDescent="0.2">
      <c r="A1715" s="15">
        <v>44056</v>
      </c>
      <c r="B1715" s="5">
        <v>-136769000899174</v>
      </c>
      <c r="C1715" s="5">
        <f>[1]!nefin_factors__1[[#This Row],[Rm_minus_Rf]]/B1714-1</f>
        <v>-0.39879853936966125</v>
      </c>
      <c r="D1715" s="5">
        <v>890299475403697</v>
      </c>
      <c r="E1715" s="5">
        <f>[1]!nefin_factors__1[[#This Row],[SMB]]/D1714-1</f>
        <v>-5.8660933136578155</v>
      </c>
      <c r="F1715" s="5">
        <v>-584999526160953</v>
      </c>
      <c r="G1715" s="5">
        <f>[1]!nefin_factors__1[[#This Row],[HML]]/F1714-1</f>
        <v>0.4677756272030611</v>
      </c>
      <c r="H1715" s="5">
        <v>7469229029</v>
      </c>
      <c r="I1715" s="6">
        <f>[1]!nefin_factors__1[[#This Row],[Risk_Free]]/H1714-1</f>
        <v>5.2417181696238213E-3</v>
      </c>
      <c r="J1715">
        <v>96579</v>
      </c>
      <c r="K1715">
        <v>96579</v>
      </c>
      <c r="L1715">
        <v>93559</v>
      </c>
      <c r="M1715">
        <v>93952</v>
      </c>
      <c r="N1715">
        <v>10643200</v>
      </c>
      <c r="O1715">
        <v>93952</v>
      </c>
      <c r="P1715">
        <v>-2.7230746930069799E-2</v>
      </c>
      <c r="Q1715">
        <v>-2.7608374900151701E-2</v>
      </c>
      <c r="R1715" s="8">
        <v>10.756547927856399</v>
      </c>
      <c r="S1715" s="8">
        <v>-3.1545822312454702E-2</v>
      </c>
      <c r="T1715" s="9">
        <v>-3.2054109915650997E-2</v>
      </c>
      <c r="U1715" s="12">
        <v>7.4689999999999999E-3</v>
      </c>
      <c r="V1715" s="16">
        <v>5.5205000000000002</v>
      </c>
      <c r="W1715" s="17">
        <f t="shared" si="26"/>
        <v>-1.9431961491323091E-2</v>
      </c>
    </row>
    <row r="1716" spans="1:23" x14ac:dyDescent="0.2">
      <c r="A1716" s="14">
        <v>44057</v>
      </c>
      <c r="B1716" s="3">
        <v>78791761695226</v>
      </c>
      <c r="C1716" s="3">
        <f>[1]!nefin_factors__1[[#This Row],[Rm_minus_Rf]]/B1715-1</f>
        <v>-1.576093714052289</v>
      </c>
      <c r="D1716" s="3">
        <v>212486314132504</v>
      </c>
      <c r="E1716" s="3">
        <f>[1]!nefin_factors__1[[#This Row],[SMB]]/D1715-1</f>
        <v>-0.76133164176452617</v>
      </c>
      <c r="F1716" s="3">
        <v>378310706842508</v>
      </c>
      <c r="G1716" s="3">
        <f>[1]!nefin_factors__1[[#This Row],[HML]]/F1715-1</f>
        <v>-1.6466854927646932</v>
      </c>
      <c r="H1716" s="3">
        <v>7469229029</v>
      </c>
      <c r="I1716" s="4">
        <f>[1]!nefin_factors__1[[#This Row],[Risk_Free]]/H1715-1</f>
        <v>0</v>
      </c>
      <c r="J1716">
        <v>93968</v>
      </c>
      <c r="K1716">
        <v>96250</v>
      </c>
      <c r="L1716">
        <v>93968</v>
      </c>
      <c r="M1716">
        <v>95587</v>
      </c>
      <c r="N1716">
        <v>10191800</v>
      </c>
      <c r="O1716">
        <v>95587</v>
      </c>
      <c r="P1716">
        <v>1.7402503405994599E-2</v>
      </c>
      <c r="Q1716">
        <v>1.7252813995199401E-2</v>
      </c>
      <c r="R1716" s="8">
        <v>10.406171798706101</v>
      </c>
      <c r="S1716" s="8">
        <v>-3.25732875919248E-2</v>
      </c>
      <c r="T1716" s="9">
        <v>-3.3115606396352498E-2</v>
      </c>
      <c r="U1716" s="12">
        <v>7.4689999999999999E-3</v>
      </c>
      <c r="V1716" s="16">
        <v>5.6017999999999999</v>
      </c>
      <c r="W1716" s="17">
        <f t="shared" si="26"/>
        <v>1.4726926908794402E-2</v>
      </c>
    </row>
    <row r="1717" spans="1:23" x14ac:dyDescent="0.2">
      <c r="A1717" s="15">
        <v>44060</v>
      </c>
      <c r="B1717" s="5">
        <v>-194872764273107</v>
      </c>
      <c r="C1717" s="5">
        <f>[1]!nefin_factors__1[[#This Row],[Rm_minus_Rf]]/B1716-1</f>
        <v>-3.4732631950392645</v>
      </c>
      <c r="D1717" s="5">
        <v>-103311942327661</v>
      </c>
      <c r="E1717" s="5">
        <f>[1]!nefin_factors__1[[#This Row],[SMB]]/D1716-1</f>
        <v>-1.4862051598449624</v>
      </c>
      <c r="F1717" s="5">
        <v>-17851893195673</v>
      </c>
      <c r="G1717" s="5">
        <f>[1]!nefin_factors__1[[#This Row],[HML]]/F1716-1</f>
        <v>-1.0471884429194991</v>
      </c>
      <c r="H1717" s="5">
        <v>7469229029</v>
      </c>
      <c r="I1717" s="6">
        <f>[1]!nefin_factors__1[[#This Row],[Risk_Free]]/H1716-1</f>
        <v>0</v>
      </c>
      <c r="J1717">
        <v>95992</v>
      </c>
      <c r="K1717">
        <v>98296</v>
      </c>
      <c r="L1717">
        <v>95987</v>
      </c>
      <c r="M1717">
        <v>97811</v>
      </c>
      <c r="N1717">
        <v>10704600</v>
      </c>
      <c r="O1717">
        <v>97811</v>
      </c>
      <c r="P1717">
        <v>2.3266762216619399E-2</v>
      </c>
      <c r="Q1717">
        <v>2.3000217606429101E-2</v>
      </c>
      <c r="R1717" s="8">
        <v>10.7740669250488</v>
      </c>
      <c r="S1717" s="8">
        <v>3.5353551090567099E-2</v>
      </c>
      <c r="T1717" s="9">
        <v>3.4742963643542603E-2</v>
      </c>
      <c r="U1717" s="12">
        <v>7.4689999999999999E-3</v>
      </c>
      <c r="V1717" s="16">
        <v>5.62</v>
      </c>
      <c r="W1717" s="17">
        <f t="shared" si="26"/>
        <v>3.248955692813027E-3</v>
      </c>
    </row>
    <row r="1718" spans="1:23" x14ac:dyDescent="0.2">
      <c r="A1718" s="14">
        <v>44061</v>
      </c>
      <c r="B1718" s="3">
        <v>238590538463095</v>
      </c>
      <c r="C1718" s="3">
        <f>[1]!nefin_factors__1[[#This Row],[Rm_minus_Rf]]/B1717-1</f>
        <v>-2.2243400936660351</v>
      </c>
      <c r="D1718" s="3">
        <v>122877030416841</v>
      </c>
      <c r="E1718" s="3">
        <f>[1]!nefin_factors__1[[#This Row],[SMB]]/D1717-1</f>
        <v>-2.1893787654008863</v>
      </c>
      <c r="F1718" s="3">
        <v>788764341203396</v>
      </c>
      <c r="G1718" s="3">
        <f>[1]!nefin_factors__1[[#This Row],[HML]]/F1717-1</f>
        <v>-45.183792304705207</v>
      </c>
      <c r="H1718" s="3">
        <v>7430281587</v>
      </c>
      <c r="I1718" s="4">
        <f>[1]!nefin_factors__1[[#This Row],[Risk_Free]]/H1717-1</f>
        <v>-5.2143858286822775E-3</v>
      </c>
      <c r="J1718">
        <v>97873</v>
      </c>
      <c r="K1718">
        <v>100922</v>
      </c>
      <c r="L1718">
        <v>97872</v>
      </c>
      <c r="M1718">
        <v>100774</v>
      </c>
      <c r="N1718">
        <v>10455300</v>
      </c>
      <c r="O1718">
        <v>100774</v>
      </c>
      <c r="P1718">
        <v>3.0293116316160801E-2</v>
      </c>
      <c r="Q1718">
        <v>2.9843340704365201E-2</v>
      </c>
      <c r="R1718" s="8">
        <v>11.448540687561</v>
      </c>
      <c r="S1718" s="8">
        <v>6.2601593920315293E-2</v>
      </c>
      <c r="T1718" s="9">
        <v>6.0720235052699197E-2</v>
      </c>
      <c r="U1718" s="12">
        <v>7.4689999999999999E-3</v>
      </c>
      <c r="V1718" s="16">
        <v>5.5392999999999999</v>
      </c>
      <c r="W1718" s="17">
        <f t="shared" si="26"/>
        <v>-1.4359430604982237E-2</v>
      </c>
    </row>
    <row r="1719" spans="1:23" x14ac:dyDescent="0.2">
      <c r="A1719" s="15">
        <v>44062</v>
      </c>
      <c r="B1719" s="5">
        <v>-113666242336998</v>
      </c>
      <c r="C1719" s="5">
        <f>[1]!nefin_factors__1[[#This Row],[Rm_minus_Rf]]/B1718-1</f>
        <v>-1.47640716630756</v>
      </c>
      <c r="D1719" s="5">
        <v>-440677427445872</v>
      </c>
      <c r="E1719" s="5">
        <f>[1]!nefin_factors__1[[#This Row],[SMB]]/D1718-1</f>
        <v>-4.5863287544542963</v>
      </c>
      <c r="F1719" s="5">
        <v>-268699795640833</v>
      </c>
      <c r="G1719" s="5">
        <f>[1]!nefin_factors__1[[#This Row],[HML]]/F1718-1</f>
        <v>-1.3406591571202182</v>
      </c>
      <c r="H1719" s="5">
        <v>7469229029</v>
      </c>
      <c r="I1719" s="6">
        <f>[1]!nefin_factors__1[[#This Row],[Risk_Free]]/H1718-1</f>
        <v>5.2417181696238213E-3</v>
      </c>
      <c r="J1719">
        <v>100751</v>
      </c>
      <c r="K1719">
        <v>100928</v>
      </c>
      <c r="L1719">
        <v>99837</v>
      </c>
      <c r="M1719">
        <v>100799</v>
      </c>
      <c r="N1719">
        <v>8382800</v>
      </c>
      <c r="O1719">
        <v>100799</v>
      </c>
      <c r="P1719">
        <v>2.4807986186914399E-4</v>
      </c>
      <c r="Q1719">
        <v>2.48049095148509E-4</v>
      </c>
      <c r="R1719" s="8">
        <v>11.886511802673301</v>
      </c>
      <c r="S1719" s="8">
        <v>3.8255628124566503E-2</v>
      </c>
      <c r="T1719" s="9">
        <v>3.75420242937749E-2</v>
      </c>
      <c r="U1719" s="12">
        <v>7.4689999999999999E-3</v>
      </c>
      <c r="V1719" s="16">
        <v>5.5858999999999996</v>
      </c>
      <c r="W1719" s="17">
        <f t="shared" si="26"/>
        <v>8.4126153124040037E-3</v>
      </c>
    </row>
    <row r="1720" spans="1:23" x14ac:dyDescent="0.2">
      <c r="A1720" s="14">
        <v>44063</v>
      </c>
      <c r="B1720" s="3">
        <v>496028009260518</v>
      </c>
      <c r="C1720" s="3">
        <f>[1]!nefin_factors__1[[#This Row],[Rm_minus_Rf]]/B1719-1</f>
        <v>-5.3638990703140577</v>
      </c>
      <c r="D1720" s="3">
        <v>185113223062727</v>
      </c>
      <c r="E1720" s="3">
        <f>[1]!nefin_factors__1[[#This Row],[SMB]]/D1719-1</f>
        <v>-1.42006513502547</v>
      </c>
      <c r="F1720" s="3">
        <v>11779578479926</v>
      </c>
      <c r="G1720" s="3">
        <f>[1]!nefin_factors__1[[#This Row],[HML]]/F1719-1</f>
        <v>-1.0438391791546859</v>
      </c>
      <c r="H1720" s="3">
        <v>7508172664</v>
      </c>
      <c r="I1720" s="4">
        <f>[1]!nefin_factors__1[[#This Row],[Risk_Free]]/H1719-1</f>
        <v>5.2138761375233322E-3</v>
      </c>
      <c r="J1720">
        <v>100954</v>
      </c>
      <c r="K1720">
        <v>105147</v>
      </c>
      <c r="L1720">
        <v>100954</v>
      </c>
      <c r="M1720">
        <v>103913</v>
      </c>
      <c r="N1720">
        <v>17410500</v>
      </c>
      <c r="O1720">
        <v>103913</v>
      </c>
      <c r="P1720">
        <v>3.0893163622654998E-2</v>
      </c>
      <c r="Q1720">
        <v>3.04255756331396E-2</v>
      </c>
      <c r="R1720" s="8">
        <v>13.130347251892101</v>
      </c>
      <c r="S1720" s="8">
        <v>0.104642595730987</v>
      </c>
      <c r="T1720" s="9">
        <v>9.95218398734318E-2</v>
      </c>
      <c r="U1720" s="12">
        <v>7.4689999999999999E-3</v>
      </c>
      <c r="V1720" s="16">
        <v>5.5674999999999999</v>
      </c>
      <c r="W1720" s="17">
        <f t="shared" si="26"/>
        <v>-3.29400812760694E-3</v>
      </c>
    </row>
    <row r="1721" spans="1:23" x14ac:dyDescent="0.2">
      <c r="A1721" s="15">
        <v>44064</v>
      </c>
      <c r="B1721" s="5">
        <v>2337409273539</v>
      </c>
      <c r="C1721" s="5">
        <f>[1]!nefin_factors__1[[#This Row],[Rm_minus_Rf]]/B1720-1</f>
        <v>-0.99528774740558779</v>
      </c>
      <c r="D1721" s="5">
        <v>142416247652234</v>
      </c>
      <c r="E1721" s="5">
        <f>[1]!nefin_factors__1[[#This Row],[SMB]]/D1720-1</f>
        <v>-0.23065329804140899</v>
      </c>
      <c r="F1721" s="5">
        <v>7474570196217</v>
      </c>
      <c r="G1721" s="5">
        <f>[1]!nefin_factors__1[[#This Row],[HML]]/F1720-1</f>
        <v>-0.36546369558514491</v>
      </c>
      <c r="H1721" s="5">
        <v>7508172664</v>
      </c>
      <c r="I1721" s="6">
        <f>[1]!nefin_factors__1[[#This Row],[Risk_Free]]/H1720-1</f>
        <v>0</v>
      </c>
      <c r="J1721">
        <v>103516</v>
      </c>
      <c r="K1721">
        <v>105758</v>
      </c>
      <c r="L1721">
        <v>103453</v>
      </c>
      <c r="M1721">
        <v>105351</v>
      </c>
      <c r="N1721">
        <v>16665200</v>
      </c>
      <c r="O1721">
        <v>105351</v>
      </c>
      <c r="P1721">
        <v>1.3838499514016601E-2</v>
      </c>
      <c r="Q1721">
        <v>1.37436217878311E-2</v>
      </c>
      <c r="R1721" s="8">
        <v>12.9201211929321</v>
      </c>
      <c r="S1721" s="8">
        <v>-1.6010700625580701E-2</v>
      </c>
      <c r="T1721" s="9">
        <v>-1.6140256608505401E-2</v>
      </c>
      <c r="U1721" s="12">
        <v>7.4689999999999999E-3</v>
      </c>
      <c r="V1721" s="16">
        <v>5.6172000000000004</v>
      </c>
      <c r="W1721" s="17">
        <f t="shared" si="26"/>
        <v>8.9268073641670664E-3</v>
      </c>
    </row>
    <row r="1722" spans="1:23" x14ac:dyDescent="0.2">
      <c r="A1722" s="14">
        <v>44067</v>
      </c>
      <c r="B1722" s="3">
        <v>64834806522762</v>
      </c>
      <c r="C1722" s="3">
        <f>[1]!nefin_factors__1[[#This Row],[Rm_minus_Rf]]/B1721-1</f>
        <v>26.737892228260737</v>
      </c>
      <c r="D1722" s="3">
        <v>-124196305330559</v>
      </c>
      <c r="E1722" s="3">
        <f>[1]!nefin_factors__1[[#This Row],[SMB]]/D1721-1</f>
        <v>-1.8720655639926265</v>
      </c>
      <c r="F1722" s="3">
        <v>58225220490686</v>
      </c>
      <c r="G1722" s="3">
        <f>[1]!nefin_factors__1[[#This Row],[HML]]/F1721-1</f>
        <v>6.7897750589264279</v>
      </c>
      <c r="H1722" s="3">
        <v>7508172664</v>
      </c>
      <c r="I1722" s="4">
        <f>[1]!nefin_factors__1[[#This Row],[Risk_Free]]/H1721-1</f>
        <v>0</v>
      </c>
      <c r="J1722">
        <v>105067</v>
      </c>
      <c r="K1722">
        <v>105462</v>
      </c>
      <c r="L1722">
        <v>104143</v>
      </c>
      <c r="M1722">
        <v>104532</v>
      </c>
      <c r="N1722">
        <v>10841000</v>
      </c>
      <c r="O1722">
        <v>104532</v>
      </c>
      <c r="P1722">
        <v>-7.7740125864965703E-3</v>
      </c>
      <c r="Q1722">
        <v>-7.8043877493530296E-3</v>
      </c>
      <c r="R1722" s="8">
        <v>12.4996700286865</v>
      </c>
      <c r="S1722" s="8">
        <v>-3.2542354515653502E-2</v>
      </c>
      <c r="T1722" s="9">
        <v>-3.3083632313614303E-2</v>
      </c>
      <c r="U1722" s="12">
        <v>7.4689999999999999E-3</v>
      </c>
      <c r="V1722" s="16">
        <v>5.6226000000000003</v>
      </c>
      <c r="W1722" s="17">
        <f t="shared" si="26"/>
        <v>9.6133304849388423E-4</v>
      </c>
    </row>
    <row r="1723" spans="1:23" x14ac:dyDescent="0.2">
      <c r="A1723" s="15">
        <v>44068</v>
      </c>
      <c r="B1723" s="5">
        <v>-543224404682182</v>
      </c>
      <c r="C1723" s="5">
        <f>[1]!nefin_factors__1[[#This Row],[Rm_minus_Rf]]/B1722-1</f>
        <v>-9.3785922071267152</v>
      </c>
      <c r="D1723" s="5">
        <v>335587548448445</v>
      </c>
      <c r="E1723" s="5">
        <f>[1]!nefin_factors__1[[#This Row],[SMB]]/D1722-1</f>
        <v>-3.7020735242908418</v>
      </c>
      <c r="F1723" s="5">
        <v>-315212443326961</v>
      </c>
      <c r="G1723" s="5">
        <f>[1]!nefin_factors__1[[#This Row],[HML]]/F1722-1</f>
        <v>-6.4136753913604156</v>
      </c>
      <c r="H1723" s="5">
        <v>7508172664</v>
      </c>
      <c r="I1723" s="6">
        <f>[1]!nefin_factors__1[[#This Row],[Risk_Free]]/H1722-1</f>
        <v>0</v>
      </c>
      <c r="J1723">
        <v>104810</v>
      </c>
      <c r="K1723">
        <v>105019</v>
      </c>
      <c r="L1723">
        <v>102034</v>
      </c>
      <c r="M1723">
        <v>102175</v>
      </c>
      <c r="N1723">
        <v>10860300</v>
      </c>
      <c r="O1723">
        <v>102175</v>
      </c>
      <c r="P1723">
        <v>-2.25481192362148E-2</v>
      </c>
      <c r="Q1723">
        <v>-2.28062151744143E-2</v>
      </c>
      <c r="R1723" s="8">
        <v>12.1317749023438</v>
      </c>
      <c r="S1723" s="8">
        <v>-2.94323870548951E-2</v>
      </c>
      <c r="T1723" s="9">
        <v>-2.98742106440874E-2</v>
      </c>
      <c r="U1723" s="12">
        <v>7.4689999999999999E-3</v>
      </c>
      <c r="V1723" s="16">
        <v>5.6022999999999996</v>
      </c>
      <c r="W1723" s="17">
        <f t="shared" si="26"/>
        <v>-3.6104293387402286E-3</v>
      </c>
    </row>
    <row r="1724" spans="1:23" x14ac:dyDescent="0.2">
      <c r="A1724" s="14">
        <v>44069</v>
      </c>
      <c r="B1724" s="3">
        <v>-144327040584229</v>
      </c>
      <c r="C1724" s="3">
        <f>[1]!nefin_factors__1[[#This Row],[Rm_minus_Rf]]/B1723-1</f>
        <v>-0.73431414468819978</v>
      </c>
      <c r="D1724" s="3">
        <v>100514923693918</v>
      </c>
      <c r="E1724" s="3">
        <f>[1]!nefin_factors__1[[#This Row],[SMB]]/D1723-1</f>
        <v>-0.700480771236482</v>
      </c>
      <c r="F1724" s="3">
        <v>-772204523288569</v>
      </c>
      <c r="G1724" s="3">
        <f>[1]!nefin_factors__1[[#This Row],[HML]]/F1723-1</f>
        <v>1.4497907352203825</v>
      </c>
      <c r="H1724" s="3">
        <v>754711249</v>
      </c>
      <c r="I1724" s="4">
        <f>[1]!nefin_factors__1[[#This Row],[Risk_Free]]/H1723-1</f>
        <v>-0.89948136746792318</v>
      </c>
      <c r="J1724">
        <v>102509</v>
      </c>
      <c r="K1724">
        <v>104707</v>
      </c>
      <c r="L1724">
        <v>102509</v>
      </c>
      <c r="M1724">
        <v>104512</v>
      </c>
      <c r="N1724">
        <v>9772100</v>
      </c>
      <c r="O1724">
        <v>104512</v>
      </c>
      <c r="P1724">
        <v>2.2872522632738E-2</v>
      </c>
      <c r="Q1724">
        <v>2.2614867897658899E-2</v>
      </c>
      <c r="R1724" s="8">
        <v>12.666098594665501</v>
      </c>
      <c r="S1724" s="8">
        <v>4.4043323967258199E-2</v>
      </c>
      <c r="T1724" s="9">
        <v>4.3100986652355899E-2</v>
      </c>
      <c r="U1724" s="12">
        <v>7.4689999999999999E-3</v>
      </c>
      <c r="V1724" s="16">
        <v>5.5830000000000002</v>
      </c>
      <c r="W1724" s="17">
        <f t="shared" si="26"/>
        <v>-3.4450136551058552E-3</v>
      </c>
    </row>
    <row r="1725" spans="1:23" x14ac:dyDescent="0.2">
      <c r="A1725" s="15">
        <v>44070</v>
      </c>
      <c r="B1725" s="5">
        <v>345031934940603</v>
      </c>
      <c r="C1725" s="5">
        <f>[1]!nefin_factors__1[[#This Row],[Rm_minus_Rf]]/B1724-1</f>
        <v>-3.3906257174257166</v>
      </c>
      <c r="D1725" s="5">
        <v>-905328903138536</v>
      </c>
      <c r="E1725" s="5">
        <f>[1]!nefin_factors__1[[#This Row],[SMB]]/D1724-1</f>
        <v>-10.00691031607793</v>
      </c>
      <c r="F1725" s="5">
        <v>-164767947916372</v>
      </c>
      <c r="G1725" s="5">
        <f>[1]!nefin_factors__1[[#This Row],[HML]]/F1724-1</f>
        <v>-0.78662654394372278</v>
      </c>
      <c r="H1725" s="5">
        <v>754711249</v>
      </c>
      <c r="I1725" s="6">
        <f>[1]!nefin_factors__1[[#This Row],[Risk_Free]]/H1724-1</f>
        <v>0</v>
      </c>
      <c r="J1725">
        <v>104729</v>
      </c>
      <c r="K1725">
        <v>106518</v>
      </c>
      <c r="L1725">
        <v>104729</v>
      </c>
      <c r="M1725">
        <v>106430</v>
      </c>
      <c r="N1725">
        <v>11724300</v>
      </c>
      <c r="O1725">
        <v>106430</v>
      </c>
      <c r="P1725">
        <v>1.8351959583588599E-2</v>
      </c>
      <c r="Q1725">
        <v>1.8185594704953099E-2</v>
      </c>
      <c r="R1725" s="8">
        <v>12.8412866592407</v>
      </c>
      <c r="S1725" s="8">
        <v>1.38312569782915E-2</v>
      </c>
      <c r="T1725" s="9">
        <v>1.3736478084373499E-2</v>
      </c>
      <c r="U1725" s="12">
        <v>7.4689999999999999E-3</v>
      </c>
      <c r="V1725" s="16">
        <v>5.6006</v>
      </c>
      <c r="W1725" s="17">
        <f t="shared" si="26"/>
        <v>3.1524270105678376E-3</v>
      </c>
    </row>
    <row r="1726" spans="1:23" x14ac:dyDescent="0.2">
      <c r="A1726" s="14">
        <v>44071</v>
      </c>
      <c r="B1726" s="3">
        <v>155359877999304</v>
      </c>
      <c r="C1726" s="3">
        <f>[1]!nefin_factors__1[[#This Row],[Rm_minus_Rf]]/B1725-1</f>
        <v>-0.54972319293850558</v>
      </c>
      <c r="D1726" s="3">
        <v>-706502240151211</v>
      </c>
      <c r="E1726" s="3">
        <f>[1]!nefin_factors__1[[#This Row],[SMB]]/D1725-1</f>
        <v>-0.21961815457127842</v>
      </c>
      <c r="F1726" s="3">
        <v>-662633365544699</v>
      </c>
      <c r="G1726" s="3">
        <f>[1]!nefin_factors__1[[#This Row],[HML]]/F1725-1</f>
        <v>3.0216156960394915</v>
      </c>
      <c r="H1726" s="3">
        <v>7508172664</v>
      </c>
      <c r="I1726" s="4">
        <f>[1]!nefin_factors__1[[#This Row],[Risk_Free]]/H1725-1</f>
        <v>8.9484043386770828</v>
      </c>
      <c r="J1726">
        <v>106430</v>
      </c>
      <c r="K1726">
        <v>107810</v>
      </c>
      <c r="L1726">
        <v>105847</v>
      </c>
      <c r="M1726">
        <v>107229</v>
      </c>
      <c r="N1726">
        <v>10311000</v>
      </c>
      <c r="O1726">
        <v>107229</v>
      </c>
      <c r="P1726">
        <v>7.5072817814525496E-3</v>
      </c>
      <c r="Q1726">
        <v>7.4792423872249297E-3</v>
      </c>
      <c r="R1726" s="8">
        <v>14.023805618286101</v>
      </c>
      <c r="S1726" s="8">
        <v>9.2087264339236294E-2</v>
      </c>
      <c r="T1726" s="9">
        <v>8.80907865284557E-2</v>
      </c>
      <c r="U1726" s="12">
        <v>7.4689999999999999E-3</v>
      </c>
      <c r="V1726" s="16">
        <v>5.5819999999999999</v>
      </c>
      <c r="W1726" s="17">
        <f t="shared" si="26"/>
        <v>-3.3210727422062769E-3</v>
      </c>
    </row>
    <row r="1727" spans="1:23" x14ac:dyDescent="0.2">
      <c r="A1727" s="15">
        <v>44074</v>
      </c>
      <c r="B1727" s="5">
        <v>-262710594151819</v>
      </c>
      <c r="C1727" s="5">
        <f>[1]!nefin_factors__1[[#This Row],[Rm_minus_Rf]]/B1726-1</f>
        <v>-2.6909809503905242</v>
      </c>
      <c r="D1727" s="5">
        <v>101418102291121</v>
      </c>
      <c r="E1727" s="5">
        <f>[1]!nefin_factors__1[[#This Row],[SMB]]/D1726-1</f>
        <v>-1.1435495834654603</v>
      </c>
      <c r="F1727" s="5">
        <v>-219643674392113</v>
      </c>
      <c r="G1727" s="5">
        <f>[1]!nefin_factors__1[[#This Row],[HML]]/F1726-1</f>
        <v>-0.66852910551589695</v>
      </c>
      <c r="H1727" s="5">
        <v>7508172664</v>
      </c>
      <c r="I1727" s="6">
        <f>[1]!nefin_factors__1[[#This Row],[Risk_Free]]/H1726-1</f>
        <v>0</v>
      </c>
      <c r="J1727">
        <v>107246</v>
      </c>
      <c r="K1727">
        <v>107467</v>
      </c>
      <c r="L1727">
        <v>106217</v>
      </c>
      <c r="M1727">
        <v>106483</v>
      </c>
      <c r="N1727">
        <v>10337300</v>
      </c>
      <c r="O1727">
        <v>106483</v>
      </c>
      <c r="P1727">
        <v>-6.9570731798300799E-3</v>
      </c>
      <c r="Q1727">
        <v>-6.9813864451761798E-3</v>
      </c>
      <c r="R1727" s="8">
        <v>13.8836555480957</v>
      </c>
      <c r="S1727" s="8">
        <v>-9.9937259546497605E-3</v>
      </c>
      <c r="T1727" s="9">
        <v>-1.00439984540371E-2</v>
      </c>
      <c r="U1727" s="12">
        <v>7.4689999999999999E-3</v>
      </c>
      <c r="V1727" s="16">
        <v>5.6120000000000001</v>
      </c>
      <c r="W1727" s="17">
        <f t="shared" si="26"/>
        <v>5.3744177714081243E-3</v>
      </c>
    </row>
    <row r="1728" spans="1:23" x14ac:dyDescent="0.2">
      <c r="A1728" s="14">
        <v>44075</v>
      </c>
      <c r="B1728" s="3">
        <v>269993903503245</v>
      </c>
      <c r="C1728" s="3">
        <f>[1]!nefin_factors__1[[#This Row],[Rm_minus_Rf]]/B1727-1</f>
        <v>-2.0277236986766396</v>
      </c>
      <c r="D1728" s="3">
        <v>-551128708618141</v>
      </c>
      <c r="E1728" s="3">
        <f>[1]!nefin_factors__1[[#This Row],[SMB]]/D1727-1</f>
        <v>-6.434224227900895</v>
      </c>
      <c r="F1728" s="3">
        <v>62759041095273</v>
      </c>
      <c r="G1728" s="3">
        <f>[1]!nefin_factors__1[[#This Row],[HML]]/F1727-1</f>
        <v>-1.2857311564695193</v>
      </c>
      <c r="H1728" s="3">
        <v>754711249</v>
      </c>
      <c r="I1728" s="4">
        <f>[1]!nefin_factors__1[[#This Row],[Risk_Free]]/H1727-1</f>
        <v>-0.89948136746792318</v>
      </c>
      <c r="J1728">
        <v>106117</v>
      </c>
      <c r="K1728">
        <v>106973</v>
      </c>
      <c r="L1728">
        <v>105545</v>
      </c>
      <c r="M1728">
        <v>106517</v>
      </c>
      <c r="N1728">
        <v>8555700</v>
      </c>
      <c r="O1728">
        <v>106517</v>
      </c>
      <c r="P1728">
        <v>3.1929979433331602E-4</v>
      </c>
      <c r="Q1728">
        <v>3.1924882900250998E-4</v>
      </c>
      <c r="R1728" s="8">
        <v>14.3654232025146</v>
      </c>
      <c r="S1728" s="8">
        <v>3.4700346227260398E-2</v>
      </c>
      <c r="T1728" s="9">
        <v>3.4111864244794197E-2</v>
      </c>
      <c r="U1728" s="12">
        <v>7.4689999999999999E-3</v>
      </c>
      <c r="V1728" s="16">
        <v>5.6327999999999996</v>
      </c>
      <c r="W1728" s="17">
        <f t="shared" si="26"/>
        <v>3.7063435495365837E-3</v>
      </c>
    </row>
    <row r="1729" spans="1:23" x14ac:dyDescent="0.2">
      <c r="A1729" s="15">
        <v>44076</v>
      </c>
      <c r="B1729" s="5">
        <v>-109914485055956</v>
      </c>
      <c r="C1729" s="5">
        <f>[1]!nefin_factors__1[[#This Row],[Rm_minus_Rf]]/B1728-1</f>
        <v>-1.4070998775519943</v>
      </c>
      <c r="D1729" s="5">
        <v>171867886473711</v>
      </c>
      <c r="E1729" s="5">
        <f>[1]!nefin_factors__1[[#This Row],[SMB]]/D1728-1</f>
        <v>-1.3118470944920284</v>
      </c>
      <c r="F1729" s="5">
        <v>-946022905802802</v>
      </c>
      <c r="G1729" s="5">
        <f>[1]!nefin_factors__1[[#This Row],[HML]]/F1728-1</f>
        <v>-16.073890379661272</v>
      </c>
      <c r="H1729" s="5">
        <v>7508172664</v>
      </c>
      <c r="I1729" s="6">
        <f>[1]!nefin_factors__1[[#This Row],[Risk_Free]]/H1728-1</f>
        <v>8.9484043386770828</v>
      </c>
      <c r="J1729">
        <v>106050</v>
      </c>
      <c r="K1729">
        <v>107495</v>
      </c>
      <c r="L1729">
        <v>106050</v>
      </c>
      <c r="M1729">
        <v>107379</v>
      </c>
      <c r="N1729">
        <v>9686000</v>
      </c>
      <c r="O1729">
        <v>107379</v>
      </c>
      <c r="P1729">
        <v>8.0926049363012603E-3</v>
      </c>
      <c r="Q1729">
        <v>8.0600354058783796E-3</v>
      </c>
      <c r="R1729" s="8">
        <v>14.3041067123413</v>
      </c>
      <c r="S1729" s="8">
        <v>-4.2683385869625202E-3</v>
      </c>
      <c r="T1729" s="9">
        <v>-4.2774739485874798E-3</v>
      </c>
      <c r="U1729" s="12">
        <v>7.4689999999999999E-3</v>
      </c>
      <c r="V1729" s="16">
        <v>5.6490999999999998</v>
      </c>
      <c r="W1729" s="17">
        <f t="shared" si="26"/>
        <v>2.8937650901861289E-3</v>
      </c>
    </row>
    <row r="1730" spans="1:23" x14ac:dyDescent="0.2">
      <c r="A1730" s="14">
        <v>44077</v>
      </c>
      <c r="B1730" s="3">
        <v>-118141664267069</v>
      </c>
      <c r="C1730" s="3">
        <f>[1]!nefin_factors__1[[#This Row],[Rm_minus_Rf]]/B1729-1</f>
        <v>7.4850727881085488E-2</v>
      </c>
      <c r="D1730" s="3">
        <v>-107007551002008</v>
      </c>
      <c r="E1730" s="3">
        <f>[1]!nefin_factors__1[[#This Row],[SMB]]/D1729-1</f>
        <v>-1.6226151563129623</v>
      </c>
      <c r="F1730" s="3">
        <v>-30310358978063</v>
      </c>
      <c r="G1730" s="3">
        <f>[1]!nefin_factors__1[[#This Row],[HML]]/F1729-1</f>
        <v>-0.9679602271867388</v>
      </c>
      <c r="H1730" s="3">
        <v>7508172664</v>
      </c>
      <c r="I1730" s="4">
        <f>[1]!nefin_factors__1[[#This Row],[Risk_Free]]/H1729-1</f>
        <v>0</v>
      </c>
      <c r="J1730">
        <v>107378</v>
      </c>
      <c r="K1730">
        <v>109956</v>
      </c>
      <c r="L1730">
        <v>107361</v>
      </c>
      <c r="M1730">
        <v>109786</v>
      </c>
      <c r="N1730">
        <v>11934800</v>
      </c>
      <c r="O1730">
        <v>109786</v>
      </c>
      <c r="P1730">
        <v>2.24159286266403E-2</v>
      </c>
      <c r="Q1730">
        <v>2.2168384162416999E-2</v>
      </c>
      <c r="R1730" s="8">
        <v>14.3216257095337</v>
      </c>
      <c r="S1730" s="8">
        <v>1.2247529709259501E-3</v>
      </c>
      <c r="T1730" s="9">
        <v>1.2240035728286699E-3</v>
      </c>
      <c r="U1730" s="12">
        <v>7.4689999999999999E-3</v>
      </c>
      <c r="V1730" s="16">
        <v>5.7324999999999999</v>
      </c>
      <c r="W1730" s="17">
        <f t="shared" si="26"/>
        <v>1.4763413641111001E-2</v>
      </c>
    </row>
    <row r="1731" spans="1:23" x14ac:dyDescent="0.2">
      <c r="A1731" s="15">
        <v>44078</v>
      </c>
      <c r="B1731" s="5">
        <v>386576926518903</v>
      </c>
      <c r="C1731" s="5">
        <f>[1]!nefin_factors__1[[#This Row],[Rm_minus_Rf]]/B1730-1</f>
        <v>-4.2721472895879806</v>
      </c>
      <c r="D1731" s="5">
        <v>911293301054685</v>
      </c>
      <c r="E1731" s="5">
        <f>[1]!nefin_factors__1[[#This Row],[SMB]]/D1730-1</f>
        <v>-9.5161588366561585</v>
      </c>
      <c r="F1731" s="5">
        <v>938042354772186</v>
      </c>
      <c r="G1731" s="5">
        <f>[1]!nefin_factors__1[[#This Row],[HML]]/F1730-1</f>
        <v>-31.947913069953753</v>
      </c>
      <c r="H1731" s="5">
        <v>7508172664</v>
      </c>
      <c r="I1731" s="6">
        <f>[1]!nefin_factors__1[[#This Row],[Risk_Free]]/H1730-1</f>
        <v>0</v>
      </c>
      <c r="J1731">
        <v>109786</v>
      </c>
      <c r="K1731">
        <v>110596</v>
      </c>
      <c r="L1731">
        <v>109315</v>
      </c>
      <c r="M1731">
        <v>110133</v>
      </c>
      <c r="N1731">
        <v>8564700</v>
      </c>
      <c r="O1731">
        <v>110133</v>
      </c>
      <c r="P1731">
        <v>3.1606944419142499E-3</v>
      </c>
      <c r="Q1731">
        <v>3.1557099474508999E-3</v>
      </c>
      <c r="R1731" s="8">
        <v>15.723131179809601</v>
      </c>
      <c r="S1731" s="8">
        <v>9.7859384032283198E-2</v>
      </c>
      <c r="T1731" s="9">
        <v>9.3362269341878204E-2</v>
      </c>
      <c r="U1731" s="12">
        <v>7.4689999999999999E-3</v>
      </c>
      <c r="V1731" s="16">
        <v>5.7803000000000004</v>
      </c>
      <c r="W1731" s="17">
        <f t="shared" si="26"/>
        <v>8.338421282163111E-3</v>
      </c>
    </row>
    <row r="1732" spans="1:23" x14ac:dyDescent="0.2">
      <c r="A1732" s="14">
        <v>44082</v>
      </c>
      <c r="B1732" s="3">
        <v>-100261658170518</v>
      </c>
      <c r="C1732" s="3">
        <f>[1]!nefin_factors__1[[#This Row],[Rm_minus_Rf]]/B1731-1</f>
        <v>-1.2593575852376055</v>
      </c>
      <c r="D1732" s="3">
        <v>161003845646732</v>
      </c>
      <c r="E1732" s="3">
        <f>[1]!nefin_factors__1[[#This Row],[SMB]]/D1731-1</f>
        <v>-0.82332379107758802</v>
      </c>
      <c r="F1732" s="3">
        <v>-5007482425.65903</v>
      </c>
      <c r="G1732" s="3">
        <f>[1]!nefin_factors__1[[#This Row],[HML]]/F1731-1</f>
        <v>-1.0000053382263607</v>
      </c>
      <c r="H1732" s="3">
        <v>7508172664</v>
      </c>
      <c r="I1732" s="4">
        <f>[1]!nefin_factors__1[[#This Row],[Risk_Free]]/H1731-1</f>
        <v>0</v>
      </c>
      <c r="J1732">
        <v>110133</v>
      </c>
      <c r="K1732">
        <v>110245</v>
      </c>
      <c r="L1732">
        <v>109418</v>
      </c>
      <c r="M1732">
        <v>110227</v>
      </c>
      <c r="N1732">
        <v>6166800</v>
      </c>
      <c r="O1732">
        <v>110227</v>
      </c>
      <c r="P1732">
        <v>8.5351347915696397E-4</v>
      </c>
      <c r="Q1732">
        <v>8.5314944365216003E-4</v>
      </c>
      <c r="R1732" s="8">
        <v>15.994671821594199</v>
      </c>
      <c r="S1732" s="8">
        <v>1.7270137778495401E-2</v>
      </c>
      <c r="T1732" s="9">
        <v>1.71227039961689E-2</v>
      </c>
      <c r="U1732" s="12">
        <v>7.4689999999999999E-3</v>
      </c>
      <c r="V1732" s="16">
        <v>5.7717999999999998</v>
      </c>
      <c r="W1732" s="17">
        <f t="shared" ref="W1732:W1795" si="27">V1732/V1731-1</f>
        <v>-1.4705119111465548E-3</v>
      </c>
    </row>
    <row r="1733" spans="1:23" x14ac:dyDescent="0.2">
      <c r="A1733" s="15">
        <v>44083</v>
      </c>
      <c r="B1733" s="5">
        <v>116304207544778</v>
      </c>
      <c r="C1733" s="5">
        <f>[1]!nefin_factors__1[[#This Row],[Rm_minus_Rf]]/B1732-1</f>
        <v>-2.1600068228173122</v>
      </c>
      <c r="D1733" s="5">
        <v>-211873702691643</v>
      </c>
      <c r="E1733" s="5">
        <f>[1]!nefin_factors__1[[#This Row],[SMB]]/D1732-1</f>
        <v>-2.3159542981136463</v>
      </c>
      <c r="F1733" s="5">
        <v>-394652022375106</v>
      </c>
      <c r="G1733" s="5">
        <f>[1]!nefin_factors__1[[#This Row],[HML]]/F1732-1</f>
        <v>78811.4627962456</v>
      </c>
      <c r="H1733" s="5">
        <v>7508172664</v>
      </c>
      <c r="I1733" s="6">
        <f>[1]!nefin_factors__1[[#This Row],[Risk_Free]]/H1732-1</f>
        <v>0</v>
      </c>
      <c r="J1733">
        <v>110229</v>
      </c>
      <c r="K1733">
        <v>111603</v>
      </c>
      <c r="L1733">
        <v>110161</v>
      </c>
      <c r="M1733">
        <v>110575</v>
      </c>
      <c r="N1733">
        <v>8790300</v>
      </c>
      <c r="O1733">
        <v>110575</v>
      </c>
      <c r="P1733">
        <v>3.1571212134957598E-3</v>
      </c>
      <c r="Q1733">
        <v>3.15214797098774E-3</v>
      </c>
      <c r="R1733" s="8">
        <v>15.723131179809601</v>
      </c>
      <c r="S1733" s="8">
        <v>-1.69769436230672E-2</v>
      </c>
      <c r="T1733" s="9">
        <v>-1.71227039961688E-2</v>
      </c>
      <c r="U1733" s="12">
        <v>7.4689999999999999E-3</v>
      </c>
      <c r="V1733" s="16">
        <v>5.6894999999999998</v>
      </c>
      <c r="W1733" s="17">
        <f t="shared" si="27"/>
        <v>-1.425898333275577E-2</v>
      </c>
    </row>
    <row r="1734" spans="1:23" x14ac:dyDescent="0.2">
      <c r="A1734" s="14">
        <v>44084</v>
      </c>
      <c r="B1734" s="3">
        <v>-238661432847741</v>
      </c>
      <c r="C1734" s="3">
        <f>[1]!nefin_factors__1[[#This Row],[Rm_minus_Rf]]/B1733-1</f>
        <v>-3.0520447014425902</v>
      </c>
      <c r="D1734" s="3">
        <v>660714460813008</v>
      </c>
      <c r="E1734" s="3">
        <f>[1]!nefin_factors__1[[#This Row],[SMB]]/D1733-1</f>
        <v>-4.1184354283674338</v>
      </c>
      <c r="F1734" s="3">
        <v>-322405456836629</v>
      </c>
      <c r="G1734" s="3">
        <f>[1]!nefin_factors__1[[#This Row],[HML]]/F1733-1</f>
        <v>-0.18306396886979237</v>
      </c>
      <c r="H1734" s="3">
        <v>7508172664</v>
      </c>
      <c r="I1734" s="4">
        <f>[1]!nefin_factors__1[[#This Row],[Risk_Free]]/H1733-1</f>
        <v>0</v>
      </c>
      <c r="J1734">
        <v>110598</v>
      </c>
      <c r="K1734">
        <v>110934</v>
      </c>
      <c r="L1734">
        <v>108829</v>
      </c>
      <c r="M1734">
        <v>108888</v>
      </c>
      <c r="N1734">
        <v>19300000</v>
      </c>
      <c r="O1734">
        <v>108888</v>
      </c>
      <c r="P1734">
        <v>-1.5256613158489699E-2</v>
      </c>
      <c r="Q1734">
        <v>-1.5374192724617999E-2</v>
      </c>
      <c r="R1734" s="8">
        <v>15.96839427948</v>
      </c>
      <c r="S1734" s="8">
        <v>1.55988712976813E-2</v>
      </c>
      <c r="T1734" s="9">
        <v>1.5478459482744501E-2</v>
      </c>
      <c r="U1734" s="12">
        <v>7.4689999999999999E-3</v>
      </c>
      <c r="V1734" s="16">
        <v>5.6932</v>
      </c>
      <c r="W1734" s="17">
        <f t="shared" si="27"/>
        <v>6.5032076632398628E-4</v>
      </c>
    </row>
    <row r="1735" spans="1:23" x14ac:dyDescent="0.2">
      <c r="A1735" s="15">
        <v>44085</v>
      </c>
      <c r="B1735" s="5">
        <v>-826263344612393</v>
      </c>
      <c r="C1735" s="5">
        <f>[1]!nefin_factors__1[[#This Row],[Rm_minus_Rf]]/B1734-1</f>
        <v>2.4620731751808629</v>
      </c>
      <c r="D1735" s="5">
        <v>-105503194495213</v>
      </c>
      <c r="E1735" s="5">
        <f>[1]!nefin_factors__1[[#This Row],[SMB]]/D1734-1</f>
        <v>-1.1596804682697446</v>
      </c>
      <c r="F1735" s="5">
        <v>469852450075079</v>
      </c>
      <c r="G1735" s="5">
        <f>[1]!nefin_factors__1[[#This Row],[HML]]/F1734-1</f>
        <v>-2.4573340497557554</v>
      </c>
      <c r="H1735" s="5">
        <v>754711249</v>
      </c>
      <c r="I1735" s="6">
        <f>[1]!nefin_factors__1[[#This Row],[Risk_Free]]/H1734-1</f>
        <v>-0.89948136746792318</v>
      </c>
      <c r="J1735">
        <v>108897</v>
      </c>
      <c r="K1735">
        <v>111840</v>
      </c>
      <c r="L1735">
        <v>108897</v>
      </c>
      <c r="M1735">
        <v>111335</v>
      </c>
      <c r="N1735">
        <v>11324800</v>
      </c>
      <c r="O1735">
        <v>111335</v>
      </c>
      <c r="P1735">
        <v>2.24726324296525E-2</v>
      </c>
      <c r="Q1735">
        <v>2.2223843226648301E-2</v>
      </c>
      <c r="R1735" s="8">
        <v>16.2924919128418</v>
      </c>
      <c r="S1735" s="8">
        <v>2.0296194325455399E-2</v>
      </c>
      <c r="T1735" s="9">
        <v>2.0092971735737E-2</v>
      </c>
      <c r="U1735" s="12">
        <v>7.4689999999999999E-3</v>
      </c>
      <c r="V1735" s="16">
        <v>5.5624000000000002</v>
      </c>
      <c r="W1735" s="17">
        <f t="shared" si="27"/>
        <v>-2.2974776926860119E-2</v>
      </c>
    </row>
    <row r="1736" spans="1:23" x14ac:dyDescent="0.2">
      <c r="A1736" s="14">
        <v>44088</v>
      </c>
      <c r="B1736" s="3">
        <v>199378175607198</v>
      </c>
      <c r="C1736" s="3">
        <f>[1]!nefin_factors__1[[#This Row],[Rm_minus_Rf]]/B1735-1</f>
        <v>-1.2413010051906974</v>
      </c>
      <c r="D1736" s="3">
        <v>127307800164167</v>
      </c>
      <c r="E1736" s="3">
        <f>[1]!nefin_factors__1[[#This Row],[SMB]]/D1735-1</f>
        <v>-2.2066724687653259</v>
      </c>
      <c r="F1736" s="3">
        <v>81699360494434</v>
      </c>
      <c r="G1736" s="3">
        <f>[1]!nefin_factors__1[[#This Row],[HML]]/F1735-1</f>
        <v>-0.82611698527616695</v>
      </c>
      <c r="H1736" s="3">
        <v>7508172664</v>
      </c>
      <c r="I1736" s="4">
        <f>[1]!nefin_factors__1[[#This Row],[Risk_Free]]/H1735-1</f>
        <v>8.9484043386770828</v>
      </c>
      <c r="J1736">
        <v>111402</v>
      </c>
      <c r="K1736">
        <v>112315</v>
      </c>
      <c r="L1736">
        <v>110579</v>
      </c>
      <c r="M1736">
        <v>111814</v>
      </c>
      <c r="N1736">
        <v>9814300</v>
      </c>
      <c r="O1736">
        <v>111814</v>
      </c>
      <c r="P1736">
        <v>4.3023308034311203E-3</v>
      </c>
      <c r="Q1736">
        <v>4.2931022383515703E-3</v>
      </c>
      <c r="R1736" s="8">
        <v>16.940687179565401</v>
      </c>
      <c r="S1736" s="8">
        <v>3.9784906458214801E-2</v>
      </c>
      <c r="T1736" s="9">
        <v>3.9013871049673202E-2</v>
      </c>
      <c r="U1736" s="12">
        <v>7.4689999999999999E-3</v>
      </c>
      <c r="V1736" s="16">
        <v>5.5312999999999999</v>
      </c>
      <c r="W1736" s="17">
        <f t="shared" si="27"/>
        <v>-5.591111750323674E-3</v>
      </c>
    </row>
    <row r="1737" spans="1:23" x14ac:dyDescent="0.2">
      <c r="A1737" s="15">
        <v>44089</v>
      </c>
      <c r="B1737" s="5">
        <v>115942942189293</v>
      </c>
      <c r="C1737" s="5">
        <f>[1]!nefin_factors__1[[#This Row],[Rm_minus_Rf]]/B1736-1</f>
        <v>-0.41847726394228679</v>
      </c>
      <c r="D1737" s="5">
        <v>-157789884168486</v>
      </c>
      <c r="E1737" s="5">
        <f>[1]!nefin_factors__1[[#This Row],[SMB]]/D1736-1</f>
        <v>-2.2394361065465862</v>
      </c>
      <c r="F1737" s="5">
        <v>892125638886112</v>
      </c>
      <c r="G1737" s="5">
        <f>[1]!nefin_factors__1[[#This Row],[HML]]/F1736-1</f>
        <v>9.9196159368577987</v>
      </c>
      <c r="H1737" s="5">
        <v>7508172664</v>
      </c>
      <c r="I1737" s="6">
        <f>[1]!nefin_factors__1[[#This Row],[Risk_Free]]/H1736-1</f>
        <v>0</v>
      </c>
      <c r="J1737">
        <v>111874</v>
      </c>
      <c r="K1737">
        <v>113377</v>
      </c>
      <c r="L1737">
        <v>111874</v>
      </c>
      <c r="M1737">
        <v>112919</v>
      </c>
      <c r="N1737">
        <v>11474200</v>
      </c>
      <c r="O1737">
        <v>112919</v>
      </c>
      <c r="P1737">
        <v>9.8824834099486801E-3</v>
      </c>
      <c r="Q1737">
        <v>9.8339710241690005E-3</v>
      </c>
      <c r="R1737" s="8">
        <v>18.219560623168899</v>
      </c>
      <c r="S1737" s="8">
        <v>7.5491237754873805E-2</v>
      </c>
      <c r="T1737" s="9">
        <v>7.2777522556126503E-2</v>
      </c>
      <c r="U1737" s="12">
        <v>7.4689999999999999E-3</v>
      </c>
      <c r="V1737" s="16">
        <v>5.2820999999999998</v>
      </c>
      <c r="W1737" s="17">
        <f t="shared" si="27"/>
        <v>-4.505270008858675E-2</v>
      </c>
    </row>
    <row r="1738" spans="1:23" x14ac:dyDescent="0.2">
      <c r="A1738" s="14">
        <v>44090</v>
      </c>
      <c r="B1738" s="3">
        <v>-716951567162601</v>
      </c>
      <c r="C1738" s="3">
        <f>[1]!nefin_factors__1[[#This Row],[Rm_minus_Rf]]/B1737-1</f>
        <v>-7.1836585619164097</v>
      </c>
      <c r="D1738" s="3">
        <v>387240832498321</v>
      </c>
      <c r="E1738" s="3">
        <f>[1]!nefin_factors__1[[#This Row],[SMB]]/D1737-1</f>
        <v>-3.4541549956702564</v>
      </c>
      <c r="F1738" s="3">
        <v>973389008523446</v>
      </c>
      <c r="G1738" s="3">
        <f>[1]!nefin_factors__1[[#This Row],[HML]]/F1737-1</f>
        <v>9.1089602288302762E-2</v>
      </c>
      <c r="H1738" s="3">
        <v>7508172664</v>
      </c>
      <c r="I1738" s="4">
        <f>[1]!nefin_factors__1[[#This Row],[Risk_Free]]/H1737-1</f>
        <v>0</v>
      </c>
      <c r="J1738">
        <v>112294</v>
      </c>
      <c r="K1738">
        <v>113864</v>
      </c>
      <c r="L1738">
        <v>112294</v>
      </c>
      <c r="M1738">
        <v>113682</v>
      </c>
      <c r="N1738">
        <v>8892900</v>
      </c>
      <c r="O1738">
        <v>113682</v>
      </c>
      <c r="P1738">
        <v>6.7570559427554402E-3</v>
      </c>
      <c r="Q1738">
        <v>6.7343293593388797E-3</v>
      </c>
      <c r="R1738" s="8">
        <v>17.991817474365199</v>
      </c>
      <c r="S1738" s="8">
        <v>-1.24999254106106E-2</v>
      </c>
      <c r="T1738" s="9">
        <v>-1.25787066733041E-2</v>
      </c>
      <c r="U1738" s="12">
        <v>7.4689999999999999E-3</v>
      </c>
      <c r="V1738" s="16">
        <v>5.3696000000000002</v>
      </c>
      <c r="W1738" s="17">
        <f t="shared" si="27"/>
        <v>1.6565381193086148E-2</v>
      </c>
    </row>
    <row r="1739" spans="1:23" x14ac:dyDescent="0.2">
      <c r="A1739" s="15">
        <v>44091</v>
      </c>
      <c r="B1739" s="5">
        <v>461051109402377</v>
      </c>
      <c r="C1739" s="5">
        <f>[1]!nefin_factors__1[[#This Row],[Rm_minus_Rf]]/B1738-1</f>
        <v>-1.6430714856054047</v>
      </c>
      <c r="D1739" s="5">
        <v>-135266097281808</v>
      </c>
      <c r="E1739" s="5">
        <f>[1]!nefin_factors__1[[#This Row],[SMB]]/D1738-1</f>
        <v>-1.3493074230037312</v>
      </c>
      <c r="F1739" s="5">
        <v>280562862052091</v>
      </c>
      <c r="G1739" s="5">
        <f>[1]!nefin_factors__1[[#This Row],[HML]]/F1738-1</f>
        <v>-0.71176697127730804</v>
      </c>
      <c r="H1739" s="5">
        <v>754711249</v>
      </c>
      <c r="I1739" s="6">
        <f>[1]!nefin_factors__1[[#This Row],[Risk_Free]]/H1738-1</f>
        <v>-0.89948136746792318</v>
      </c>
      <c r="J1739">
        <v>113751</v>
      </c>
      <c r="K1739">
        <v>114531</v>
      </c>
      <c r="L1739">
        <v>112629</v>
      </c>
      <c r="M1739">
        <v>113625</v>
      </c>
      <c r="N1739">
        <v>9633900</v>
      </c>
      <c r="O1739">
        <v>113625</v>
      </c>
      <c r="P1739">
        <v>-5.0139863830689401E-4</v>
      </c>
      <c r="Q1739">
        <v>-5.0152438063725397E-4</v>
      </c>
      <c r="R1739" s="8">
        <v>18.079410552978501</v>
      </c>
      <c r="S1739" s="8">
        <v>4.86849528893263E-3</v>
      </c>
      <c r="T1739" s="9">
        <v>4.8566824905974196E-3</v>
      </c>
      <c r="U1739" s="12">
        <v>7.4689999999999999E-3</v>
      </c>
      <c r="V1739" s="16">
        <v>5.4020000000000001</v>
      </c>
      <c r="W1739" s="17">
        <f t="shared" si="27"/>
        <v>6.0339690107269472E-3</v>
      </c>
    </row>
    <row r="1740" spans="1:23" x14ac:dyDescent="0.2">
      <c r="A1740" s="14">
        <v>44092</v>
      </c>
      <c r="B1740" s="3">
        <v>-17611086716849</v>
      </c>
      <c r="C1740" s="3">
        <f>[1]!nefin_factors__1[[#This Row],[Rm_minus_Rf]]/B1739-1</f>
        <v>-1.0381976886243194</v>
      </c>
      <c r="D1740" s="3">
        <v>-740803431433814</v>
      </c>
      <c r="E1740" s="3">
        <f>[1]!nefin_factors__1[[#This Row],[SMB]]/D1739-1</f>
        <v>4.4766378739415655</v>
      </c>
      <c r="F1740" s="3">
        <v>-554510536468704</v>
      </c>
      <c r="G1740" s="3">
        <f>[1]!nefin_factors__1[[#This Row],[HML]]/F1739-1</f>
        <v>-2.9764217274264553</v>
      </c>
      <c r="H1740" s="3">
        <v>754711249</v>
      </c>
      <c r="I1740" s="4">
        <f>[1]!nefin_factors__1[[#This Row],[Risk_Free]]/H1739-1</f>
        <v>0</v>
      </c>
      <c r="J1740">
        <v>113590</v>
      </c>
      <c r="K1740">
        <v>114381</v>
      </c>
      <c r="L1740">
        <v>112820</v>
      </c>
      <c r="M1740">
        <v>113571</v>
      </c>
      <c r="N1740">
        <v>8810900</v>
      </c>
      <c r="O1740">
        <v>113571</v>
      </c>
      <c r="P1740">
        <v>-4.7524752475247599E-4</v>
      </c>
      <c r="Q1740">
        <v>-4.7536049064996101E-4</v>
      </c>
      <c r="R1740" s="8">
        <v>18.394748687744102</v>
      </c>
      <c r="S1740" s="8">
        <v>1.7441837157333301E-2</v>
      </c>
      <c r="T1740" s="9">
        <v>1.7291474201839699E-2</v>
      </c>
      <c r="U1740" s="12">
        <v>7.4689999999999999E-3</v>
      </c>
      <c r="V1740" s="16">
        <v>5.4093999999999998</v>
      </c>
      <c r="W1740" s="17">
        <f t="shared" si="27"/>
        <v>1.369863013698458E-3</v>
      </c>
    </row>
    <row r="1741" spans="1:23" x14ac:dyDescent="0.2">
      <c r="A1741" s="15">
        <v>44095</v>
      </c>
      <c r="B1741" s="5">
        <v>-116030229231384</v>
      </c>
      <c r="C1741" s="5">
        <f>[1]!nefin_factors__1[[#This Row],[Rm_minus_Rf]]/B1740-1</f>
        <v>5.5884764010828905</v>
      </c>
      <c r="D1741" s="5">
        <v>-120171751684754</v>
      </c>
      <c r="E1741" s="5">
        <f>[1]!nefin_factors__1[[#This Row],[SMB]]/D1740-1</f>
        <v>-0.83778186414152622</v>
      </c>
      <c r="F1741" s="5">
        <v>-764176329082628</v>
      </c>
      <c r="G1741" s="5">
        <f>[1]!nefin_factors__1[[#This Row],[HML]]/F1740-1</f>
        <v>0.37810966397345869</v>
      </c>
      <c r="H1741" s="5">
        <v>754711249</v>
      </c>
      <c r="I1741" s="6">
        <f>[1]!nefin_factors__1[[#This Row],[Risk_Free]]/H1740-1</f>
        <v>0</v>
      </c>
      <c r="J1741">
        <v>113799</v>
      </c>
      <c r="K1741">
        <v>114020</v>
      </c>
      <c r="L1741">
        <v>112567</v>
      </c>
      <c r="M1741">
        <v>112722</v>
      </c>
      <c r="N1741">
        <v>8431100</v>
      </c>
      <c r="O1741">
        <v>112722</v>
      </c>
      <c r="P1741">
        <v>-7.4754999075468103E-3</v>
      </c>
      <c r="Q1741">
        <v>-7.5035814937760197E-3</v>
      </c>
      <c r="R1741" s="8">
        <v>18.2458381652832</v>
      </c>
      <c r="S1741" s="8">
        <v>-8.0952735472896702E-3</v>
      </c>
      <c r="T1741" s="9">
        <v>-8.1282181919296193E-3</v>
      </c>
      <c r="U1741" s="12">
        <v>7.4689999999999999E-3</v>
      </c>
      <c r="V1741" s="16">
        <v>5.4854000000000003</v>
      </c>
      <c r="W1741" s="17">
        <f t="shared" si="27"/>
        <v>1.4049617332791087E-2</v>
      </c>
    </row>
    <row r="1742" spans="1:23" x14ac:dyDescent="0.2">
      <c r="A1742" s="14">
        <v>44096</v>
      </c>
      <c r="B1742" s="3">
        <v>329385215336539</v>
      </c>
      <c r="C1742" s="3">
        <f>[1]!nefin_factors__1[[#This Row],[Rm_minus_Rf]]/B1741-1</f>
        <v>-3.8387879393023425</v>
      </c>
      <c r="D1742" s="3">
        <v>319928580145625</v>
      </c>
      <c r="E1742" s="3">
        <f>[1]!nefin_factors__1[[#This Row],[SMB]]/D1741-1</f>
        <v>-3.6622611026332725</v>
      </c>
      <c r="F1742" s="3">
        <v>-108920064601825</v>
      </c>
      <c r="G1742" s="3">
        <f>[1]!nefin_factors__1[[#This Row],[HML]]/F1741-1</f>
        <v>-0.85746736655323985</v>
      </c>
      <c r="H1742" s="3">
        <v>754711249</v>
      </c>
      <c r="I1742" s="4">
        <f>[1]!nefin_factors__1[[#This Row],[Risk_Free]]/H1741-1</f>
        <v>0</v>
      </c>
      <c r="J1742">
        <v>113002</v>
      </c>
      <c r="K1742">
        <v>115262</v>
      </c>
      <c r="L1742">
        <v>112732</v>
      </c>
      <c r="M1742">
        <v>114992</v>
      </c>
      <c r="N1742">
        <v>11803600</v>
      </c>
      <c r="O1742">
        <v>114992</v>
      </c>
      <c r="P1742">
        <v>2.0138038714714101E-2</v>
      </c>
      <c r="Q1742">
        <v>1.9937950212869902E-2</v>
      </c>
      <c r="R1742" s="8">
        <v>18.394748687744102</v>
      </c>
      <c r="S1742" s="8">
        <v>8.1613418420136696E-3</v>
      </c>
      <c r="T1742" s="9">
        <v>8.1282181919295794E-3</v>
      </c>
      <c r="U1742" s="12">
        <v>7.4689999999999999E-3</v>
      </c>
      <c r="V1742" s="16">
        <v>5.4198000000000004</v>
      </c>
      <c r="W1742" s="17">
        <f t="shared" si="27"/>
        <v>-1.1959018485434014E-2</v>
      </c>
    </row>
    <row r="1743" spans="1:23" x14ac:dyDescent="0.2">
      <c r="A1743" s="15">
        <v>44097</v>
      </c>
      <c r="B1743" s="5">
        <v>-172697054301102</v>
      </c>
      <c r="C1743" s="5">
        <f>[1]!nefin_factors__1[[#This Row],[Rm_minus_Rf]]/B1742-1</f>
        <v>-1.5243011715770369</v>
      </c>
      <c r="D1743" s="5">
        <v>-12876246299803</v>
      </c>
      <c r="E1743" s="5">
        <f>[1]!nefin_factors__1[[#This Row],[SMB]]/D1742-1</f>
        <v>-1.0402472523522031</v>
      </c>
      <c r="F1743" s="5">
        <v>-428204380289289</v>
      </c>
      <c r="G1743" s="5">
        <f>[1]!nefin_factors__1[[#This Row],[HML]]/F1742-1</f>
        <v>2.9313636275800947</v>
      </c>
      <c r="H1743" s="5">
        <v>754711249</v>
      </c>
      <c r="I1743" s="6">
        <f>[1]!nefin_factors__1[[#This Row],[Risk_Free]]/H1742-1</f>
        <v>0</v>
      </c>
      <c r="J1743">
        <v>115128</v>
      </c>
      <c r="K1743">
        <v>115527</v>
      </c>
      <c r="L1743">
        <v>113949</v>
      </c>
      <c r="M1743">
        <v>115323</v>
      </c>
      <c r="N1743">
        <v>8372300</v>
      </c>
      <c r="O1743">
        <v>115323</v>
      </c>
      <c r="P1743">
        <v>2.87846111033807E-3</v>
      </c>
      <c r="Q1743">
        <v>2.8743262738997501E-3</v>
      </c>
      <c r="R1743" s="8">
        <v>18.7889213562012</v>
      </c>
      <c r="S1743" s="8">
        <v>2.1428543284185E-2</v>
      </c>
      <c r="T1743" s="9">
        <v>2.1202180096657801E-2</v>
      </c>
      <c r="U1743" s="12">
        <v>7.4689999999999999E-3</v>
      </c>
      <c r="V1743" s="16">
        <v>5.3967999999999998</v>
      </c>
      <c r="W1743" s="17">
        <f t="shared" si="27"/>
        <v>-4.2436990294846266E-3</v>
      </c>
    </row>
    <row r="1744" spans="1:23" x14ac:dyDescent="0.2">
      <c r="A1744" s="14">
        <v>44098</v>
      </c>
      <c r="B1744" s="3">
        <v>128388745518476</v>
      </c>
      <c r="C1744" s="3">
        <f>[1]!nefin_factors__1[[#This Row],[Rm_minus_Rf]]/B1743-1</f>
        <v>-1.7434333262837636</v>
      </c>
      <c r="D1744" s="3">
        <v>-443794253376262</v>
      </c>
      <c r="E1744" s="3">
        <f>[1]!nefin_factors__1[[#This Row],[SMB]]/D1743-1</f>
        <v>33.466120253000426</v>
      </c>
      <c r="F1744" s="3">
        <v>-397048607022962</v>
      </c>
      <c r="G1744" s="3">
        <f>[1]!nefin_factors__1[[#This Row],[HML]]/F1743-1</f>
        <v>-7.2759118543529566E-2</v>
      </c>
      <c r="H1744" s="3">
        <v>754711249</v>
      </c>
      <c r="I1744" s="4">
        <f>[1]!nefin_factors__1[[#This Row],[Risk_Free]]/H1743-1</f>
        <v>0</v>
      </c>
      <c r="J1744">
        <v>115137</v>
      </c>
      <c r="K1744">
        <v>115740</v>
      </c>
      <c r="L1744">
        <v>114431</v>
      </c>
      <c r="M1744">
        <v>114975</v>
      </c>
      <c r="N1744">
        <v>8190900</v>
      </c>
      <c r="O1744">
        <v>114975</v>
      </c>
      <c r="P1744">
        <v>-3.0176114044899701E-3</v>
      </c>
      <c r="Q1744">
        <v>-3.0221735739990501E-3</v>
      </c>
      <c r="R1744" s="8">
        <v>19.148057937622099</v>
      </c>
      <c r="S1744" s="8">
        <v>1.9114273491935601E-2</v>
      </c>
      <c r="T1744" s="9">
        <v>1.8933890732188499E-2</v>
      </c>
      <c r="U1744" s="12">
        <v>7.4689999999999999E-3</v>
      </c>
      <c r="V1744" s="16">
        <v>5.2931999999999997</v>
      </c>
      <c r="W1744" s="17">
        <f t="shared" si="27"/>
        <v>-1.9196560924992667E-2</v>
      </c>
    </row>
    <row r="1745" spans="1:23" x14ac:dyDescent="0.2">
      <c r="A1745" s="15">
        <v>44099</v>
      </c>
      <c r="B1745" s="5">
        <v>-278302959682583</v>
      </c>
      <c r="C1745" s="5">
        <f>[1]!nefin_factors__1[[#This Row],[Rm_minus_Rf]]/B1744-1</f>
        <v>-3.1676585323635966</v>
      </c>
      <c r="D1745" s="5">
        <v>182577284297801</v>
      </c>
      <c r="E1745" s="5">
        <f>[1]!nefin_factors__1[[#This Row],[SMB]]/D1744-1</f>
        <v>-1.4114007401150519</v>
      </c>
      <c r="F1745" s="5">
        <v>501885205288873</v>
      </c>
      <c r="G1745" s="5">
        <f>[1]!nefin_factors__1[[#This Row],[HML]]/F1744-1</f>
        <v>-2.2640397080145105</v>
      </c>
      <c r="H1745" s="5">
        <v>754711249</v>
      </c>
      <c r="I1745" s="6">
        <f>[1]!nefin_factors__1[[#This Row],[Risk_Free]]/H1744-1</f>
        <v>0</v>
      </c>
      <c r="J1745">
        <v>114613</v>
      </c>
      <c r="K1745">
        <v>116390</v>
      </c>
      <c r="L1745">
        <v>114613</v>
      </c>
      <c r="M1745">
        <v>116146</v>
      </c>
      <c r="N1745">
        <v>8195100</v>
      </c>
      <c r="O1745">
        <v>116146</v>
      </c>
      <c r="P1745">
        <v>1.0184822787562499E-2</v>
      </c>
      <c r="Q1745">
        <v>1.01333069709899E-2</v>
      </c>
      <c r="R1745" s="8">
        <v>19.148057937622099</v>
      </c>
      <c r="S1745" s="8">
        <v>0</v>
      </c>
      <c r="T1745" s="9">
        <v>0</v>
      </c>
      <c r="U1745" s="12">
        <v>7.4689999999999999E-3</v>
      </c>
      <c r="V1745" s="16">
        <v>5.3330000000000002</v>
      </c>
      <c r="W1745" s="17">
        <f t="shared" si="27"/>
        <v>7.5190810851659684E-3</v>
      </c>
    </row>
    <row r="1746" spans="1:23" x14ac:dyDescent="0.2">
      <c r="A1746" s="14">
        <v>44102</v>
      </c>
      <c r="B1746" s="3">
        <v>-231625990379864</v>
      </c>
      <c r="C1746" s="3">
        <f>[1]!nefin_factors__1[[#This Row],[Rm_minus_Rf]]/B1745-1</f>
        <v>-0.16771998887814987</v>
      </c>
      <c r="D1746" s="3">
        <v>623722401243011</v>
      </c>
      <c r="E1746" s="3">
        <f>[1]!nefin_factors__1[[#This Row],[SMB]]/D1745-1</f>
        <v>2.4162103113860547</v>
      </c>
      <c r="F1746" s="3">
        <v>11727453905517</v>
      </c>
      <c r="G1746" s="3">
        <f>[1]!nefin_factors__1[[#This Row],[HML]]/F1745-1</f>
        <v>-0.97663319463906695</v>
      </c>
      <c r="H1746" s="3">
        <v>7586048517</v>
      </c>
      <c r="I1746" s="4">
        <f>[1]!nefin_factors__1[[#This Row],[Risk_Free]]/H1745-1</f>
        <v>9.051590627609686</v>
      </c>
      <c r="J1746">
        <v>116149</v>
      </c>
      <c r="K1746">
        <v>118178</v>
      </c>
      <c r="L1746">
        <v>115496</v>
      </c>
      <c r="M1746">
        <v>117947</v>
      </c>
      <c r="N1746">
        <v>9808100</v>
      </c>
      <c r="O1746">
        <v>117947</v>
      </c>
      <c r="P1746">
        <v>1.55063454617463E-2</v>
      </c>
      <c r="Q1746">
        <v>1.53873506270973E-2</v>
      </c>
      <c r="R1746" s="8">
        <v>19.148057937622099</v>
      </c>
      <c r="S1746" s="8">
        <v>0</v>
      </c>
      <c r="T1746" s="9">
        <v>0</v>
      </c>
      <c r="U1746" s="12">
        <v>7.4689999999999999E-3</v>
      </c>
      <c r="V1746" s="16">
        <v>5.3505000000000003</v>
      </c>
      <c r="W1746" s="17">
        <f t="shared" si="27"/>
        <v>3.2814550909432416E-3</v>
      </c>
    </row>
    <row r="1747" spans="1:23" x14ac:dyDescent="0.2">
      <c r="A1747" s="15">
        <v>44103</v>
      </c>
      <c r="B1747" s="5">
        <v>-979362865812742</v>
      </c>
      <c r="C1747" s="5">
        <f>[1]!nefin_factors__1[[#This Row],[Rm_minus_Rf]]/B1746-1</f>
        <v>3.2282080012117724</v>
      </c>
      <c r="D1747" s="5">
        <v>-712046855928779</v>
      </c>
      <c r="E1747" s="5">
        <f>[1]!nefin_factors__1[[#This Row],[SMB]]/D1746-1</f>
        <v>-2.1416085978469699</v>
      </c>
      <c r="F1747" s="5">
        <v>-78375740298902</v>
      </c>
      <c r="G1747" s="5">
        <f>[1]!nefin_factors__1[[#This Row],[HML]]/F1746-1</f>
        <v>-7.6830994118878042</v>
      </c>
      <c r="H1747" s="5">
        <v>754711249</v>
      </c>
      <c r="I1747" s="6">
        <f>[1]!nefin_factors__1[[#This Row],[Risk_Free]]/H1746-1</f>
        <v>-0.90051325834408713</v>
      </c>
      <c r="J1747">
        <v>117864</v>
      </c>
      <c r="K1747">
        <v>119027</v>
      </c>
      <c r="L1747">
        <v>117856</v>
      </c>
      <c r="M1747">
        <v>118157</v>
      </c>
      <c r="N1747">
        <v>7701400</v>
      </c>
      <c r="O1747">
        <v>118157</v>
      </c>
      <c r="P1747">
        <v>1.7804607154061601E-3</v>
      </c>
      <c r="Q1747">
        <v>1.7788775740953399E-3</v>
      </c>
      <c r="R1747" s="8">
        <v>18.517381668090799</v>
      </c>
      <c r="S1747" s="8">
        <v>-3.2936826887916298E-2</v>
      </c>
      <c r="T1747" s="9">
        <v>-3.3491456694658202E-2</v>
      </c>
      <c r="U1747" s="12">
        <v>7.4689999999999999E-3</v>
      </c>
      <c r="V1747" s="16">
        <v>5.3827999999999996</v>
      </c>
      <c r="W1747" s="17">
        <f t="shared" si="27"/>
        <v>6.0368189888793111E-3</v>
      </c>
    </row>
    <row r="1748" spans="1:23" x14ac:dyDescent="0.2">
      <c r="A1748" s="14">
        <v>44104</v>
      </c>
      <c r="B1748" s="3">
        <v>107167786925776</v>
      </c>
      <c r="C1748" s="3">
        <f>[1]!nefin_factors__1[[#This Row],[Rm_minus_Rf]]/B1747-1</f>
        <v>-1.1094260265186191</v>
      </c>
      <c r="D1748" s="3">
        <v>53131389460635</v>
      </c>
      <c r="E1748" s="3">
        <f>[1]!nefin_factors__1[[#This Row],[SMB]]/D1747-1</f>
        <v>-1.074617827490203</v>
      </c>
      <c r="F1748" s="3">
        <v>616769288264718</v>
      </c>
      <c r="G1748" s="3">
        <f>[1]!nefin_factors__1[[#This Row],[HML]]/F1747-1</f>
        <v>-8.8693902719456492</v>
      </c>
      <c r="H1748" s="3">
        <v>7508172664</v>
      </c>
      <c r="I1748" s="4">
        <f>[1]!nefin_factors__1[[#This Row],[Risk_Free]]/H1747-1</f>
        <v>8.9484043386770828</v>
      </c>
      <c r="J1748">
        <v>118395</v>
      </c>
      <c r="K1748">
        <v>119370</v>
      </c>
      <c r="L1748">
        <v>117639</v>
      </c>
      <c r="M1748">
        <v>117679</v>
      </c>
      <c r="N1748">
        <v>8636000</v>
      </c>
      <c r="O1748">
        <v>117679</v>
      </c>
      <c r="P1748">
        <v>-4.04546493225111E-3</v>
      </c>
      <c r="Q1748">
        <v>-4.0536699617591404E-3</v>
      </c>
      <c r="R1748" s="8">
        <v>18.0356140136719</v>
      </c>
      <c r="S1748" s="8">
        <v>-2.6017050523353898E-2</v>
      </c>
      <c r="T1748" s="9">
        <v>-2.6361481163622601E-2</v>
      </c>
      <c r="U1748" s="12">
        <v>7.4689999999999999E-3</v>
      </c>
      <c r="V1748" s="16">
        <v>5.4036999999999997</v>
      </c>
      <c r="W1748" s="17">
        <f t="shared" si="27"/>
        <v>3.8827376086796317E-3</v>
      </c>
    </row>
    <row r="1749" spans="1:23" x14ac:dyDescent="0.2">
      <c r="A1749" s="15">
        <v>44105</v>
      </c>
      <c r="B1749" s="5">
        <v>103245423930633</v>
      </c>
      <c r="C1749" s="5">
        <f>[1]!nefin_factors__1[[#This Row],[Rm_minus_Rf]]/B1748-1</f>
        <v>-3.6600205226404614E-2</v>
      </c>
      <c r="D1749" s="5">
        <v>249246665884752</v>
      </c>
      <c r="E1749" s="5">
        <f>[1]!nefin_factors__1[[#This Row],[SMB]]/D1748-1</f>
        <v>3.691137732609433</v>
      </c>
      <c r="F1749" s="5">
        <v>106485368373261</v>
      </c>
      <c r="G1749" s="5">
        <f>[1]!nefin_factors__1[[#This Row],[HML]]/F1748-1</f>
        <v>-0.82734975557415014</v>
      </c>
      <c r="H1749" s="5">
        <v>7508172664</v>
      </c>
      <c r="I1749" s="6">
        <f>[1]!nefin_factors__1[[#This Row],[Risk_Free]]/H1748-1</f>
        <v>0</v>
      </c>
      <c r="J1749">
        <v>118021</v>
      </c>
      <c r="K1749">
        <v>118021</v>
      </c>
      <c r="L1749">
        <v>114730</v>
      </c>
      <c r="M1749">
        <v>116016</v>
      </c>
      <c r="N1749">
        <v>10347100</v>
      </c>
      <c r="O1749">
        <v>116016</v>
      </c>
      <c r="P1749">
        <v>-1.4131663253426701E-2</v>
      </c>
      <c r="Q1749">
        <v>-1.4232466007174E-2</v>
      </c>
      <c r="R1749" s="8">
        <v>17.3261013031006</v>
      </c>
      <c r="S1749" s="8">
        <v>-3.9339537319519197E-2</v>
      </c>
      <c r="T1749" s="9">
        <v>-4.0134249112519803E-2</v>
      </c>
      <c r="U1749" s="12">
        <v>7.4689999999999999E-3</v>
      </c>
      <c r="V1749" s="16">
        <v>5.3507999999999996</v>
      </c>
      <c r="W1749" s="17">
        <f t="shared" si="27"/>
        <v>-9.7895886152081779E-3</v>
      </c>
    </row>
    <row r="1750" spans="1:23" x14ac:dyDescent="0.2">
      <c r="A1750" s="14">
        <v>44106</v>
      </c>
      <c r="B1750" s="3">
        <v>-137631636762384</v>
      </c>
      <c r="C1750" s="3">
        <f>[1]!nefin_factors__1[[#This Row],[Rm_minus_Rf]]/B1749-1</f>
        <v>-2.3330531419470359</v>
      </c>
      <c r="D1750" s="3">
        <v>450592724379075</v>
      </c>
      <c r="E1750" s="3">
        <f>[1]!nefin_factors__1[[#This Row],[SMB]]/D1749-1</f>
        <v>0.80781846280512526</v>
      </c>
      <c r="F1750" s="3">
        <v>628534906266422</v>
      </c>
      <c r="G1750" s="3">
        <f>[1]!nefin_factors__1[[#This Row],[HML]]/F1749-1</f>
        <v>4.9025471373985514</v>
      </c>
      <c r="H1750" s="3">
        <v>754711249</v>
      </c>
      <c r="I1750" s="4">
        <f>[1]!nefin_factors__1[[#This Row],[Risk_Free]]/H1749-1</f>
        <v>-0.89948136746792318</v>
      </c>
      <c r="J1750">
        <v>115825</v>
      </c>
      <c r="K1750">
        <v>116903</v>
      </c>
      <c r="L1750">
        <v>115648</v>
      </c>
      <c r="M1750">
        <v>116348</v>
      </c>
      <c r="N1750">
        <v>6947900</v>
      </c>
      <c r="O1750">
        <v>116348</v>
      </c>
      <c r="P1750">
        <v>2.8616742518272598E-3</v>
      </c>
      <c r="Q1750">
        <v>2.8575874569261601E-3</v>
      </c>
      <c r="R1750" s="8">
        <v>16.231176376342798</v>
      </c>
      <c r="S1750" s="8">
        <v>-6.3195112830251698E-2</v>
      </c>
      <c r="T1750" s="9">
        <v>-6.5280249835904802E-2</v>
      </c>
      <c r="U1750" s="12">
        <v>7.4689999999999999E-3</v>
      </c>
      <c r="V1750" s="16">
        <v>5.3201000000000001</v>
      </c>
      <c r="W1750" s="17">
        <f t="shared" si="27"/>
        <v>-5.7374598190923498E-3</v>
      </c>
    </row>
    <row r="1751" spans="1:23" x14ac:dyDescent="0.2">
      <c r="A1751" s="15">
        <v>44109</v>
      </c>
      <c r="B1751" s="5">
        <v>199520143815095</v>
      </c>
      <c r="C1751" s="5">
        <f>[1]!nefin_factors__1[[#This Row],[Rm_minus_Rf]]/B1750-1</f>
        <v>-2.4496677399801561</v>
      </c>
      <c r="D1751" s="5">
        <v>-209226035401461</v>
      </c>
      <c r="E1751" s="5">
        <f>[1]!nefin_factors__1[[#This Row],[SMB]]/D1750-1</f>
        <v>-1.4643351392097559</v>
      </c>
      <c r="F1751" s="5">
        <v>-2271680974.5781598</v>
      </c>
      <c r="G1751" s="5">
        <f>[1]!nefin_factors__1[[#This Row],[HML]]/F1750-1</f>
        <v>-1.0000036142479152</v>
      </c>
      <c r="H1751" s="5">
        <v>754711249</v>
      </c>
      <c r="I1751" s="6">
        <f>[1]!nefin_factors__1[[#This Row],[Risk_Free]]/H1750-1</f>
        <v>0</v>
      </c>
      <c r="J1751">
        <v>116636</v>
      </c>
      <c r="K1751">
        <v>118311</v>
      </c>
      <c r="L1751">
        <v>116636</v>
      </c>
      <c r="M1751">
        <v>117857</v>
      </c>
      <c r="N1751">
        <v>6483300</v>
      </c>
      <c r="O1751">
        <v>117857</v>
      </c>
      <c r="P1751">
        <v>1.29697115549903E-2</v>
      </c>
      <c r="Q1751">
        <v>1.2886325071257899E-2</v>
      </c>
      <c r="R1751" s="8">
        <v>16.590311050415</v>
      </c>
      <c r="S1751" s="8">
        <v>2.2126225835097799E-2</v>
      </c>
      <c r="T1751" s="9">
        <v>2.18849927998578E-2</v>
      </c>
      <c r="U1751" s="12">
        <v>7.4689999999999999E-3</v>
      </c>
      <c r="V1751" s="16">
        <v>5.3494000000000002</v>
      </c>
      <c r="W1751" s="17">
        <f t="shared" si="27"/>
        <v>5.5074152741489968E-3</v>
      </c>
    </row>
    <row r="1752" spans="1:23" x14ac:dyDescent="0.2">
      <c r="A1752" s="14">
        <v>44110</v>
      </c>
      <c r="B1752" s="3">
        <v>-137010113442256</v>
      </c>
      <c r="C1752" s="3">
        <f>[1]!nefin_factors__1[[#This Row],[Rm_minus_Rf]]/B1751-1</f>
        <v>-1.6866981489810369</v>
      </c>
      <c r="D1752" s="3">
        <v>532805096076476</v>
      </c>
      <c r="E1752" s="3">
        <f>[1]!nefin_factors__1[[#This Row],[SMB]]/D1751-1</f>
        <v>-3.5465525600297996</v>
      </c>
      <c r="F1752" s="3">
        <v>2944234482.6842399</v>
      </c>
      <c r="G1752" s="3">
        <f>[1]!nefin_factors__1[[#This Row],[HML]]/F1751-1</f>
        <v>-2.2960598409866817</v>
      </c>
      <c r="H1752" s="3">
        <v>7508172664</v>
      </c>
      <c r="I1752" s="4">
        <f>[1]!nefin_factors__1[[#This Row],[Risk_Free]]/H1751-1</f>
        <v>8.9484043386770828</v>
      </c>
      <c r="J1752">
        <v>117806</v>
      </c>
      <c r="K1752">
        <v>119213</v>
      </c>
      <c r="L1752">
        <v>117805</v>
      </c>
      <c r="M1752">
        <v>119051</v>
      </c>
      <c r="N1752">
        <v>7171700</v>
      </c>
      <c r="O1752">
        <v>119051</v>
      </c>
      <c r="P1752">
        <v>1.0130921370813799E-2</v>
      </c>
      <c r="Q1752">
        <v>1.0079947572175899E-2</v>
      </c>
      <c r="R1752" s="8">
        <v>17.238508224487301</v>
      </c>
      <c r="S1752" s="8">
        <v>3.9070827069035002E-2</v>
      </c>
      <c r="T1752" s="9">
        <v>3.8326878291351403E-2</v>
      </c>
      <c r="U1752" s="12">
        <v>7.4689999999999999E-3</v>
      </c>
      <c r="V1752" s="16">
        <v>5.3316999999999997</v>
      </c>
      <c r="W1752" s="17">
        <f t="shared" si="27"/>
        <v>-3.3087822933414168E-3</v>
      </c>
    </row>
    <row r="1753" spans="1:23" x14ac:dyDescent="0.2">
      <c r="A1753" s="15">
        <v>44111</v>
      </c>
      <c r="B1753" s="5">
        <v>480397006992741</v>
      </c>
      <c r="C1753" s="5">
        <f>[1]!nefin_factors__1[[#This Row],[Rm_minus_Rf]]/B1752-1</f>
        <v>-4.5062886594514655</v>
      </c>
      <c r="D1753" s="5">
        <v>128081160609186</v>
      </c>
      <c r="E1753" s="5">
        <f>[1]!nefin_factors__1[[#This Row],[SMB]]/D1752-1</f>
        <v>-0.75960973055182279</v>
      </c>
      <c r="F1753" s="5">
        <v>122454798624208</v>
      </c>
      <c r="G1753" s="5">
        <f>[1]!nefin_factors__1[[#This Row],[HML]]/F1752-1</f>
        <v>41590.387963287059</v>
      </c>
      <c r="H1753" s="5">
        <v>7508172664</v>
      </c>
      <c r="I1753" s="6">
        <f>[1]!nefin_factors__1[[#This Row],[Risk_Free]]/H1752-1</f>
        <v>0</v>
      </c>
      <c r="J1753">
        <v>119130</v>
      </c>
      <c r="K1753">
        <v>119861</v>
      </c>
      <c r="L1753">
        <v>118750</v>
      </c>
      <c r="M1753">
        <v>119475</v>
      </c>
      <c r="N1753">
        <v>6769700</v>
      </c>
      <c r="O1753">
        <v>119475</v>
      </c>
      <c r="P1753">
        <v>3.5614988534324898E-3</v>
      </c>
      <c r="Q1753">
        <v>3.5551717346250802E-3</v>
      </c>
      <c r="R1753" s="8">
        <v>17.282304763793899</v>
      </c>
      <c r="S1753" s="8">
        <v>2.5406223517896501E-3</v>
      </c>
      <c r="T1753" s="9">
        <v>2.53740042679839E-3</v>
      </c>
      <c r="U1753" s="12">
        <v>7.4689999999999999E-3</v>
      </c>
      <c r="V1753" s="16">
        <v>5.2789000000000001</v>
      </c>
      <c r="W1753" s="17">
        <f t="shared" si="27"/>
        <v>-9.9030328037961191E-3</v>
      </c>
    </row>
    <row r="1754" spans="1:23" x14ac:dyDescent="0.2">
      <c r="A1754" s="14">
        <v>44112</v>
      </c>
      <c r="B1754" s="3">
        <v>228386143451861</v>
      </c>
      <c r="C1754" s="3">
        <f>[1]!nefin_factors__1[[#This Row],[Rm_minus_Rf]]/B1753-1</f>
        <v>-0.52458874612573925</v>
      </c>
      <c r="D1754" s="3">
        <v>-194669531118346</v>
      </c>
      <c r="E1754" s="3">
        <f>[1]!nefin_factors__1[[#This Row],[SMB]]/D1753-1</f>
        <v>-2.5198919981084575</v>
      </c>
      <c r="F1754" s="3">
        <v>-203276002322089</v>
      </c>
      <c r="G1754" s="3">
        <f>[1]!nefin_factors__1[[#This Row],[HML]]/F1753-1</f>
        <v>-2.6600084652125959</v>
      </c>
      <c r="H1754" s="3">
        <v>754711249</v>
      </c>
      <c r="I1754" s="4">
        <f>[1]!nefin_factors__1[[#This Row],[Risk_Free]]/H1753-1</f>
        <v>-0.89948136746792318</v>
      </c>
      <c r="J1754">
        <v>119410</v>
      </c>
      <c r="K1754">
        <v>120150</v>
      </c>
      <c r="L1754">
        <v>118919</v>
      </c>
      <c r="M1754">
        <v>119306</v>
      </c>
      <c r="N1754">
        <v>8235700</v>
      </c>
      <c r="O1754">
        <v>119306</v>
      </c>
      <c r="P1754">
        <v>-1.4145218664992599E-3</v>
      </c>
      <c r="Q1754">
        <v>-1.41552324698246E-3</v>
      </c>
      <c r="R1754" s="8">
        <v>18.026853561401399</v>
      </c>
      <c r="S1754" s="8">
        <v>4.3081568562963503E-2</v>
      </c>
      <c r="T1754" s="9">
        <v>4.2179378677854797E-2</v>
      </c>
      <c r="U1754" s="12">
        <v>7.4689999999999999E-3</v>
      </c>
      <c r="V1754" s="16">
        <v>5.2267000000000001</v>
      </c>
      <c r="W1754" s="17">
        <f t="shared" si="27"/>
        <v>-9.8884237246396056E-3</v>
      </c>
    </row>
    <row r="1755" spans="1:23" x14ac:dyDescent="0.2">
      <c r="A1755" s="15">
        <v>44113</v>
      </c>
      <c r="B1755" s="5">
        <v>-148330503417043</v>
      </c>
      <c r="C1755" s="5">
        <f>[1]!nefin_factors__1[[#This Row],[Rm_minus_Rf]]/B1754-1</f>
        <v>-1.6494724293477461</v>
      </c>
      <c r="D1755" s="5">
        <v>907003479548352</v>
      </c>
      <c r="E1755" s="5">
        <f>[1]!nefin_factors__1[[#This Row],[SMB]]/D1754-1</f>
        <v>-5.659195891302347</v>
      </c>
      <c r="F1755" s="5">
        <v>119068148504556</v>
      </c>
      <c r="G1755" s="5">
        <f>[1]!nefin_factors__1[[#This Row],[HML]]/F1754-1</f>
        <v>-1.5857462127570454</v>
      </c>
      <c r="H1755" s="5">
        <v>7508172664</v>
      </c>
      <c r="I1755" s="6">
        <f>[1]!nefin_factors__1[[#This Row],[Risk_Free]]/H1754-1</f>
        <v>8.9484043386770828</v>
      </c>
      <c r="J1755">
        <v>119024</v>
      </c>
      <c r="K1755">
        <v>120354</v>
      </c>
      <c r="L1755">
        <v>118062</v>
      </c>
      <c r="M1755">
        <v>118558</v>
      </c>
      <c r="N1755">
        <v>8741400</v>
      </c>
      <c r="O1755">
        <v>118558</v>
      </c>
      <c r="P1755">
        <v>-6.2695924764890601E-3</v>
      </c>
      <c r="Q1755">
        <v>-6.2893289075639904E-3</v>
      </c>
      <c r="R1755" s="8">
        <v>17.667718887329102</v>
      </c>
      <c r="S1755" s="8">
        <v>-1.9922205106344001E-2</v>
      </c>
      <c r="T1755" s="9">
        <v>-2.0123327923599998E-2</v>
      </c>
      <c r="U1755" s="12">
        <v>7.4689999999999999E-3</v>
      </c>
      <c r="V1755" s="16">
        <v>5.1624999999999996</v>
      </c>
      <c r="W1755" s="17">
        <f t="shared" si="27"/>
        <v>-1.228308492930541E-2</v>
      </c>
    </row>
    <row r="1756" spans="1:23" x14ac:dyDescent="0.2">
      <c r="A1756" s="14">
        <v>44117</v>
      </c>
      <c r="B1756" s="3">
        <v>108786197509238</v>
      </c>
      <c r="C1756" s="3">
        <f>[1]!nefin_factors__1[[#This Row],[Rm_minus_Rf]]/B1755-1</f>
        <v>-1.7334040875151415</v>
      </c>
      <c r="D1756" s="3">
        <v>173239311718615</v>
      </c>
      <c r="E1756" s="3">
        <f>[1]!nefin_factors__1[[#This Row],[SMB]]/D1755-1</f>
        <v>-0.80899818399276635</v>
      </c>
      <c r="F1756" s="3">
        <v>-185880069298163</v>
      </c>
      <c r="G1756" s="3">
        <f>[1]!nefin_factors__1[[#This Row],[HML]]/F1755-1</f>
        <v>-2.5611233703785237</v>
      </c>
      <c r="H1756" s="3">
        <v>754711249</v>
      </c>
      <c r="I1756" s="4">
        <f>[1]!nefin_factors__1[[#This Row],[Risk_Free]]/H1755-1</f>
        <v>-0.89948136746792318</v>
      </c>
      <c r="J1756">
        <v>118835</v>
      </c>
      <c r="K1756">
        <v>119790</v>
      </c>
      <c r="L1756">
        <v>116756</v>
      </c>
      <c r="M1756">
        <v>119223</v>
      </c>
      <c r="N1756">
        <v>9257100</v>
      </c>
      <c r="O1756">
        <v>119223</v>
      </c>
      <c r="P1756">
        <v>5.6090689788963503E-3</v>
      </c>
      <c r="Q1756">
        <v>5.5933967286683301E-3</v>
      </c>
      <c r="R1756" s="8">
        <v>17.7202758789062</v>
      </c>
      <c r="S1756" s="8">
        <v>2.9747468766236902E-3</v>
      </c>
      <c r="T1756" s="9">
        <v>2.9703310722331302E-3</v>
      </c>
      <c r="U1756" s="12">
        <v>7.4689999999999999E-3</v>
      </c>
      <c r="V1756" s="16">
        <v>5.1706000000000003</v>
      </c>
      <c r="W1756" s="17">
        <f t="shared" si="27"/>
        <v>1.5690072639227282E-3</v>
      </c>
    </row>
    <row r="1757" spans="1:23" x14ac:dyDescent="0.2">
      <c r="A1757" s="15">
        <v>44118</v>
      </c>
      <c r="B1757" s="5">
        <v>719068093421542</v>
      </c>
      <c r="C1757" s="5">
        <f>[1]!nefin_factors__1[[#This Row],[Rm_minus_Rf]]/B1756-1</f>
        <v>5.6099202829520678</v>
      </c>
      <c r="D1757" s="5">
        <v>-104308527842866</v>
      </c>
      <c r="E1757" s="5">
        <f>[1]!nefin_factors__1[[#This Row],[SMB]]/D1756-1</f>
        <v>-1.6021065704318298</v>
      </c>
      <c r="F1757" s="5">
        <v>-779116467189513</v>
      </c>
      <c r="G1757" s="5">
        <f>[1]!nefin_factors__1[[#This Row],[HML]]/F1756-1</f>
        <v>3.191500843157975</v>
      </c>
      <c r="H1757" s="5">
        <v>754711249</v>
      </c>
      <c r="I1757" s="6">
        <f>[1]!nefin_factors__1[[#This Row],[Risk_Free]]/H1756-1</f>
        <v>0</v>
      </c>
      <c r="J1757">
        <v>119377</v>
      </c>
      <c r="K1757">
        <v>120924</v>
      </c>
      <c r="L1757">
        <v>118917</v>
      </c>
      <c r="M1757">
        <v>119851</v>
      </c>
      <c r="N1757">
        <v>11638200</v>
      </c>
      <c r="O1757">
        <v>119851</v>
      </c>
      <c r="P1757">
        <v>5.2674400073811096E-3</v>
      </c>
      <c r="Q1757">
        <v>5.2536155702776E-3</v>
      </c>
      <c r="R1757" s="8">
        <v>17.8516654968262</v>
      </c>
      <c r="S1757" s="8">
        <v>7.4146485538819596E-3</v>
      </c>
      <c r="T1757" s="9">
        <v>7.3872951745401899E-3</v>
      </c>
      <c r="U1757" s="12">
        <v>7.4689999999999999E-3</v>
      </c>
      <c r="V1757" s="16">
        <v>5.1017999999999999</v>
      </c>
      <c r="W1757" s="17">
        <f t="shared" si="27"/>
        <v>-1.3305999303755978E-2</v>
      </c>
    </row>
    <row r="1758" spans="1:23" x14ac:dyDescent="0.2">
      <c r="A1758" s="14">
        <v>44119</v>
      </c>
      <c r="B1758" s="3">
        <v>-220453919396176</v>
      </c>
      <c r="C1758" s="3">
        <f>[1]!nefin_factors__1[[#This Row],[Rm_minus_Rf]]/B1757-1</f>
        <v>-1.3065828138016666</v>
      </c>
      <c r="D1758" s="3">
        <v>-174589155672642</v>
      </c>
      <c r="E1758" s="3">
        <f>[1]!nefin_factors__1[[#This Row],[SMB]]/D1757-1</f>
        <v>0.67377643307984547</v>
      </c>
      <c r="F1758" s="3">
        <v>731140813273241</v>
      </c>
      <c r="G1758" s="3">
        <f>[1]!nefin_factors__1[[#This Row],[HML]]/F1757-1</f>
        <v>-1.9384230010060839</v>
      </c>
      <c r="H1758" s="3">
        <v>754711249</v>
      </c>
      <c r="I1758" s="4">
        <f>[1]!nefin_factors__1[[#This Row],[Risk_Free]]/H1757-1</f>
        <v>0</v>
      </c>
      <c r="J1758">
        <v>119103</v>
      </c>
      <c r="K1758">
        <v>121983</v>
      </c>
      <c r="L1758">
        <v>119101</v>
      </c>
      <c r="M1758">
        <v>121956</v>
      </c>
      <c r="N1758">
        <v>11774800</v>
      </c>
      <c r="O1758">
        <v>121956</v>
      </c>
      <c r="P1758">
        <v>1.7563474647687601E-2</v>
      </c>
      <c r="Q1758">
        <v>1.7411019335008299E-2</v>
      </c>
      <c r="R1758" s="8">
        <v>17.133394241333001</v>
      </c>
      <c r="S1758" s="8">
        <v>-4.0235531839920798E-2</v>
      </c>
      <c r="T1758" s="9">
        <v>-4.1067370289011099E-2</v>
      </c>
      <c r="U1758" s="12">
        <v>7.4689999999999999E-3</v>
      </c>
      <c r="V1758" s="16">
        <v>5.0919999999999996</v>
      </c>
      <c r="W1758" s="17">
        <f t="shared" si="27"/>
        <v>-1.9208906660395098E-3</v>
      </c>
    </row>
    <row r="1759" spans="1:23" x14ac:dyDescent="0.2">
      <c r="A1759" s="15">
        <v>44120</v>
      </c>
      <c r="B1759" s="5">
        <v>-593583356559793</v>
      </c>
      <c r="C1759" s="5">
        <f>[1]!nefin_factors__1[[#This Row],[Rm_minus_Rf]]/B1758-1</f>
        <v>1.6925507071301782</v>
      </c>
      <c r="D1759" s="5">
        <v>111123768407332</v>
      </c>
      <c r="E1759" s="5">
        <f>[1]!nefin_factors__1[[#This Row],[SMB]]/D1758-1</f>
        <v>-1.6364872318627348</v>
      </c>
      <c r="F1759" s="5">
        <v>52622716541032</v>
      </c>
      <c r="G1759" s="5">
        <f>[1]!nefin_factors__1[[#This Row],[HML]]/F1758-1</f>
        <v>-0.9280265639864288</v>
      </c>
      <c r="H1759" s="5">
        <v>754711249</v>
      </c>
      <c r="I1759" s="6">
        <f>[1]!nefin_factors__1[[#This Row],[Risk_Free]]/H1758-1</f>
        <v>0</v>
      </c>
      <c r="J1759">
        <v>122387</v>
      </c>
      <c r="K1759">
        <v>125324</v>
      </c>
      <c r="L1759">
        <v>122386</v>
      </c>
      <c r="M1759">
        <v>125077</v>
      </c>
      <c r="N1759">
        <v>11085800</v>
      </c>
      <c r="O1759">
        <v>125077</v>
      </c>
      <c r="P1759">
        <v>2.55911968250844E-2</v>
      </c>
      <c r="Q1759">
        <v>2.5269223708550299E-2</v>
      </c>
      <c r="R1759" s="8">
        <v>17.089597702026399</v>
      </c>
      <c r="S1759" s="8">
        <v>-2.5562091602949798E-3</v>
      </c>
      <c r="T1759" s="9">
        <v>-2.5594818412248499E-3</v>
      </c>
      <c r="U1759" s="12">
        <v>7.4689999999999999E-3</v>
      </c>
      <c r="V1759" s="16">
        <v>5.1109</v>
      </c>
      <c r="W1759" s="17">
        <f t="shared" si="27"/>
        <v>3.7117046347212579E-3</v>
      </c>
    </row>
    <row r="1760" spans="1:23" x14ac:dyDescent="0.2">
      <c r="A1760" s="14">
        <v>44123</v>
      </c>
      <c r="B1760" s="3">
        <v>140090459636407</v>
      </c>
      <c r="C1760" s="3">
        <f>[1]!nefin_factors__1[[#This Row],[Rm_minus_Rf]]/B1759-1</f>
        <v>-1.2360080654018395</v>
      </c>
      <c r="D1760" s="3">
        <v>-100797568086632</v>
      </c>
      <c r="E1760" s="3">
        <f>[1]!nefin_factors__1[[#This Row],[SMB]]/D1759-1</f>
        <v>-1.9070747827517098</v>
      </c>
      <c r="F1760" s="3">
        <v>-367026479462652</v>
      </c>
      <c r="G1760" s="3">
        <f>[1]!nefin_factors__1[[#This Row],[HML]]/F1759-1</f>
        <v>-7.9746775458934556</v>
      </c>
      <c r="H1760" s="3">
        <v>7508172664</v>
      </c>
      <c r="I1760" s="4">
        <f>[1]!nefin_factors__1[[#This Row],[Risk_Free]]/H1759-1</f>
        <v>8.9484043386770828</v>
      </c>
      <c r="J1760">
        <v>125075</v>
      </c>
      <c r="K1760">
        <v>125075</v>
      </c>
      <c r="L1760">
        <v>122506</v>
      </c>
      <c r="M1760">
        <v>122807</v>
      </c>
      <c r="N1760">
        <v>9537600</v>
      </c>
      <c r="O1760">
        <v>122807</v>
      </c>
      <c r="P1760">
        <v>-1.8148820326678701E-2</v>
      </c>
      <c r="Q1760">
        <v>-1.8315530306433001E-2</v>
      </c>
      <c r="R1760" s="8">
        <v>16.712944030761701</v>
      </c>
      <c r="S1760" s="8">
        <v>-2.2039937851783799E-2</v>
      </c>
      <c r="T1760" s="9">
        <v>-2.2286446030409801E-2</v>
      </c>
      <c r="U1760" s="12">
        <v>7.4689999999999999E-3</v>
      </c>
      <c r="V1760" s="16">
        <v>5.0852000000000004</v>
      </c>
      <c r="W1760" s="17">
        <f t="shared" si="27"/>
        <v>-5.0284685671798668E-3</v>
      </c>
    </row>
    <row r="1761" spans="1:23" x14ac:dyDescent="0.2">
      <c r="A1761" s="15">
        <v>44124</v>
      </c>
      <c r="B1761" s="5">
        <v>181619568011728</v>
      </c>
      <c r="C1761" s="5">
        <f>[1]!nefin_factors__1[[#This Row],[Rm_minus_Rf]]/B1760-1</f>
        <v>0.2964449433823424</v>
      </c>
      <c r="D1761" s="5">
        <v>-67282651711661</v>
      </c>
      <c r="E1761" s="5">
        <f>[1]!nefin_factors__1[[#This Row],[SMB]]/D1760-1</f>
        <v>-0.33249727162232823</v>
      </c>
      <c r="F1761" s="5">
        <v>114517923816703</v>
      </c>
      <c r="G1761" s="5">
        <f>[1]!nefin_factors__1[[#This Row],[HML]]/F1760-1</f>
        <v>-1.3120154272911422</v>
      </c>
      <c r="H1761" s="5">
        <v>754711249</v>
      </c>
      <c r="I1761" s="6">
        <f>[1]!nefin_factors__1[[#This Row],[Risk_Free]]/H1760-1</f>
        <v>-0.89948136746792318</v>
      </c>
      <c r="J1761">
        <v>123255</v>
      </c>
      <c r="K1761">
        <v>124584</v>
      </c>
      <c r="L1761">
        <v>123227</v>
      </c>
      <c r="M1761">
        <v>123998</v>
      </c>
      <c r="N1761">
        <v>8949000</v>
      </c>
      <c r="O1761">
        <v>123998</v>
      </c>
      <c r="P1761">
        <v>9.6981442425920807E-3</v>
      </c>
      <c r="Q1761">
        <v>9.6514190969574608E-3</v>
      </c>
      <c r="R1761" s="8">
        <v>17.2034702301025</v>
      </c>
      <c r="S1761" s="8">
        <v>2.9350077307622301E-2</v>
      </c>
      <c r="T1761" s="9">
        <v>2.89276101765167E-2</v>
      </c>
      <c r="U1761" s="12">
        <v>7.4689999999999999E-3</v>
      </c>
      <c r="V1761" s="16">
        <v>5.0690999999999997</v>
      </c>
      <c r="W1761" s="17">
        <f t="shared" si="27"/>
        <v>-3.166050499488815E-3</v>
      </c>
    </row>
    <row r="1762" spans="1:23" x14ac:dyDescent="0.2">
      <c r="A1762" s="14">
        <v>44125</v>
      </c>
      <c r="B1762" s="3">
        <v>-100089868142689</v>
      </c>
      <c r="C1762" s="3">
        <f>[1]!nefin_factors__1[[#This Row],[Rm_minus_Rf]]/B1761-1</f>
        <v>-1.5510962790982177</v>
      </c>
      <c r="D1762" s="3">
        <v>-468559354711214</v>
      </c>
      <c r="E1762" s="3">
        <f>[1]!nefin_factors__1[[#This Row],[SMB]]/D1761-1</f>
        <v>5.9640441152530599</v>
      </c>
      <c r="F1762" s="3">
        <v>857685205228298</v>
      </c>
      <c r="G1762" s="3">
        <f>[1]!nefin_factors__1[[#This Row],[HML]]/F1761-1</f>
        <v>6.4895280724885129</v>
      </c>
      <c r="H1762" s="3">
        <v>754711249</v>
      </c>
      <c r="I1762" s="4">
        <f>[1]!nefin_factors__1[[#This Row],[Risk_Free]]/H1761-1</f>
        <v>0</v>
      </c>
      <c r="J1762">
        <v>123996</v>
      </c>
      <c r="K1762">
        <v>124032</v>
      </c>
      <c r="L1762">
        <v>121016</v>
      </c>
      <c r="M1762">
        <v>122040</v>
      </c>
      <c r="N1762">
        <v>10291500</v>
      </c>
      <c r="O1762">
        <v>122040</v>
      </c>
      <c r="P1762">
        <v>-1.5790577267375299E-2</v>
      </c>
      <c r="Q1762">
        <v>-1.5916576594235701E-2</v>
      </c>
      <c r="R1762" s="8">
        <v>16.9144096374512</v>
      </c>
      <c r="S1762" s="8">
        <v>-1.6802458386888201E-2</v>
      </c>
      <c r="T1762" s="9">
        <v>-1.6945221126936999E-2</v>
      </c>
      <c r="U1762" s="12">
        <v>7.4689999999999999E-3</v>
      </c>
      <c r="V1762" s="16">
        <v>5.0578000000000003</v>
      </c>
      <c r="W1762" s="17">
        <f t="shared" si="27"/>
        <v>-2.2291925588368011E-3</v>
      </c>
    </row>
    <row r="1763" spans="1:23" x14ac:dyDescent="0.2">
      <c r="A1763" s="15">
        <v>44126</v>
      </c>
      <c r="B1763" s="5">
        <v>142439803660567</v>
      </c>
      <c r="C1763" s="5">
        <f>[1]!nefin_factors__1[[#This Row],[Rm_minus_Rf]]/B1762-1</f>
        <v>-2.4231191058969479</v>
      </c>
      <c r="D1763" s="5">
        <v>-152580311529315</v>
      </c>
      <c r="E1763" s="5">
        <f>[1]!nefin_factors__1[[#This Row],[SMB]]/D1762-1</f>
        <v>-0.67436289555385265</v>
      </c>
      <c r="F1763" s="5">
        <v>-863891926223656</v>
      </c>
      <c r="G1763" s="5">
        <f>[1]!nefin_factors__1[[#This Row],[HML]]/F1762-1</f>
        <v>-2.0072365956151779</v>
      </c>
      <c r="H1763" s="5">
        <v>7508172664</v>
      </c>
      <c r="I1763" s="6">
        <f>[1]!nefin_factors__1[[#This Row],[Risk_Free]]/H1762-1</f>
        <v>8.9484043386770828</v>
      </c>
      <c r="J1763">
        <v>121947</v>
      </c>
      <c r="K1763">
        <v>123896</v>
      </c>
      <c r="L1763">
        <v>121947</v>
      </c>
      <c r="M1763">
        <v>123481</v>
      </c>
      <c r="N1763">
        <v>8974400</v>
      </c>
      <c r="O1763">
        <v>123481</v>
      </c>
      <c r="P1763">
        <v>1.18076040642412E-2</v>
      </c>
      <c r="Q1763">
        <v>1.17384382301834E-2</v>
      </c>
      <c r="R1763" s="8">
        <v>17.8429069519043</v>
      </c>
      <c r="S1763" s="8">
        <v>5.4893864719776302E-2</v>
      </c>
      <c r="T1763" s="9">
        <v>5.3440159705943499E-2</v>
      </c>
      <c r="U1763" s="12">
        <v>7.4689999999999999E-3</v>
      </c>
      <c r="V1763" s="16">
        <v>5.0968</v>
      </c>
      <c r="W1763" s="17">
        <f t="shared" si="27"/>
        <v>7.7108624303054984E-3</v>
      </c>
    </row>
    <row r="1764" spans="1:23" x14ac:dyDescent="0.2">
      <c r="A1764" s="14">
        <v>44127</v>
      </c>
      <c r="B1764" s="3">
        <v>-433800884936632</v>
      </c>
      <c r="C1764" s="3">
        <f>[1]!nefin_factors__1[[#This Row],[Rm_minus_Rf]]/B1763-1</f>
        <v>-4.0455032497122527</v>
      </c>
      <c r="D1764" s="3">
        <v>926244912229151</v>
      </c>
      <c r="E1764" s="3">
        <f>[1]!nefin_factors__1[[#This Row],[SMB]]/D1763-1</f>
        <v>-7.0705401827102259</v>
      </c>
      <c r="F1764" s="3">
        <v>607897239382354</v>
      </c>
      <c r="G1764" s="3">
        <f>[1]!nefin_factors__1[[#This Row],[HML]]/F1763-1</f>
        <v>-1.7036727869881416</v>
      </c>
      <c r="H1764" s="3">
        <v>7586048517</v>
      </c>
      <c r="I1764" s="4">
        <f>[1]!nefin_factors__1[[#This Row],[Risk_Free]]/H1763-1</f>
        <v>1.0372144659565041E-2</v>
      </c>
      <c r="J1764">
        <v>123472</v>
      </c>
      <c r="K1764">
        <v>123472</v>
      </c>
      <c r="L1764">
        <v>120374</v>
      </c>
      <c r="M1764">
        <v>120502</v>
      </c>
      <c r="N1764">
        <v>9387600</v>
      </c>
      <c r="O1764">
        <v>120502</v>
      </c>
      <c r="P1764">
        <v>-2.41251690543485E-2</v>
      </c>
      <c r="Q1764">
        <v>-2.44209477753063E-2</v>
      </c>
      <c r="R1764" s="8">
        <v>17.3874187469482</v>
      </c>
      <c r="S1764" s="8">
        <v>-2.5527690425322901E-2</v>
      </c>
      <c r="T1764" s="9">
        <v>-2.5859175446263101E-2</v>
      </c>
      <c r="U1764" s="12">
        <v>7.4689999999999999E-3</v>
      </c>
      <c r="V1764" s="16">
        <v>5.1056999999999997</v>
      </c>
      <c r="W1764" s="17">
        <f t="shared" si="27"/>
        <v>1.7461936901583819E-3</v>
      </c>
    </row>
    <row r="1765" spans="1:23" x14ac:dyDescent="0.2">
      <c r="A1765" s="15">
        <v>44130</v>
      </c>
      <c r="B1765" s="5">
        <v>-108443097593581</v>
      </c>
      <c r="C1765" s="5">
        <f>[1]!nefin_factors__1[[#This Row],[Rm_minus_Rf]]/B1764-1</f>
        <v>-0.75001642145238601</v>
      </c>
      <c r="D1765" s="5">
        <v>-377177195011062</v>
      </c>
      <c r="E1765" s="5">
        <f>[1]!nefin_factors__1[[#This Row],[SMB]]/D1764-1</f>
        <v>-1.4072110842728702</v>
      </c>
      <c r="F1765" s="5">
        <v>-102582607251532</v>
      </c>
      <c r="G1765" s="5">
        <f>[1]!nefin_factors__1[[#This Row],[HML]]/F1764-1</f>
        <v>-1.168749914633203</v>
      </c>
      <c r="H1765" s="5">
        <v>754711249</v>
      </c>
      <c r="I1765" s="6">
        <f>[1]!nefin_factors__1[[#This Row],[Risk_Free]]/H1764-1</f>
        <v>-0.90051325834408713</v>
      </c>
      <c r="J1765">
        <v>120351</v>
      </c>
      <c r="K1765">
        <v>122586</v>
      </c>
      <c r="L1765">
        <v>120351</v>
      </c>
      <c r="M1765">
        <v>121242</v>
      </c>
      <c r="N1765">
        <v>7223100</v>
      </c>
      <c r="O1765">
        <v>121242</v>
      </c>
      <c r="P1765">
        <v>6.1409769132463304E-3</v>
      </c>
      <c r="Q1765">
        <v>6.1221979560682404E-3</v>
      </c>
      <c r="R1765" s="8">
        <v>17.658958435058601</v>
      </c>
      <c r="S1765" s="8">
        <v>1.5617021253256E-2</v>
      </c>
      <c r="T1765" s="9">
        <v>1.54963305083127E-2</v>
      </c>
      <c r="U1765" s="12">
        <v>7.4689999999999999E-3</v>
      </c>
      <c r="V1765" s="16">
        <v>5.0612000000000004</v>
      </c>
      <c r="W1765" s="17">
        <f t="shared" si="27"/>
        <v>-8.7157490647705727E-3</v>
      </c>
    </row>
    <row r="1766" spans="1:23" x14ac:dyDescent="0.2">
      <c r="A1766" s="14">
        <v>44131</v>
      </c>
      <c r="B1766" s="3">
        <v>-124502469275584</v>
      </c>
      <c r="C1766" s="3">
        <f>[1]!nefin_factors__1[[#This Row],[Rm_minus_Rf]]/B1765-1</f>
        <v>0.14809030762095809</v>
      </c>
      <c r="D1766" s="3">
        <v>200680232838617</v>
      </c>
      <c r="E1766" s="3">
        <f>[1]!nefin_factors__1[[#This Row],[SMB]]/D1765-1</f>
        <v>-1.5320582354739962</v>
      </c>
      <c r="F1766" s="3">
        <v>-244194129585196</v>
      </c>
      <c r="G1766" s="3">
        <f>[1]!nefin_factors__1[[#This Row],[HML]]/F1765-1</f>
        <v>1.3804632785988109</v>
      </c>
      <c r="H1766" s="3">
        <v>754711249</v>
      </c>
      <c r="I1766" s="4">
        <f>[1]!nefin_factors__1[[#This Row],[Risk_Free]]/H1765-1</f>
        <v>0</v>
      </c>
      <c r="J1766">
        <v>121250</v>
      </c>
      <c r="K1766">
        <v>122120</v>
      </c>
      <c r="L1766">
        <v>119257</v>
      </c>
      <c r="M1766">
        <v>120673</v>
      </c>
      <c r="N1766">
        <v>7886000</v>
      </c>
      <c r="O1766">
        <v>120673</v>
      </c>
      <c r="P1766">
        <v>-4.6930931525378502E-3</v>
      </c>
      <c r="Q1766">
        <v>-4.7041402912591903E-3</v>
      </c>
      <c r="R1766" s="8">
        <v>17.4049377441406</v>
      </c>
      <c r="S1766" s="8">
        <v>-1.4384805981176E-2</v>
      </c>
      <c r="T1766" s="9">
        <v>-1.4489270312348399E-2</v>
      </c>
      <c r="U1766" s="12">
        <v>7.4689999999999999E-3</v>
      </c>
      <c r="V1766" s="16">
        <v>5.0986000000000002</v>
      </c>
      <c r="W1766" s="17">
        <f t="shared" si="27"/>
        <v>7.3895518849285136E-3</v>
      </c>
    </row>
    <row r="1767" spans="1:23" x14ac:dyDescent="0.2">
      <c r="A1767" s="15">
        <v>44132</v>
      </c>
      <c r="B1767" s="5">
        <v>-411264647953648</v>
      </c>
      <c r="C1767" s="5">
        <f>[1]!nefin_factors__1[[#This Row],[Rm_minus_Rf]]/B1766-1</f>
        <v>2.3032649902173508</v>
      </c>
      <c r="D1767" s="5">
        <v>-244374726012226</v>
      </c>
      <c r="E1767" s="5">
        <f>[1]!nefin_factors__1[[#This Row],[SMB]]/D1766-1</f>
        <v>-2.2177319238449718</v>
      </c>
      <c r="F1767" s="5">
        <v>-161149694657041</v>
      </c>
      <c r="G1767" s="5">
        <f>[1]!nefin_factors__1[[#This Row],[HML]]/F1766-1</f>
        <v>-0.34007547629920365</v>
      </c>
      <c r="H1767" s="5">
        <v>754711249</v>
      </c>
      <c r="I1767" s="6">
        <f>[1]!nefin_factors__1[[#This Row],[Risk_Free]]/H1766-1</f>
        <v>0</v>
      </c>
      <c r="J1767">
        <v>120645</v>
      </c>
      <c r="K1767">
        <v>121449</v>
      </c>
      <c r="L1767">
        <v>118740</v>
      </c>
      <c r="M1767">
        <v>119708</v>
      </c>
      <c r="N1767">
        <v>7947300</v>
      </c>
      <c r="O1767">
        <v>119708</v>
      </c>
      <c r="P1767">
        <v>-7.9968178465771294E-3</v>
      </c>
      <c r="Q1767">
        <v>-8.0289638864588196E-3</v>
      </c>
      <c r="R1767" s="8">
        <v>17.343620300293001</v>
      </c>
      <c r="S1767" s="8">
        <v>-3.5229912769034798E-3</v>
      </c>
      <c r="T1767" s="9">
        <v>-3.5292116244559899E-3</v>
      </c>
      <c r="U1767" s="12">
        <v>7.4689999999999999E-3</v>
      </c>
      <c r="V1767" s="16">
        <v>5.1571999999999996</v>
      </c>
      <c r="W1767" s="17">
        <f t="shared" si="27"/>
        <v>1.1493351115992478E-2</v>
      </c>
    </row>
    <row r="1768" spans="1:23" x14ac:dyDescent="0.2">
      <c r="A1768" s="14">
        <v>44133</v>
      </c>
      <c r="B1768" s="3">
        <v>809323959030063</v>
      </c>
      <c r="C1768" s="3">
        <f>[1]!nefin_factors__1[[#This Row],[Rm_minus_Rf]]/B1767-1</f>
        <v>-2.9678909020190782</v>
      </c>
      <c r="D1768" s="3">
        <v>989248451596262</v>
      </c>
      <c r="E1768" s="3">
        <f>[1]!nefin_factors__1[[#This Row],[SMB]]/D1767-1</f>
        <v>-5.0480800438698807</v>
      </c>
      <c r="F1768" s="3">
        <v>118021455224317</v>
      </c>
      <c r="G1768" s="3">
        <f>[1]!nefin_factors__1[[#This Row],[HML]]/F1767-1</f>
        <v>-1.7323715721304369</v>
      </c>
      <c r="H1768" s="3">
        <v>7469229029</v>
      </c>
      <c r="I1768" s="4">
        <f>[1]!nefin_factors__1[[#This Row],[Risk_Free]]/H1767-1</f>
        <v>8.8968036303908331</v>
      </c>
      <c r="J1768">
        <v>119628</v>
      </c>
      <c r="K1768">
        <v>120243</v>
      </c>
      <c r="L1768">
        <v>117785</v>
      </c>
      <c r="M1768">
        <v>118443</v>
      </c>
      <c r="N1768">
        <v>8573900</v>
      </c>
      <c r="O1768">
        <v>118443</v>
      </c>
      <c r="P1768">
        <v>-1.0567380626190399E-2</v>
      </c>
      <c r="Q1768">
        <v>-1.0623611888438E-2</v>
      </c>
      <c r="R1768" s="8">
        <v>16.870613098144499</v>
      </c>
      <c r="S1768" s="8">
        <v>-2.7272691281211198E-2</v>
      </c>
      <c r="T1768" s="9">
        <v>-2.7651494329886801E-2</v>
      </c>
      <c r="U1768" s="12">
        <v>7.4689999999999999E-3</v>
      </c>
      <c r="V1768" s="16">
        <v>5.1473000000000004</v>
      </c>
      <c r="W1768" s="17">
        <f t="shared" si="27"/>
        <v>-1.9196463197082014E-3</v>
      </c>
    </row>
    <row r="1769" spans="1:23" x14ac:dyDescent="0.2">
      <c r="A1769" s="15">
        <v>44134</v>
      </c>
      <c r="B1769" s="5">
        <v>-288425555658553</v>
      </c>
      <c r="C1769" s="5">
        <f>[1]!nefin_factors__1[[#This Row],[Rm_minus_Rf]]/B1768-1</f>
        <v>-1.3563783728881789</v>
      </c>
      <c r="D1769" s="5">
        <v>-780481332379074</v>
      </c>
      <c r="E1769" s="5">
        <f>[1]!nefin_factors__1[[#This Row],[SMB]]/D1768-1</f>
        <v>-1.7889639161119544</v>
      </c>
      <c r="F1769" s="5">
        <v>-274619673954336</v>
      </c>
      <c r="G1769" s="5">
        <f>[1]!nefin_factors__1[[#This Row],[HML]]/F1768-1</f>
        <v>-3.3268622932362697</v>
      </c>
      <c r="H1769" s="5">
        <v>7508172664</v>
      </c>
      <c r="I1769" s="6">
        <f>[1]!nefin_factors__1[[#This Row],[Risk_Free]]/H1768-1</f>
        <v>5.2138761375233322E-3</v>
      </c>
      <c r="J1769">
        <v>118318</v>
      </c>
      <c r="K1769">
        <v>118318</v>
      </c>
      <c r="L1769">
        <v>116109</v>
      </c>
      <c r="M1769">
        <v>117172</v>
      </c>
      <c r="N1769">
        <v>9373100</v>
      </c>
      <c r="O1769">
        <v>117172</v>
      </c>
      <c r="P1769">
        <v>-1.0730900095404601E-2</v>
      </c>
      <c r="Q1769">
        <v>-1.07888914432018E-2</v>
      </c>
      <c r="R1769" s="8">
        <v>16.029710769653299</v>
      </c>
      <c r="S1769" s="8">
        <v>-4.98442068227914E-2</v>
      </c>
      <c r="T1769" s="9">
        <v>-5.1129315014788498E-2</v>
      </c>
      <c r="U1769" s="12">
        <v>7.4689999999999999E-3</v>
      </c>
      <c r="V1769" s="16">
        <v>5.1740000000000004</v>
      </c>
      <c r="W1769" s="17">
        <f t="shared" si="27"/>
        <v>5.1871855147358481E-3</v>
      </c>
    </row>
    <row r="1770" spans="1:23" x14ac:dyDescent="0.2">
      <c r="A1770" s="14">
        <v>44138</v>
      </c>
      <c r="B1770" s="3">
        <v>223355735964979</v>
      </c>
      <c r="C1770" s="3">
        <f>[1]!nefin_factors__1[[#This Row],[Rm_minus_Rf]]/B1769-1</f>
        <v>-1.7743964831930301</v>
      </c>
      <c r="D1770" s="3">
        <v>-27435562622851</v>
      </c>
      <c r="E1770" s="3">
        <f>[1]!nefin_factors__1[[#This Row],[SMB]]/D1769-1</f>
        <v>-0.96484789387694703</v>
      </c>
      <c r="F1770" s="3">
        <v>141125557246355</v>
      </c>
      <c r="G1770" s="3">
        <f>[1]!nefin_factors__1[[#This Row],[HML]]/F1769-1</f>
        <v>-1.5138945626664078</v>
      </c>
      <c r="H1770" s="3">
        <v>7586048517</v>
      </c>
      <c r="I1770" s="4">
        <f>[1]!nefin_factors__1[[#This Row],[Risk_Free]]/H1769-1</f>
        <v>1.0372144659565041E-2</v>
      </c>
      <c r="J1770">
        <v>117381</v>
      </c>
      <c r="K1770">
        <v>119167</v>
      </c>
      <c r="L1770">
        <v>116109</v>
      </c>
      <c r="M1770">
        <v>116464</v>
      </c>
      <c r="N1770">
        <v>10681400</v>
      </c>
      <c r="O1770">
        <v>116464</v>
      </c>
      <c r="P1770">
        <v>-6.0423992080018696E-3</v>
      </c>
      <c r="Q1770">
        <v>-6.0607283741542003E-3</v>
      </c>
      <c r="R1770" s="8">
        <v>15.276400566101101</v>
      </c>
      <c r="S1770" s="8">
        <v>-4.6994622322093102E-2</v>
      </c>
      <c r="T1770" s="9">
        <v>-4.8134732449934797E-2</v>
      </c>
      <c r="U1770" s="12">
        <v>7.4689999999999999E-3</v>
      </c>
      <c r="V1770" s="16">
        <v>5.18</v>
      </c>
      <c r="W1770" s="17">
        <f t="shared" si="27"/>
        <v>1.1596443757246888E-3</v>
      </c>
    </row>
    <row r="1771" spans="1:23" x14ac:dyDescent="0.2">
      <c r="A1771" s="15">
        <v>44139</v>
      </c>
      <c r="B1771" s="5">
        <v>204996330370926</v>
      </c>
      <c r="C1771" s="5">
        <f>[1]!nefin_factors__1[[#This Row],[Rm_minus_Rf]]/B1770-1</f>
        <v>-8.2198048394564904E-2</v>
      </c>
      <c r="D1771" s="5">
        <v>855169290244565</v>
      </c>
      <c r="E1771" s="5">
        <f>[1]!nefin_factors__1[[#This Row],[SMB]]/D1770-1</f>
        <v>-32.170102177248481</v>
      </c>
      <c r="F1771" s="5">
        <v>-128807050650867</v>
      </c>
      <c r="G1771" s="5">
        <f>[1]!nefin_factors__1[[#This Row],[HML]]/F1770-1</f>
        <v>-1.9127124325611393</v>
      </c>
      <c r="H1771" s="5">
        <v>754711249</v>
      </c>
      <c r="I1771" s="6">
        <f>[1]!nefin_factors__1[[#This Row],[Risk_Free]]/H1770-1</f>
        <v>-0.90051325834408713</v>
      </c>
      <c r="J1771">
        <v>116463</v>
      </c>
      <c r="K1771">
        <v>117840</v>
      </c>
      <c r="L1771">
        <v>114887</v>
      </c>
      <c r="M1771">
        <v>115882</v>
      </c>
      <c r="N1771">
        <v>12380400</v>
      </c>
      <c r="O1771">
        <v>115882</v>
      </c>
      <c r="P1771">
        <v>-4.9972523698310596E-3</v>
      </c>
      <c r="Q1771">
        <v>-5.00978039000133E-3</v>
      </c>
      <c r="R1771" s="8">
        <v>15.784446716308601</v>
      </c>
      <c r="S1771" s="8">
        <v>3.3256927769679902E-2</v>
      </c>
      <c r="T1771" s="9">
        <v>3.2715879221178398E-2</v>
      </c>
      <c r="U1771" s="12">
        <v>7.4689999999999999E-3</v>
      </c>
      <c r="V1771" s="16">
        <v>5.2389999999999999</v>
      </c>
      <c r="W1771" s="17">
        <f t="shared" si="27"/>
        <v>1.1389961389961512E-2</v>
      </c>
    </row>
    <row r="1772" spans="1:23" x14ac:dyDescent="0.2">
      <c r="A1772" s="14">
        <v>44140</v>
      </c>
      <c r="B1772" s="3">
        <v>289561090472837</v>
      </c>
      <c r="C1772" s="3">
        <f>[1]!nefin_factors__1[[#This Row],[Rm_minus_Rf]]/B1771-1</f>
        <v>0.41251840922662963</v>
      </c>
      <c r="D1772" s="3">
        <v>-646158147406797</v>
      </c>
      <c r="E1772" s="3">
        <f>[1]!nefin_factors__1[[#This Row],[SMB]]/D1771-1</f>
        <v>-1.7555909160652927</v>
      </c>
      <c r="F1772" s="3">
        <v>-157406132560306</v>
      </c>
      <c r="G1772" s="3">
        <f>[1]!nefin_factors__1[[#This Row],[HML]]/F1771-1</f>
        <v>0.22203040722481204</v>
      </c>
      <c r="H1772" s="3">
        <v>7508172664</v>
      </c>
      <c r="I1772" s="4">
        <f>[1]!nefin_factors__1[[#This Row],[Risk_Free]]/H1771-1</f>
        <v>8.9484043386770828</v>
      </c>
      <c r="J1772">
        <v>115882</v>
      </c>
      <c r="K1772">
        <v>119314</v>
      </c>
      <c r="L1772">
        <v>115734</v>
      </c>
      <c r="M1772">
        <v>119314</v>
      </c>
      <c r="N1772">
        <v>12065900</v>
      </c>
      <c r="O1772">
        <v>119314</v>
      </c>
      <c r="P1772">
        <v>2.9616333856854499E-2</v>
      </c>
      <c r="Q1772">
        <v>2.9186241448277798E-2</v>
      </c>
      <c r="R1772" s="8">
        <v>16.853094100952099</v>
      </c>
      <c r="S1772" s="8">
        <v>6.7702555803835801E-2</v>
      </c>
      <c r="T1772" s="9">
        <v>6.5509195946408097E-2</v>
      </c>
      <c r="U1772" s="12">
        <v>7.4689999999999999E-3</v>
      </c>
      <c r="V1772" s="16">
        <v>5.1942000000000004</v>
      </c>
      <c r="W1772" s="17">
        <f t="shared" si="27"/>
        <v>-8.5512502385950429E-3</v>
      </c>
    </row>
    <row r="1773" spans="1:23" x14ac:dyDescent="0.2">
      <c r="A1773" s="15">
        <v>44141</v>
      </c>
      <c r="B1773" s="5">
        <v>148817822387927</v>
      </c>
      <c r="C1773" s="5">
        <f>[1]!nefin_factors__1[[#This Row],[Rm_minus_Rf]]/B1772-1</f>
        <v>-0.4860572525648531</v>
      </c>
      <c r="D1773" s="5">
        <v>292328363374324</v>
      </c>
      <c r="E1773" s="5">
        <f>[1]!nefin_factors__1[[#This Row],[SMB]]/D1772-1</f>
        <v>-1.4524099317597632</v>
      </c>
      <c r="F1773" s="5">
        <v>910505694340348</v>
      </c>
      <c r="G1773" s="5">
        <f>[1]!nefin_factors__1[[#This Row],[HML]]/F1772-1</f>
        <v>-6.7844359652983135</v>
      </c>
      <c r="H1773" s="5">
        <v>7508172664</v>
      </c>
      <c r="I1773" s="6">
        <f>[1]!nefin_factors__1[[#This Row],[Risk_Free]]/H1772-1</f>
        <v>0</v>
      </c>
      <c r="J1773">
        <v>118880</v>
      </c>
      <c r="K1773">
        <v>118880</v>
      </c>
      <c r="L1773">
        <v>115299</v>
      </c>
      <c r="M1773">
        <v>116007</v>
      </c>
      <c r="N1773">
        <v>10965200</v>
      </c>
      <c r="O1773">
        <v>116007</v>
      </c>
      <c r="P1773">
        <v>-2.77167809309888E-2</v>
      </c>
      <c r="Q1773">
        <v>-2.8108139320903499E-2</v>
      </c>
      <c r="R1773" s="8">
        <v>16.677906036376999</v>
      </c>
      <c r="S1773" s="8">
        <v>-1.0395008983264301E-2</v>
      </c>
      <c r="T1773" s="9">
        <v>-1.0449414447765801E-2</v>
      </c>
      <c r="U1773" s="12">
        <v>7.4689999999999999E-3</v>
      </c>
      <c r="V1773" s="16">
        <v>5.1966999999999999</v>
      </c>
      <c r="W1773" s="17">
        <f t="shared" si="27"/>
        <v>4.8130607215735033E-4</v>
      </c>
    </row>
    <row r="1774" spans="1:23" x14ac:dyDescent="0.2">
      <c r="A1774" s="14">
        <v>44144</v>
      </c>
      <c r="B1774" s="3">
        <v>229397358320255</v>
      </c>
      <c r="C1774" s="3">
        <f>[1]!nefin_factors__1[[#This Row],[Rm_minus_Rf]]/B1773-1</f>
        <v>0.54146428592591134</v>
      </c>
      <c r="D1774" s="3">
        <v>-273352842679988</v>
      </c>
      <c r="E1774" s="3">
        <f>[1]!nefin_factors__1[[#This Row],[SMB]]/D1773-1</f>
        <v>-1.9350883353387163</v>
      </c>
      <c r="F1774" s="3">
        <v>808599649762596</v>
      </c>
      <c r="G1774" s="3">
        <f>[1]!nefin_factors__1[[#This Row],[HML]]/F1773-1</f>
        <v>-0.11192246815280149</v>
      </c>
      <c r="H1774" s="3">
        <v>754711249</v>
      </c>
      <c r="I1774" s="4">
        <f>[1]!nefin_factors__1[[#This Row],[Risk_Free]]/H1773-1</f>
        <v>-0.89948136746792318</v>
      </c>
      <c r="J1774">
        <v>115093</v>
      </c>
      <c r="K1774">
        <v>117862</v>
      </c>
      <c r="L1774">
        <v>115093</v>
      </c>
      <c r="M1774">
        <v>117365</v>
      </c>
      <c r="N1774">
        <v>8716500</v>
      </c>
      <c r="O1774">
        <v>117365</v>
      </c>
      <c r="P1774">
        <v>1.17061901436981E-2</v>
      </c>
      <c r="Q1774">
        <v>1.1638202767575399E-2</v>
      </c>
      <c r="R1774" s="8">
        <v>16.853094100952099</v>
      </c>
      <c r="S1774" s="8">
        <v>1.05042002391118E-2</v>
      </c>
      <c r="T1774" s="9">
        <v>1.04494144477657E-2</v>
      </c>
      <c r="U1774" s="12">
        <v>7.4689999999999999E-3</v>
      </c>
      <c r="V1774" s="16">
        <v>5.1966999999999999</v>
      </c>
      <c r="W1774" s="17">
        <f t="shared" si="27"/>
        <v>0</v>
      </c>
    </row>
    <row r="1775" spans="1:23" x14ac:dyDescent="0.2">
      <c r="A1775" s="15">
        <v>44145</v>
      </c>
      <c r="B1775" s="5">
        <v>125874676848247</v>
      </c>
      <c r="C1775" s="5">
        <f>[1]!nefin_factors__1[[#This Row],[Rm_minus_Rf]]/B1774-1</f>
        <v>-0.45128105323463663</v>
      </c>
      <c r="D1775" s="5">
        <v>-395388285048565</v>
      </c>
      <c r="E1775" s="5">
        <f>[1]!nefin_factors__1[[#This Row],[SMB]]/D1774-1</f>
        <v>0.44643926572017745</v>
      </c>
      <c r="F1775" s="5">
        <v>-787764436158643</v>
      </c>
      <c r="G1775" s="5">
        <f>[1]!nefin_factors__1[[#This Row],[HML]]/F1774-1</f>
        <v>-1.9742329673156918</v>
      </c>
      <c r="H1775" s="5">
        <v>754711249</v>
      </c>
      <c r="I1775" s="6">
        <f>[1]!nefin_factors__1[[#This Row],[Risk_Free]]/H1774-1</f>
        <v>0</v>
      </c>
      <c r="J1775">
        <v>117520</v>
      </c>
      <c r="K1775">
        <v>119805</v>
      </c>
      <c r="L1775">
        <v>117519</v>
      </c>
      <c r="M1775">
        <v>118234</v>
      </c>
      <c r="N1775">
        <v>11625900</v>
      </c>
      <c r="O1775">
        <v>118234</v>
      </c>
      <c r="P1775">
        <v>7.4042516934349498E-3</v>
      </c>
      <c r="Q1775">
        <v>7.3769747825229897E-3</v>
      </c>
      <c r="R1775" s="8">
        <v>17.492530822753899</v>
      </c>
      <c r="S1775" s="8">
        <v>3.7941799765161897E-2</v>
      </c>
      <c r="T1775" s="9">
        <v>3.72397135813358E-2</v>
      </c>
      <c r="U1775" s="12">
        <v>7.4689999999999999E-3</v>
      </c>
      <c r="V1775" s="16">
        <v>5.1626000000000003</v>
      </c>
      <c r="W1775" s="17">
        <f t="shared" si="27"/>
        <v>-6.5618565628186021E-3</v>
      </c>
    </row>
    <row r="1776" spans="1:23" x14ac:dyDescent="0.2">
      <c r="A1776" s="14">
        <v>44146</v>
      </c>
      <c r="B1776" s="3">
        <v>-439986602650825</v>
      </c>
      <c r="C1776" s="3">
        <f>[1]!nefin_factors__1[[#This Row],[Rm_minus_Rf]]/B1775-1</f>
        <v>-4.4954338209048004</v>
      </c>
      <c r="D1776" s="3">
        <v>213133682639203</v>
      </c>
      <c r="E1776" s="3">
        <f>[1]!nefin_factors__1[[#This Row],[SMB]]/D1775-1</f>
        <v>-1.5390490580999994</v>
      </c>
      <c r="F1776" s="3">
        <v>201516679890478</v>
      </c>
      <c r="G1776" s="3">
        <f>[1]!nefin_factors__1[[#This Row],[HML]]/F1775-1</f>
        <v>-1.2558082983196461</v>
      </c>
      <c r="H1776" s="3">
        <v>754711249</v>
      </c>
      <c r="I1776" s="4">
        <f>[1]!nefin_factors__1[[#This Row],[Risk_Free]]/H1775-1</f>
        <v>0</v>
      </c>
      <c r="J1776">
        <v>118235</v>
      </c>
      <c r="K1776">
        <v>120210</v>
      </c>
      <c r="L1776">
        <v>118234</v>
      </c>
      <c r="M1776">
        <v>119725</v>
      </c>
      <c r="N1776">
        <v>8704300</v>
      </c>
      <c r="O1776">
        <v>119725</v>
      </c>
      <c r="P1776">
        <v>1.2610585787506101E-2</v>
      </c>
      <c r="Q1776">
        <v>1.25317345652994E-2</v>
      </c>
      <c r="R1776" s="8">
        <v>17.0983562469482</v>
      </c>
      <c r="S1776" s="8">
        <v>-2.2533879162466901E-2</v>
      </c>
      <c r="T1776" s="9">
        <v>-2.2791646712988799E-2</v>
      </c>
      <c r="U1776" s="12">
        <v>7.4689999999999999E-3</v>
      </c>
      <c r="V1776" s="16">
        <v>5.3269000000000002</v>
      </c>
      <c r="W1776" s="17">
        <f t="shared" si="27"/>
        <v>3.182504939371622E-2</v>
      </c>
    </row>
    <row r="1777" spans="1:23" x14ac:dyDescent="0.2">
      <c r="A1777" s="15">
        <v>44147</v>
      </c>
      <c r="B1777" s="5">
        <v>-200708474649523</v>
      </c>
      <c r="C1777" s="5">
        <f>[1]!nefin_factors__1[[#This Row],[Rm_minus_Rf]]/B1776-1</f>
        <v>-0.54383048610958284</v>
      </c>
      <c r="D1777" s="5">
        <v>-517372005175864</v>
      </c>
      <c r="E1777" s="5">
        <f>[1]!nefin_factors__1[[#This Row],[SMB]]/D1776-1</f>
        <v>-3.4274530368420546</v>
      </c>
      <c r="F1777" s="5">
        <v>-491440160166316</v>
      </c>
      <c r="G1777" s="5">
        <f>[1]!nefin_factors__1[[#This Row],[HML]]/F1776-1</f>
        <v>-3.4387071106640308</v>
      </c>
      <c r="H1777" s="5">
        <v>754711249</v>
      </c>
      <c r="I1777" s="6">
        <f>[1]!nefin_factors__1[[#This Row],[Risk_Free]]/H1776-1</f>
        <v>0</v>
      </c>
      <c r="J1777">
        <v>119728</v>
      </c>
      <c r="K1777">
        <v>120560</v>
      </c>
      <c r="L1777">
        <v>118918</v>
      </c>
      <c r="M1777">
        <v>119261</v>
      </c>
      <c r="N1777">
        <v>8100700</v>
      </c>
      <c r="O1777">
        <v>119261</v>
      </c>
      <c r="P1777">
        <v>-3.8755481311338901E-3</v>
      </c>
      <c r="Q1777">
        <v>-3.8830775277808199E-3</v>
      </c>
      <c r="R1777" s="8">
        <v>17.615161895751999</v>
      </c>
      <c r="S1777" s="8">
        <v>3.02254580112606E-2</v>
      </c>
      <c r="T1777" s="9">
        <v>2.9777669561413599E-2</v>
      </c>
      <c r="U1777" s="12">
        <v>7.4689999999999999E-3</v>
      </c>
      <c r="V1777" s="16">
        <v>5.3182</v>
      </c>
      <c r="W1777" s="17">
        <f t="shared" si="27"/>
        <v>-1.6332200717115164E-3</v>
      </c>
    </row>
    <row r="1778" spans="1:23" x14ac:dyDescent="0.2">
      <c r="A1778" s="14">
        <v>44148</v>
      </c>
      <c r="B1778" s="3">
        <v>221441117505665</v>
      </c>
      <c r="C1778" s="3">
        <f>[1]!nefin_factors__1[[#This Row],[Rm_minus_Rf]]/B1777-1</f>
        <v>-2.1032972967003278</v>
      </c>
      <c r="D1778" s="3">
        <v>51562663076443</v>
      </c>
      <c r="E1778" s="3">
        <f>[1]!nefin_factors__1[[#This Row],[SMB]]/D1777-1</f>
        <v>-1.0996626461435923</v>
      </c>
      <c r="F1778" s="3">
        <v>393824477189493</v>
      </c>
      <c r="G1778" s="3">
        <f>[1]!nefin_factors__1[[#This Row],[HML]]/F1777-1</f>
        <v>-1.8013681198870941</v>
      </c>
      <c r="H1778" s="3">
        <v>754711249</v>
      </c>
      <c r="I1778" s="4">
        <f>[1]!nefin_factors__1[[#This Row],[Risk_Free]]/H1777-1</f>
        <v>0</v>
      </c>
      <c r="J1778">
        <v>119261</v>
      </c>
      <c r="K1778">
        <v>121117</v>
      </c>
      <c r="L1778">
        <v>119261</v>
      </c>
      <c r="M1778">
        <v>119925</v>
      </c>
      <c r="N1778">
        <v>8208400</v>
      </c>
      <c r="O1778">
        <v>119925</v>
      </c>
      <c r="P1778">
        <v>5.5676205968422402E-3</v>
      </c>
      <c r="Q1778">
        <v>5.5521786872353603E-3</v>
      </c>
      <c r="R1778" s="8">
        <v>17.492530822753899</v>
      </c>
      <c r="S1778" s="8">
        <v>-6.9616773166086797E-3</v>
      </c>
      <c r="T1778" s="9">
        <v>-6.9860228484247998E-3</v>
      </c>
      <c r="U1778" s="12">
        <v>7.4689999999999999E-3</v>
      </c>
      <c r="V1778" s="16">
        <v>5.3433000000000002</v>
      </c>
      <c r="W1778" s="17">
        <f t="shared" si="27"/>
        <v>4.7196419841299964E-3</v>
      </c>
    </row>
    <row r="1779" spans="1:23" x14ac:dyDescent="0.2">
      <c r="A1779" s="15">
        <v>44151</v>
      </c>
      <c r="B1779" s="5">
        <v>140563785630488</v>
      </c>
      <c r="C1779" s="5">
        <f>[1]!nefin_factors__1[[#This Row],[Rm_minus_Rf]]/B1778-1</f>
        <v>-0.36523177260929407</v>
      </c>
      <c r="D1779" s="5">
        <v>-839484733613624</v>
      </c>
      <c r="E1779" s="5">
        <f>[1]!nefin_factors__1[[#This Row],[SMB]]/D1778-1</f>
        <v>-17.280864554436722</v>
      </c>
      <c r="F1779" s="5">
        <v>953255288835933</v>
      </c>
      <c r="G1779" s="5">
        <f>[1]!nefin_factors__1[[#This Row],[HML]]/F1778-1</f>
        <v>1.4205079776625049</v>
      </c>
      <c r="H1779" s="5">
        <v>754711249</v>
      </c>
      <c r="I1779" s="6">
        <f>[1]!nefin_factors__1[[#This Row],[Risk_Free]]/H1778-1</f>
        <v>0</v>
      </c>
      <c r="J1779">
        <v>120239</v>
      </c>
      <c r="K1779">
        <v>120844</v>
      </c>
      <c r="L1779">
        <v>119140</v>
      </c>
      <c r="M1779">
        <v>119516</v>
      </c>
      <c r="N1779">
        <v>8619100</v>
      </c>
      <c r="O1779">
        <v>119516</v>
      </c>
      <c r="P1779">
        <v>-3.4104648738795301E-3</v>
      </c>
      <c r="Q1779">
        <v>-3.4162937658016698E-3</v>
      </c>
      <c r="R1779" s="8">
        <v>17.4049377441406</v>
      </c>
      <c r="S1779" s="8">
        <v>-5.0074560108445097E-3</v>
      </c>
      <c r="T1779" s="9">
        <v>-5.0200353298562204E-3</v>
      </c>
      <c r="U1779" s="12">
        <v>7.4689999999999999E-3</v>
      </c>
      <c r="V1779" s="16">
        <v>5.3682999999999996</v>
      </c>
      <c r="W1779" s="17">
        <f t="shared" si="27"/>
        <v>4.6787565736527981E-3</v>
      </c>
    </row>
    <row r="1780" spans="1:23" x14ac:dyDescent="0.2">
      <c r="A1780" s="14">
        <v>44152</v>
      </c>
      <c r="B1780" s="3">
        <v>715279259172285</v>
      </c>
      <c r="C1780" s="3">
        <f>[1]!nefin_factors__1[[#This Row],[Rm_minus_Rf]]/B1779-1</f>
        <v>4.0886453858933516</v>
      </c>
      <c r="D1780" s="3">
        <v>237587955025204</v>
      </c>
      <c r="E1780" s="3">
        <f>[1]!nefin_factors__1[[#This Row],[SMB]]/D1779-1</f>
        <v>-1.2830164093663612</v>
      </c>
      <c r="F1780" s="3">
        <v>348183301671571</v>
      </c>
      <c r="G1780" s="3">
        <f>[1]!nefin_factors__1[[#This Row],[HML]]/F1779-1</f>
        <v>-0.63474285876057945</v>
      </c>
      <c r="H1780" s="3">
        <v>754711249</v>
      </c>
      <c r="I1780" s="4">
        <f>[1]!nefin_factors__1[[#This Row],[Risk_Free]]/H1779-1</f>
        <v>0</v>
      </c>
      <c r="J1780">
        <v>119696</v>
      </c>
      <c r="K1780">
        <v>119975</v>
      </c>
      <c r="L1780">
        <v>118246</v>
      </c>
      <c r="M1780">
        <v>119429</v>
      </c>
      <c r="N1780">
        <v>7913500</v>
      </c>
      <c r="O1780">
        <v>119429</v>
      </c>
      <c r="P1780">
        <v>-7.2793600856790896E-4</v>
      </c>
      <c r="Q1780">
        <v>-7.2820108262996997E-4</v>
      </c>
      <c r="R1780" s="8">
        <v>17.2297477722168</v>
      </c>
      <c r="S1780" s="8">
        <v>-1.0065532810239799E-2</v>
      </c>
      <c r="T1780" s="9">
        <v>-1.0116532802289101E-2</v>
      </c>
      <c r="U1780" s="12">
        <v>7.4689999999999999E-3</v>
      </c>
      <c r="V1780" s="16">
        <v>5.4965999999999999</v>
      </c>
      <c r="W1780" s="17">
        <f t="shared" si="27"/>
        <v>2.3899558519456798E-2</v>
      </c>
    </row>
    <row r="1781" spans="1:23" x14ac:dyDescent="0.2">
      <c r="A1781" s="15">
        <v>44153</v>
      </c>
      <c r="B1781" s="5">
        <v>-111607055193474</v>
      </c>
      <c r="C1781" s="5">
        <f>[1]!nefin_factors__1[[#This Row],[Rm_minus_Rf]]/B1780-1</f>
        <v>-1.1560328413864882</v>
      </c>
      <c r="D1781" s="5">
        <v>249971626932966</v>
      </c>
      <c r="E1781" s="5">
        <f>[1]!nefin_factors__1[[#This Row],[SMB]]/D1780-1</f>
        <v>5.2122473575936468E-2</v>
      </c>
      <c r="F1781" s="5">
        <v>3176554813.5160098</v>
      </c>
      <c r="G1781" s="5">
        <f>[1]!nefin_factors__1[[#This Row],[HML]]/F1780-1</f>
        <v>-0.99999087677439369</v>
      </c>
      <c r="H1781" s="5">
        <v>754711249</v>
      </c>
      <c r="I1781" s="6">
        <f>[1]!nefin_factors__1[[#This Row],[Risk_Free]]/H1780-1</f>
        <v>0</v>
      </c>
      <c r="J1781">
        <v>119472</v>
      </c>
      <c r="K1781">
        <v>119738</v>
      </c>
      <c r="L1781">
        <v>117970</v>
      </c>
      <c r="M1781">
        <v>118430</v>
      </c>
      <c r="N1781">
        <v>8644600</v>
      </c>
      <c r="O1781">
        <v>118430</v>
      </c>
      <c r="P1781">
        <v>-8.3648025186512393E-3</v>
      </c>
      <c r="Q1781">
        <v>-8.3999838062923209E-3</v>
      </c>
      <c r="R1781" s="8">
        <v>16.844335556030298</v>
      </c>
      <c r="S1781" s="8">
        <v>-2.2368999319189498E-2</v>
      </c>
      <c r="T1781" s="9">
        <v>-2.26229800602138E-2</v>
      </c>
      <c r="U1781" s="12">
        <v>7.4689999999999999E-3</v>
      </c>
      <c r="V1781" s="16">
        <v>5.4637000000000002</v>
      </c>
      <c r="W1781" s="17">
        <f t="shared" si="27"/>
        <v>-5.9855183204161611E-3</v>
      </c>
    </row>
    <row r="1782" spans="1:23" x14ac:dyDescent="0.2">
      <c r="A1782" s="14">
        <v>44154</v>
      </c>
      <c r="B1782" s="3">
        <v>354770697277043</v>
      </c>
      <c r="C1782" s="3">
        <f>[1]!nefin_factors__1[[#This Row],[Rm_minus_Rf]]/B1781-1</f>
        <v>-4.1787479444022413</v>
      </c>
      <c r="D1782" s="3">
        <v>608868258143506</v>
      </c>
      <c r="E1782" s="3">
        <f>[1]!nefin_factors__1[[#This Row],[SMB]]/D1781-1</f>
        <v>1.4357494713061336</v>
      </c>
      <c r="F1782" s="3">
        <v>-242525620381674</v>
      </c>
      <c r="G1782" s="3">
        <f>[1]!nefin_factors__1[[#This Row],[HML]]/F1781-1</f>
        <v>-76349.633856322936</v>
      </c>
      <c r="H1782" s="3">
        <v>754711249</v>
      </c>
      <c r="I1782" s="4">
        <f>[1]!nefin_factors__1[[#This Row],[Risk_Free]]/H1781-1</f>
        <v>0</v>
      </c>
      <c r="J1782">
        <v>118440</v>
      </c>
      <c r="K1782">
        <v>120283</v>
      </c>
      <c r="L1782">
        <v>118440</v>
      </c>
      <c r="M1782">
        <v>119235</v>
      </c>
      <c r="N1782">
        <v>7567400</v>
      </c>
      <c r="O1782">
        <v>119235</v>
      </c>
      <c r="P1782">
        <v>6.7972642067044599E-3</v>
      </c>
      <c r="Q1782">
        <v>6.7742669597820396E-3</v>
      </c>
      <c r="R1782" s="8">
        <v>16.511476516723601</v>
      </c>
      <c r="S1782" s="8">
        <v>-1.9760888650041001E-2</v>
      </c>
      <c r="T1782" s="9">
        <v>-1.99587459050974E-2</v>
      </c>
      <c r="U1782" s="12">
        <v>7.4689999999999999E-3</v>
      </c>
      <c r="V1782" s="16">
        <v>5.3070000000000004</v>
      </c>
      <c r="W1782" s="17">
        <f t="shared" si="27"/>
        <v>-2.8680198400351409E-2</v>
      </c>
    </row>
    <row r="1783" spans="1:23" x14ac:dyDescent="0.2">
      <c r="A1783" s="15">
        <v>44155</v>
      </c>
      <c r="B1783" s="5">
        <v>-619281798613357</v>
      </c>
      <c r="C1783" s="5">
        <f>[1]!nefin_factors__1[[#This Row],[Rm_minus_Rf]]/B1782-1</f>
        <v>-2.7455832834180081</v>
      </c>
      <c r="D1783" s="5">
        <v>911932453293447</v>
      </c>
      <c r="E1783" s="5">
        <f>[1]!nefin_factors__1[[#This Row],[SMB]]/D1782-1</f>
        <v>0.4977500322877908</v>
      </c>
      <c r="F1783" s="5">
        <v>180656575423239</v>
      </c>
      <c r="G1783" s="5">
        <f>[1]!nefin_factors__1[[#This Row],[HML]]/F1782-1</f>
        <v>-1.7448968696129143</v>
      </c>
      <c r="H1783" s="5">
        <v>7586048517</v>
      </c>
      <c r="I1783" s="6">
        <f>[1]!nefin_factors__1[[#This Row],[Risk_Free]]/H1782-1</f>
        <v>9.051590627609686</v>
      </c>
      <c r="J1783">
        <v>119300</v>
      </c>
      <c r="K1783">
        <v>119763</v>
      </c>
      <c r="L1783">
        <v>118163</v>
      </c>
      <c r="M1783">
        <v>119116</v>
      </c>
      <c r="N1783">
        <v>7655900</v>
      </c>
      <c r="O1783">
        <v>119116</v>
      </c>
      <c r="P1783">
        <v>-9.98029102193154E-4</v>
      </c>
      <c r="Q1783">
        <v>-9.9852746485211701E-4</v>
      </c>
      <c r="R1783" s="8">
        <v>17.431215286254901</v>
      </c>
      <c r="S1783" s="8">
        <v>5.5702999583331803E-2</v>
      </c>
      <c r="T1783" s="9">
        <v>5.4206895331187999E-2</v>
      </c>
      <c r="U1783" s="12">
        <v>7.4689999999999999E-3</v>
      </c>
      <c r="V1783" s="16">
        <v>5.2617000000000003</v>
      </c>
      <c r="W1783" s="17">
        <f t="shared" si="27"/>
        <v>-8.5358959864330064E-3</v>
      </c>
    </row>
    <row r="1784" spans="1:23" x14ac:dyDescent="0.2">
      <c r="A1784" s="14">
        <v>44158</v>
      </c>
      <c r="B1784" s="3">
        <v>113509397712021</v>
      </c>
      <c r="C1784" s="3">
        <f>[1]!nefin_factors__1[[#This Row],[Rm_minus_Rf]]/B1783-1</f>
        <v>-1.1832919972235283</v>
      </c>
      <c r="D1784" s="3">
        <v>-267947020559147</v>
      </c>
      <c r="E1784" s="3">
        <f>[1]!nefin_factors__1[[#This Row],[SMB]]/D1783-1</f>
        <v>-1.2938233194700501</v>
      </c>
      <c r="F1784" s="3">
        <v>542188352703829</v>
      </c>
      <c r="G1784" s="3">
        <f>[1]!nefin_factors__1[[#This Row],[HML]]/F1783-1</f>
        <v>2.0012101770090562</v>
      </c>
      <c r="H1784" s="3">
        <v>754711249</v>
      </c>
      <c r="I1784" s="4">
        <f>[1]!nefin_factors__1[[#This Row],[Risk_Free]]/H1783-1</f>
        <v>-0.90051325834408713</v>
      </c>
      <c r="J1784">
        <v>119421</v>
      </c>
      <c r="K1784">
        <v>120573</v>
      </c>
      <c r="L1784">
        <v>118880</v>
      </c>
      <c r="M1784">
        <v>120391</v>
      </c>
      <c r="N1784">
        <v>8326100</v>
      </c>
      <c r="O1784">
        <v>120391</v>
      </c>
      <c r="P1784">
        <v>1.0703851707579299E-2</v>
      </c>
      <c r="Q1784">
        <v>1.06469710218399E-2</v>
      </c>
      <c r="R1784" s="8">
        <v>17.080839157104499</v>
      </c>
      <c r="S1784" s="8">
        <v>-2.0100499213424002E-2</v>
      </c>
      <c r="T1784" s="9">
        <v>-2.0305262793932199E-2</v>
      </c>
      <c r="U1784" s="12">
        <v>7.4689999999999999E-3</v>
      </c>
      <c r="V1784" s="16">
        <v>5.2713999999999999</v>
      </c>
      <c r="W1784" s="17">
        <f t="shared" si="27"/>
        <v>1.8435106524505862E-3</v>
      </c>
    </row>
    <row r="1785" spans="1:23" x14ac:dyDescent="0.2">
      <c r="A1785" s="15">
        <v>44159</v>
      </c>
      <c r="B1785" s="5">
        <v>18656554376152</v>
      </c>
      <c r="C1785" s="5">
        <f>[1]!nefin_factors__1[[#This Row],[Rm_minus_Rf]]/B1784-1</f>
        <v>-0.83563868056559854</v>
      </c>
      <c r="D1785" s="5">
        <v>-663055699749875</v>
      </c>
      <c r="E1785" s="5">
        <f>[1]!nefin_factors__1[[#This Row],[SMB]]/D1784-1</f>
        <v>1.4745776174940195</v>
      </c>
      <c r="F1785" s="5">
        <v>142777836455314</v>
      </c>
      <c r="G1785" s="5">
        <f>[1]!nefin_factors__1[[#This Row],[HML]]/F1784-1</f>
        <v>-0.73666377054523968</v>
      </c>
      <c r="H1785" s="5">
        <v>7586048517</v>
      </c>
      <c r="I1785" s="6">
        <f>[1]!nefin_factors__1[[#This Row],[Risk_Free]]/H1784-1</f>
        <v>9.051590627609686</v>
      </c>
      <c r="J1785">
        <v>120361</v>
      </c>
      <c r="K1785">
        <v>120845</v>
      </c>
      <c r="L1785">
        <v>118515</v>
      </c>
      <c r="M1785">
        <v>119140</v>
      </c>
      <c r="N1785">
        <v>10720600</v>
      </c>
      <c r="O1785">
        <v>119140</v>
      </c>
      <c r="P1785">
        <v>-1.0391142195014601E-2</v>
      </c>
      <c r="Q1785">
        <v>-1.0445507049631901E-2</v>
      </c>
      <c r="R1785" s="8">
        <v>16.642868041992202</v>
      </c>
      <c r="S1785" s="8">
        <v>-2.564107717917E-2</v>
      </c>
      <c r="T1785" s="9">
        <v>-2.5975539297673302E-2</v>
      </c>
      <c r="U1785" s="12">
        <v>7.4689999999999999E-3</v>
      </c>
      <c r="V1785" s="16">
        <v>5.2788000000000004</v>
      </c>
      <c r="W1785" s="17">
        <f t="shared" si="27"/>
        <v>1.4038016466215719E-3</v>
      </c>
    </row>
    <row r="1786" spans="1:23" x14ac:dyDescent="0.2">
      <c r="A1786" s="14">
        <v>44160</v>
      </c>
      <c r="B1786" s="3">
        <v>316055498361042</v>
      </c>
      <c r="C1786" s="3">
        <f>[1]!nefin_factors__1[[#This Row],[Rm_minus_Rf]]/B1785-1</f>
        <v>15.940721849745437</v>
      </c>
      <c r="D1786" s="3">
        <v>341820838951801</v>
      </c>
      <c r="E1786" s="3">
        <f>[1]!nefin_factors__1[[#This Row],[SMB]]/D1785-1</f>
        <v>-1.5155235662414883</v>
      </c>
      <c r="F1786" s="3">
        <v>895973153484566</v>
      </c>
      <c r="G1786" s="3">
        <f>[1]!nefin_factors__1[[#This Row],[HML]]/F1785-1</f>
        <v>5.2752957722887466</v>
      </c>
      <c r="H1786" s="3">
        <v>754711249</v>
      </c>
      <c r="I1786" s="4">
        <f>[1]!nefin_factors__1[[#This Row],[Risk_Free]]/H1785-1</f>
        <v>-0.90051325834408713</v>
      </c>
      <c r="J1786">
        <v>119199</v>
      </c>
      <c r="K1786">
        <v>119250</v>
      </c>
      <c r="L1786">
        <v>117867</v>
      </c>
      <c r="M1786">
        <v>118748</v>
      </c>
      <c r="N1786">
        <v>10402800</v>
      </c>
      <c r="O1786">
        <v>118748</v>
      </c>
      <c r="P1786">
        <v>-3.29024676850764E-3</v>
      </c>
      <c r="Q1786">
        <v>-3.2956715328838E-3</v>
      </c>
      <c r="R1786" s="8">
        <v>16.327529907226602</v>
      </c>
      <c r="S1786" s="8">
        <v>-1.8947343328685001E-2</v>
      </c>
      <c r="T1786" s="9">
        <v>-1.9129144332011499E-2</v>
      </c>
      <c r="U1786" s="12">
        <v>7.4689999999999999E-3</v>
      </c>
      <c r="V1786" s="16">
        <v>5.2945000000000002</v>
      </c>
      <c r="W1786" s="17">
        <f t="shared" si="27"/>
        <v>2.9741607941198289E-3</v>
      </c>
    </row>
    <row r="1787" spans="1:23" x14ac:dyDescent="0.2">
      <c r="A1787" s="15">
        <v>44161</v>
      </c>
      <c r="B1787" s="5">
        <v>101394619861496</v>
      </c>
      <c r="C1787" s="5">
        <f>[1]!nefin_factors__1[[#This Row],[Rm_minus_Rf]]/B1786-1</f>
        <v>-0.67918729341114281</v>
      </c>
      <c r="D1787" s="5">
        <v>-547603740498508</v>
      </c>
      <c r="E1787" s="5">
        <f>[1]!nefin_factors__1[[#This Row],[SMB]]/D1786-1</f>
        <v>-2.6020197661960678</v>
      </c>
      <c r="F1787" s="5">
        <v>110132714410874</v>
      </c>
      <c r="G1787" s="5">
        <f>[1]!nefin_factors__1[[#This Row],[HML]]/F1786-1</f>
        <v>-0.87708034109889077</v>
      </c>
      <c r="H1787" s="5">
        <v>7624980736</v>
      </c>
      <c r="I1787" s="6">
        <f>[1]!nefin_factors__1[[#This Row],[Risk_Free]]/H1786-1</f>
        <v>9.1031762095810507</v>
      </c>
      <c r="J1787">
        <v>118388</v>
      </c>
      <c r="K1787">
        <v>118388</v>
      </c>
      <c r="L1787">
        <v>111650</v>
      </c>
      <c r="M1787">
        <v>112668</v>
      </c>
      <c r="N1787">
        <v>21768700</v>
      </c>
      <c r="O1787">
        <v>112668</v>
      </c>
      <c r="P1787">
        <v>-5.1200862330312999E-2</v>
      </c>
      <c r="Q1787">
        <v>-5.2558159603246897E-2</v>
      </c>
      <c r="R1787" s="8">
        <v>15.5129051208496</v>
      </c>
      <c r="S1787" s="8">
        <v>-4.9892714391317698E-2</v>
      </c>
      <c r="T1787" s="9">
        <v>-5.1180368544247998E-2</v>
      </c>
      <c r="U1787" s="12">
        <v>7.4689999999999999E-3</v>
      </c>
      <c r="V1787" s="16">
        <v>5.3033000000000001</v>
      </c>
      <c r="W1787" s="17">
        <f t="shared" si="27"/>
        <v>1.6621021815090842E-3</v>
      </c>
    </row>
    <row r="1788" spans="1:23" x14ac:dyDescent="0.2">
      <c r="A1788" s="14">
        <v>44162</v>
      </c>
      <c r="B1788" s="3">
        <v>28963410604644</v>
      </c>
      <c r="C1788" s="3">
        <f>[1]!nefin_factors__1[[#This Row],[Rm_minus_Rf]]/B1787-1</f>
        <v>-0.71434963073772828</v>
      </c>
      <c r="D1788" s="3">
        <v>-504472669185464</v>
      </c>
      <c r="E1788" s="3">
        <f>[1]!nefin_factors__1[[#This Row],[SMB]]/D1787-1</f>
        <v>-7.8763288347482585E-2</v>
      </c>
      <c r="F1788" s="3">
        <v>321620126303482</v>
      </c>
      <c r="G1788" s="3">
        <f>[1]!nefin_factors__1[[#This Row],[HML]]/F1787-1</f>
        <v>1.9202960085375569</v>
      </c>
      <c r="H1788" s="3">
        <v>754711249</v>
      </c>
      <c r="I1788" s="4">
        <f>[1]!nefin_factors__1[[#This Row],[Risk_Free]]/H1787-1</f>
        <v>-0.90102122547841146</v>
      </c>
      <c r="J1788">
        <v>112676</v>
      </c>
      <c r="K1788">
        <v>115380</v>
      </c>
      <c r="L1788">
        <v>112667</v>
      </c>
      <c r="M1788">
        <v>115227</v>
      </c>
      <c r="N1788">
        <v>15174900</v>
      </c>
      <c r="O1788">
        <v>115227</v>
      </c>
      <c r="P1788">
        <v>2.2712748961550799E-2</v>
      </c>
      <c r="Q1788">
        <v>2.2458654735850701E-2</v>
      </c>
      <c r="R1788" s="8">
        <v>15.7056121826172</v>
      </c>
      <c r="S1788" s="8">
        <v>1.24223709399587E-2</v>
      </c>
      <c r="T1788" s="9">
        <v>1.2345846382626599E-2</v>
      </c>
      <c r="U1788" s="12">
        <v>7.4689999999999999E-3</v>
      </c>
      <c r="V1788" s="16">
        <v>5.3166000000000002</v>
      </c>
      <c r="W1788" s="17">
        <f t="shared" si="27"/>
        <v>2.5078724567721977E-3</v>
      </c>
    </row>
    <row r="1789" spans="1:23" x14ac:dyDescent="0.2">
      <c r="A1789" s="15">
        <v>44165</v>
      </c>
      <c r="B1789" s="5">
        <v>-167147030466393</v>
      </c>
      <c r="C1789" s="5">
        <f>[1]!nefin_factors__1[[#This Row],[Rm_minus_Rf]]/B1788-1</f>
        <v>-6.7709719600354186</v>
      </c>
      <c r="D1789" s="5">
        <v>-559689905771478</v>
      </c>
      <c r="E1789" s="5">
        <f>[1]!nefin_factors__1[[#This Row],[SMB]]/D1788-1</f>
        <v>0.10945535795857753</v>
      </c>
      <c r="F1789" s="5">
        <v>-476766749643086</v>
      </c>
      <c r="G1789" s="5">
        <f>[1]!nefin_factors__1[[#This Row],[HML]]/F1788-1</f>
        <v>-2.4823909035879397</v>
      </c>
      <c r="H1789" s="5">
        <v>754711249</v>
      </c>
      <c r="I1789" s="6">
        <f>[1]!nefin_factors__1[[#This Row],[Risk_Free]]/H1788-1</f>
        <v>0</v>
      </c>
      <c r="J1789">
        <v>115229</v>
      </c>
      <c r="K1789">
        <v>116208</v>
      </c>
      <c r="L1789">
        <v>114668</v>
      </c>
      <c r="M1789">
        <v>115668</v>
      </c>
      <c r="N1789">
        <v>11399300</v>
      </c>
      <c r="O1789">
        <v>115668</v>
      </c>
      <c r="P1789">
        <v>3.8272279934390401E-3</v>
      </c>
      <c r="Q1789">
        <v>3.8199227895700798E-3</v>
      </c>
      <c r="R1789" s="8">
        <v>15.898319244384799</v>
      </c>
      <c r="S1789" s="8">
        <v>1.2269949081059399E-2</v>
      </c>
      <c r="T1789" s="9">
        <v>1.21952833981375E-2</v>
      </c>
      <c r="U1789" s="12">
        <v>7.4689999999999999E-3</v>
      </c>
      <c r="V1789" s="16">
        <v>5.4301000000000004</v>
      </c>
      <c r="W1789" s="17">
        <f t="shared" si="27"/>
        <v>2.1348230071850383E-2</v>
      </c>
    </row>
    <row r="1790" spans="1:23" x14ac:dyDescent="0.2">
      <c r="A1790" s="14">
        <v>44166</v>
      </c>
      <c r="B1790" s="3">
        <v>209618378600065</v>
      </c>
      <c r="C1790" s="3">
        <f>[1]!nefin_factors__1[[#This Row],[Rm_minus_Rf]]/B1789-1</f>
        <v>-2.2540957384355771</v>
      </c>
      <c r="D1790" s="3">
        <v>851188216748778</v>
      </c>
      <c r="E1790" s="3">
        <f>[1]!nefin_factors__1[[#This Row],[SMB]]/D1789-1</f>
        <v>-2.5208210974887924</v>
      </c>
      <c r="F1790" s="3">
        <v>927716923489157</v>
      </c>
      <c r="G1790" s="3">
        <f>[1]!nefin_factors__1[[#This Row],[HML]]/F1789-1</f>
        <v>-2.9458507208895304</v>
      </c>
      <c r="H1790" s="3">
        <v>7508172664</v>
      </c>
      <c r="I1790" s="4">
        <f>[1]!nefin_factors__1[[#This Row],[Risk_Free]]/H1789-1</f>
        <v>8.9484043386770828</v>
      </c>
      <c r="J1790">
        <v>115668</v>
      </c>
      <c r="K1790">
        <v>116506</v>
      </c>
      <c r="L1790">
        <v>111764</v>
      </c>
      <c r="M1790">
        <v>112256</v>
      </c>
      <c r="N1790">
        <v>12466500</v>
      </c>
      <c r="O1790">
        <v>112256</v>
      </c>
      <c r="P1790">
        <v>-2.9498219040702701E-2</v>
      </c>
      <c r="Q1790">
        <v>-2.9942041280168301E-2</v>
      </c>
      <c r="R1790" s="8">
        <v>15.0749349594116</v>
      </c>
      <c r="S1790" s="8">
        <v>-5.1790649836394601E-2</v>
      </c>
      <c r="T1790" s="9">
        <v>-5.3179967601331798E-2</v>
      </c>
      <c r="U1790" s="12">
        <v>7.4689999999999999E-3</v>
      </c>
      <c r="V1790" s="16">
        <v>5.5088999999999997</v>
      </c>
      <c r="W1790" s="17">
        <f t="shared" si="27"/>
        <v>1.4511703283548893E-2</v>
      </c>
    </row>
    <row r="1791" spans="1:23" x14ac:dyDescent="0.2">
      <c r="A1791" s="15">
        <v>44167</v>
      </c>
      <c r="B1791" s="5">
        <v>41541132553932</v>
      </c>
      <c r="C1791" s="5">
        <f>[1]!nefin_factors__1[[#This Row],[Rm_minus_Rf]]/B1790-1</f>
        <v>-0.80182495050594227</v>
      </c>
      <c r="D1791" s="5">
        <v>861355204628804</v>
      </c>
      <c r="E1791" s="5">
        <f>[1]!nefin_factors__1[[#This Row],[SMB]]/D1790-1</f>
        <v>1.1944465019570139E-2</v>
      </c>
      <c r="F1791" s="5">
        <v>667871629892686</v>
      </c>
      <c r="G1791" s="5">
        <f>[1]!nefin_factors__1[[#This Row],[HML]]/F1790-1</f>
        <v>-0.28009114312498362</v>
      </c>
      <c r="H1791" s="5">
        <v>7508172664</v>
      </c>
      <c r="I1791" s="6">
        <f>[1]!nefin_factors__1[[#This Row],[Risk_Free]]/H1790-1</f>
        <v>0</v>
      </c>
      <c r="J1791">
        <v>112260</v>
      </c>
      <c r="K1791">
        <v>113466</v>
      </c>
      <c r="L1791">
        <v>109827</v>
      </c>
      <c r="M1791">
        <v>110035</v>
      </c>
      <c r="N1791">
        <v>14618500</v>
      </c>
      <c r="O1791">
        <v>110035</v>
      </c>
      <c r="P1791">
        <v>-1.9785133979475501E-2</v>
      </c>
      <c r="Q1791">
        <v>-1.9983480308164801E-2</v>
      </c>
      <c r="R1791" s="8">
        <v>14.4792947769165</v>
      </c>
      <c r="S1791" s="8">
        <v>-3.9511957039870801E-2</v>
      </c>
      <c r="T1791" s="9">
        <v>-4.0313745617145298E-2</v>
      </c>
      <c r="U1791" s="12">
        <v>7.4689999999999999E-3</v>
      </c>
      <c r="V1791" s="16">
        <v>5.3864999999999998</v>
      </c>
      <c r="W1791" s="17">
        <f t="shared" si="27"/>
        <v>-2.2218591733376925E-2</v>
      </c>
    </row>
    <row r="1792" spans="1:23" x14ac:dyDescent="0.2">
      <c r="A1792" s="14">
        <v>44168</v>
      </c>
      <c r="B1792" s="3">
        <v>308024210586369</v>
      </c>
      <c r="C1792" s="3">
        <f>[1]!nefin_factors__1[[#This Row],[Rm_minus_Rf]]/B1791-1</f>
        <v>6.4149208663598056</v>
      </c>
      <c r="D1792" s="3">
        <v>697181160126381</v>
      </c>
      <c r="E1792" s="3">
        <f>[1]!nefin_factors__1[[#This Row],[SMB]]/D1791-1</f>
        <v>-0.19059970105268342</v>
      </c>
      <c r="F1792" s="3">
        <v>-104409456545259</v>
      </c>
      <c r="G1792" s="3">
        <f>[1]!nefin_factors__1[[#This Row],[HML]]/F1791-1</f>
        <v>-1.156331624030857</v>
      </c>
      <c r="H1792" s="3">
        <v>754711249</v>
      </c>
      <c r="I1792" s="4">
        <f>[1]!nefin_factors__1[[#This Row],[Risk_Free]]/H1791-1</f>
        <v>-0.89948136746792318</v>
      </c>
      <c r="J1792">
        <v>110036</v>
      </c>
      <c r="K1792">
        <v>112445</v>
      </c>
      <c r="L1792">
        <v>110036</v>
      </c>
      <c r="M1792">
        <v>110335</v>
      </c>
      <c r="N1792">
        <v>11239900</v>
      </c>
      <c r="O1792">
        <v>110335</v>
      </c>
      <c r="P1792">
        <v>2.72640523469803E-3</v>
      </c>
      <c r="Q1792">
        <v>2.7226953335455998E-3</v>
      </c>
      <c r="R1792" s="8">
        <v>13.980009078979499</v>
      </c>
      <c r="S1792" s="8">
        <v>-3.4482735908726303E-2</v>
      </c>
      <c r="T1792" s="9">
        <v>-3.5091296288165499E-2</v>
      </c>
      <c r="U1792" s="12">
        <v>7.4689999999999999E-3</v>
      </c>
      <c r="V1792" s="16">
        <v>5.3823999999999996</v>
      </c>
      <c r="W1792" s="17">
        <f t="shared" si="27"/>
        <v>-7.6116216467092546E-4</v>
      </c>
    </row>
    <row r="1793" spans="1:23" x14ac:dyDescent="0.2">
      <c r="A1793" s="15">
        <v>44169</v>
      </c>
      <c r="B1793" s="5">
        <v>115994492339876</v>
      </c>
      <c r="C1793" s="5">
        <f>[1]!nefin_factors__1[[#This Row],[Rm_minus_Rf]]/B1792-1</f>
        <v>-0.62342410643934909</v>
      </c>
      <c r="D1793" s="5">
        <v>-566875070901788</v>
      </c>
      <c r="E1793" s="5">
        <f>[1]!nefin_factors__1[[#This Row],[SMB]]/D1792-1</f>
        <v>-1.813095796792656</v>
      </c>
      <c r="F1793" s="5">
        <v>637767258918704</v>
      </c>
      <c r="G1793" s="5">
        <f>[1]!nefin_factors__1[[#This Row],[HML]]/F1792-1</f>
        <v>-7.1083284984080644</v>
      </c>
      <c r="H1793" s="5">
        <v>7508172664</v>
      </c>
      <c r="I1793" s="6">
        <f>[1]!nefin_factors__1[[#This Row],[Risk_Free]]/H1792-1</f>
        <v>8.9484043386770828</v>
      </c>
      <c r="J1793">
        <v>110328</v>
      </c>
      <c r="K1793">
        <v>112428</v>
      </c>
      <c r="L1793">
        <v>107319</v>
      </c>
      <c r="M1793">
        <v>111540</v>
      </c>
      <c r="N1793">
        <v>14823200</v>
      </c>
      <c r="O1793">
        <v>111540</v>
      </c>
      <c r="P1793">
        <v>1.09212851769611E-2</v>
      </c>
      <c r="Q1793">
        <v>1.08620786263638E-2</v>
      </c>
      <c r="R1793" s="8">
        <v>13.743504524231</v>
      </c>
      <c r="S1793" s="8">
        <v>-1.6917339138509301E-2</v>
      </c>
      <c r="T1793" s="9">
        <v>-1.7062071972108801E-2</v>
      </c>
      <c r="U1793" s="12">
        <v>7.4689999999999999E-3</v>
      </c>
      <c r="V1793" s="16">
        <v>5.4282000000000004</v>
      </c>
      <c r="W1793" s="17">
        <f t="shared" si="27"/>
        <v>8.5092152199763849E-3</v>
      </c>
    </row>
    <row r="1794" spans="1:23" x14ac:dyDescent="0.2">
      <c r="A1794" s="14">
        <v>44172</v>
      </c>
      <c r="B1794" s="3">
        <v>-548543747539097</v>
      </c>
      <c r="C1794" s="3">
        <f>[1]!nefin_factors__1[[#This Row],[Rm_minus_Rf]]/B1793-1</f>
        <v>-5.7290499443008587</v>
      </c>
      <c r="D1794" s="3">
        <v>-410308388328033</v>
      </c>
      <c r="E1794" s="3">
        <f>[1]!nefin_factors__1[[#This Row],[SMB]]/D1793-1</f>
        <v>-0.2761925697750085</v>
      </c>
      <c r="F1794" s="3">
        <v>101690076739832</v>
      </c>
      <c r="G1794" s="3">
        <f>[1]!nefin_factors__1[[#This Row],[HML]]/F1793-1</f>
        <v>-0.84055299904820857</v>
      </c>
      <c r="H1794" s="3">
        <v>754711249</v>
      </c>
      <c r="I1794" s="4">
        <f>[1]!nefin_factors__1[[#This Row],[Risk_Free]]/H1793-1</f>
        <v>-0.89948136746792318</v>
      </c>
      <c r="J1794">
        <v>111529</v>
      </c>
      <c r="K1794">
        <v>112398</v>
      </c>
      <c r="L1794">
        <v>107466</v>
      </c>
      <c r="M1794">
        <v>111184</v>
      </c>
      <c r="N1794">
        <v>15144300</v>
      </c>
      <c r="O1794">
        <v>111184</v>
      </c>
      <c r="P1794">
        <v>-3.19168011475701E-3</v>
      </c>
      <c r="Q1794">
        <v>-3.19678438943609E-3</v>
      </c>
      <c r="R1794" s="8">
        <v>13.1215877532959</v>
      </c>
      <c r="S1794" s="8">
        <v>-4.5251687430856301E-2</v>
      </c>
      <c r="T1794" s="9">
        <v>-4.6307520284049997E-2</v>
      </c>
      <c r="U1794" s="12">
        <v>7.4689999999999999E-3</v>
      </c>
      <c r="V1794" s="16">
        <v>5.4759000000000002</v>
      </c>
      <c r="W1794" s="17">
        <f t="shared" si="27"/>
        <v>8.7874433513872585E-3</v>
      </c>
    </row>
    <row r="1795" spans="1:23" x14ac:dyDescent="0.2">
      <c r="A1795" s="15">
        <v>44173</v>
      </c>
      <c r="B1795" s="5">
        <v>227346677497901</v>
      </c>
      <c r="C1795" s="5">
        <f>[1]!nefin_factors__1[[#This Row],[Rm_minus_Rf]]/B1794-1</f>
        <v>-1.4144549610087336</v>
      </c>
      <c r="D1795" s="5">
        <v>811080060320468</v>
      </c>
      <c r="E1795" s="5">
        <f>[1]!nefin_factors__1[[#This Row],[SMB]]/D1794-1</f>
        <v>-2.9767571987147052</v>
      </c>
      <c r="F1795" s="5">
        <v>-558603724428412</v>
      </c>
      <c r="G1795" s="5">
        <f>[1]!nefin_factors__1[[#This Row],[HML]]/F1794-1</f>
        <v>-6.4931979829021698</v>
      </c>
      <c r="H1795" s="5">
        <v>754711249</v>
      </c>
      <c r="I1795" s="6">
        <f>[1]!nefin_factors__1[[#This Row],[Risk_Free]]/H1794-1</f>
        <v>0</v>
      </c>
      <c r="J1795">
        <v>111191</v>
      </c>
      <c r="K1795">
        <v>114433</v>
      </c>
      <c r="L1795">
        <v>111163</v>
      </c>
      <c r="M1795">
        <v>112690</v>
      </c>
      <c r="N1795">
        <v>14221600</v>
      </c>
      <c r="O1795">
        <v>112690</v>
      </c>
      <c r="P1795">
        <v>1.3545114404950299E-2</v>
      </c>
      <c r="Q1795">
        <v>1.34541993922864E-2</v>
      </c>
      <c r="R1795" s="8">
        <v>13.498242378234901</v>
      </c>
      <c r="S1795" s="8">
        <v>2.8704957968547402E-2</v>
      </c>
      <c r="T1795" s="9">
        <v>2.8300688787976199E-2</v>
      </c>
      <c r="U1795" s="12">
        <v>7.4689999999999999E-3</v>
      </c>
      <c r="V1795" s="16">
        <v>5.4607999999999999</v>
      </c>
      <c r="W1795" s="17">
        <f t="shared" si="27"/>
        <v>-2.757537573732205E-3</v>
      </c>
    </row>
    <row r="1796" spans="1:23" x14ac:dyDescent="0.2">
      <c r="A1796" s="14">
        <v>44174</v>
      </c>
      <c r="B1796" s="3">
        <v>-597420416966572</v>
      </c>
      <c r="C1796" s="3">
        <f>[1]!nefin_factors__1[[#This Row],[Rm_minus_Rf]]/B1795-1</f>
        <v>-3.6277948001773095</v>
      </c>
      <c r="D1796" s="3">
        <v>296357174889945</v>
      </c>
      <c r="E1796" s="3">
        <f>[1]!nefin_factors__1[[#This Row],[SMB]]/D1795-1</f>
        <v>-0.63461415291993428</v>
      </c>
      <c r="F1796" s="3">
        <v>745929673278731</v>
      </c>
      <c r="G1796" s="3">
        <f>[1]!nefin_factors__1[[#This Row],[HML]]/F1795-1</f>
        <v>-2.3353467595333335</v>
      </c>
      <c r="H1796" s="3">
        <v>754711249</v>
      </c>
      <c r="I1796" s="4">
        <f>[1]!nefin_factors__1[[#This Row],[Risk_Free]]/H1795-1</f>
        <v>0</v>
      </c>
      <c r="J1796">
        <v>112690</v>
      </c>
      <c r="K1796">
        <v>115504</v>
      </c>
      <c r="L1796">
        <v>112504</v>
      </c>
      <c r="M1796">
        <v>115202</v>
      </c>
      <c r="N1796">
        <v>13254800</v>
      </c>
      <c r="O1796">
        <v>115202</v>
      </c>
      <c r="P1796">
        <v>2.2291241458869401E-2</v>
      </c>
      <c r="Q1796">
        <v>2.2046423257941601E-2</v>
      </c>
      <c r="R1796" s="8">
        <v>14.277829170226999</v>
      </c>
      <c r="S1796" s="8">
        <v>5.7754689103021797E-2</v>
      </c>
      <c r="T1796" s="9">
        <v>5.6148443700174799E-2</v>
      </c>
      <c r="U1796" s="12">
        <v>7.4689999999999999E-3</v>
      </c>
      <c r="V1796" s="16">
        <v>5.3875000000000002</v>
      </c>
      <c r="W1796" s="17">
        <f t="shared" ref="W1796:W1859" si="28">V1796/V1795-1</f>
        <v>-1.3422941693524648E-2</v>
      </c>
    </row>
    <row r="1797" spans="1:23" x14ac:dyDescent="0.2">
      <c r="A1797" s="15">
        <v>44175</v>
      </c>
      <c r="B1797" s="5">
        <v>168955546721646</v>
      </c>
      <c r="C1797" s="5">
        <f>[1]!nefin_factors__1[[#This Row],[Rm_minus_Rf]]/B1796-1</f>
        <v>-1.2828084577014041</v>
      </c>
      <c r="D1797" s="5">
        <v>-936003401851966</v>
      </c>
      <c r="E1797" s="5">
        <f>[1]!nefin_factors__1[[#This Row],[SMB]]/D1796-1</f>
        <v>-4.1583625474887178</v>
      </c>
      <c r="F1797" s="5">
        <v>-181933613643861</v>
      </c>
      <c r="G1797" s="5">
        <f>[1]!nefin_factors__1[[#This Row],[HML]]/F1796-1</f>
        <v>-1.2439018317158137</v>
      </c>
      <c r="H1797" s="5">
        <v>754711249</v>
      </c>
      <c r="I1797" s="6">
        <f>[1]!nefin_factors__1[[#This Row],[Risk_Free]]/H1796-1</f>
        <v>0</v>
      </c>
      <c r="J1797">
        <v>115202</v>
      </c>
      <c r="K1797">
        <v>115202</v>
      </c>
      <c r="L1797">
        <v>110268</v>
      </c>
      <c r="M1797">
        <v>110612</v>
      </c>
      <c r="N1797">
        <v>0</v>
      </c>
      <c r="O1797">
        <v>110612</v>
      </c>
      <c r="P1797">
        <v>-3.9843058280238201E-2</v>
      </c>
      <c r="Q1797">
        <v>-4.0658526923725499E-2</v>
      </c>
      <c r="R1797" s="8">
        <v>13.244218826293899</v>
      </c>
      <c r="S1797" s="8">
        <v>-7.2392681801267802E-2</v>
      </c>
      <c r="T1797" s="9">
        <v>-7.5146784241268999E-2</v>
      </c>
      <c r="U1797" s="12">
        <v>7.4689999999999999E-3</v>
      </c>
      <c r="V1797" s="16">
        <v>5.3422999999999998</v>
      </c>
      <c r="W1797" s="17">
        <f t="shared" si="28"/>
        <v>-8.389791183294748E-3</v>
      </c>
    </row>
    <row r="1798" spans="1:23" x14ac:dyDescent="0.2">
      <c r="A1798" s="14">
        <v>44176</v>
      </c>
      <c r="B1798" s="3">
        <v>-150094830483872</v>
      </c>
      <c r="C1798" s="3">
        <f>[1]!nefin_factors__1[[#This Row],[Rm_minus_Rf]]/B1797-1</f>
        <v>-1.8883687656088202</v>
      </c>
      <c r="D1798" s="3">
        <v>-606375620815006</v>
      </c>
      <c r="E1798" s="3">
        <f>[1]!nefin_factors__1[[#This Row],[SMB]]/D1797-1</f>
        <v>-0.35216515280260963</v>
      </c>
      <c r="F1798" s="3">
        <v>776570572000004</v>
      </c>
      <c r="G1798" s="3">
        <f>[1]!nefin_factors__1[[#This Row],[HML]]/F1797-1</f>
        <v>-5.2684282274531071</v>
      </c>
      <c r="H1798" s="3">
        <v>754711249</v>
      </c>
      <c r="I1798" s="4">
        <f>[1]!nefin_factors__1[[#This Row],[Risk_Free]]/H1797-1</f>
        <v>0</v>
      </c>
      <c r="J1798">
        <v>110611</v>
      </c>
      <c r="K1798">
        <v>112525</v>
      </c>
      <c r="L1798">
        <v>109343</v>
      </c>
      <c r="M1798">
        <v>111331</v>
      </c>
      <c r="N1798">
        <v>12135300</v>
      </c>
      <c r="O1798">
        <v>111331</v>
      </c>
      <c r="P1798">
        <v>6.5001988934292303E-3</v>
      </c>
      <c r="Q1798">
        <v>6.4791637066605196E-3</v>
      </c>
      <c r="R1798" s="8">
        <v>13.0252342224121</v>
      </c>
      <c r="S1798" s="8">
        <v>-1.65343541022656E-2</v>
      </c>
      <c r="T1798" s="9">
        <v>-1.66725722178751E-2</v>
      </c>
      <c r="U1798" s="12">
        <v>7.4689999999999999E-3</v>
      </c>
      <c r="V1798" s="16">
        <v>5.391</v>
      </c>
      <c r="W1798" s="17">
        <f t="shared" si="28"/>
        <v>9.1159238530220676E-3</v>
      </c>
    </row>
    <row r="1799" spans="1:23" x14ac:dyDescent="0.2">
      <c r="A1799" s="15">
        <v>44179</v>
      </c>
      <c r="B1799" s="5">
        <v>-419800838592458</v>
      </c>
      <c r="C1799" s="5">
        <f>[1]!nefin_factors__1[[#This Row],[Rm_minus_Rf]]/B1798-1</f>
        <v>1.7969040455231831</v>
      </c>
      <c r="D1799" s="5">
        <v>-177891816863765</v>
      </c>
      <c r="E1799" s="5">
        <f>[1]!nefin_factors__1[[#This Row],[SMB]]/D1798-1</f>
        <v>-0.70663098786084522</v>
      </c>
      <c r="F1799" s="5">
        <v>-397081188577328</v>
      </c>
      <c r="G1799" s="5">
        <f>[1]!nefin_factors__1[[#This Row],[HML]]/F1798-1</f>
        <v>-1.5113265978579034</v>
      </c>
      <c r="H1799" s="5">
        <v>754711249</v>
      </c>
      <c r="I1799" s="6">
        <f>[1]!nefin_factors__1[[#This Row],[Risk_Free]]/H1798-1</f>
        <v>0</v>
      </c>
      <c r="J1799">
        <v>111331</v>
      </c>
      <c r="K1799">
        <v>112928</v>
      </c>
      <c r="L1799">
        <v>109999</v>
      </c>
      <c r="M1799">
        <v>112776</v>
      </c>
      <c r="N1799">
        <v>12511800</v>
      </c>
      <c r="O1799">
        <v>112776</v>
      </c>
      <c r="P1799">
        <v>1.29793139377172E-2</v>
      </c>
      <c r="Q1799">
        <v>1.2895804463489599E-2</v>
      </c>
      <c r="R1799" s="8">
        <v>14.3041067123413</v>
      </c>
      <c r="S1799" s="8">
        <v>9.8184222110085706E-2</v>
      </c>
      <c r="T1799" s="9">
        <v>9.3658108713430804E-2</v>
      </c>
      <c r="U1799" s="12">
        <v>7.4689999999999999E-3</v>
      </c>
      <c r="V1799" s="16">
        <v>5.3883999999999999</v>
      </c>
      <c r="W1799" s="17">
        <f t="shared" si="28"/>
        <v>-4.8228529029870071E-4</v>
      </c>
    </row>
    <row r="1800" spans="1:23" x14ac:dyDescent="0.2">
      <c r="A1800" s="14">
        <v>44180</v>
      </c>
      <c r="B1800" s="3">
        <v>138062900947685</v>
      </c>
      <c r="C1800" s="3">
        <f>[1]!nefin_factors__1[[#This Row],[Rm_minus_Rf]]/B1799-1</f>
        <v>-1.3288771442443836</v>
      </c>
      <c r="D1800" s="3">
        <v>-432704550309989</v>
      </c>
      <c r="E1800" s="3">
        <f>[1]!nefin_factors__1[[#This Row],[SMB]]/D1799-1</f>
        <v>1.4324027824245977</v>
      </c>
      <c r="F1800" s="3">
        <v>-22619891879727</v>
      </c>
      <c r="G1800" s="3">
        <f>[1]!nefin_factors__1[[#This Row],[HML]]/F1799-1</f>
        <v>-0.94303459209243812</v>
      </c>
      <c r="H1800" s="3">
        <v>754711249</v>
      </c>
      <c r="I1800" s="4">
        <f>[1]!nefin_factors__1[[#This Row],[Risk_Free]]/H1799-1</f>
        <v>0</v>
      </c>
      <c r="J1800">
        <v>112782</v>
      </c>
      <c r="K1800">
        <v>115127</v>
      </c>
      <c r="L1800">
        <v>112776</v>
      </c>
      <c r="M1800">
        <v>114984</v>
      </c>
      <c r="N1800">
        <v>12092100</v>
      </c>
      <c r="O1800">
        <v>114984</v>
      </c>
      <c r="P1800">
        <v>1.9578633751862199E-2</v>
      </c>
      <c r="Q1800">
        <v>1.9389437780306499E-2</v>
      </c>
      <c r="R1800" s="8">
        <v>15.8720407485962</v>
      </c>
      <c r="S1800" s="8">
        <v>0.109614257484677</v>
      </c>
      <c r="T1800" s="9">
        <v>0.10401243914707101</v>
      </c>
      <c r="U1800" s="12">
        <v>7.4689999999999999E-3</v>
      </c>
      <c r="V1800" s="16">
        <v>5.367</v>
      </c>
      <c r="W1800" s="17">
        <f t="shared" si="28"/>
        <v>-3.9714943211343057E-3</v>
      </c>
    </row>
    <row r="1801" spans="1:23" x14ac:dyDescent="0.2">
      <c r="A1801" s="15">
        <v>44181</v>
      </c>
      <c r="B1801" s="5">
        <v>133059491793644</v>
      </c>
      <c r="C1801" s="5">
        <f>[1]!nefin_factors__1[[#This Row],[Rm_minus_Rf]]/B1800-1</f>
        <v>-3.6240069705162137E-2</v>
      </c>
      <c r="D1801" s="5">
        <v>-524822192342168</v>
      </c>
      <c r="E1801" s="5">
        <f>[1]!nefin_factors__1[[#This Row],[SMB]]/D1800-1</f>
        <v>0.212888082563925</v>
      </c>
      <c r="F1801" s="5">
        <v>-1103529133855</v>
      </c>
      <c r="G1801" s="5">
        <f>[1]!nefin_factors__1[[#This Row],[HML]]/F1800-1</f>
        <v>-0.95121421712700427</v>
      </c>
      <c r="H1801" s="5">
        <v>754711249</v>
      </c>
      <c r="I1801" s="6">
        <f>[1]!nefin_factors__1[[#This Row],[Risk_Free]]/H1800-1</f>
        <v>0</v>
      </c>
      <c r="J1801">
        <v>114984</v>
      </c>
      <c r="K1801">
        <v>114984</v>
      </c>
      <c r="L1801">
        <v>113253</v>
      </c>
      <c r="M1801">
        <v>114160</v>
      </c>
      <c r="N1801">
        <v>8110700</v>
      </c>
      <c r="O1801">
        <v>114160</v>
      </c>
      <c r="P1801">
        <v>-7.1662144298336701E-3</v>
      </c>
      <c r="Q1801">
        <v>-7.19201508034967E-3</v>
      </c>
      <c r="R1801" s="8">
        <v>16.07350730896</v>
      </c>
      <c r="S1801" s="8">
        <v>1.2693173080568601E-2</v>
      </c>
      <c r="T1801" s="9">
        <v>1.2613290028519899E-2</v>
      </c>
      <c r="U1801" s="12">
        <v>7.4689999999999999E-3</v>
      </c>
      <c r="V1801" s="16">
        <v>5.4215999999999998</v>
      </c>
      <c r="W1801" s="17">
        <f t="shared" si="28"/>
        <v>1.0173281162660697E-2</v>
      </c>
    </row>
    <row r="1802" spans="1:23" x14ac:dyDescent="0.2">
      <c r="A1802" s="14">
        <v>44182</v>
      </c>
      <c r="B1802" s="3">
        <v>415113309688584</v>
      </c>
      <c r="C1802" s="3">
        <f>[1]!nefin_factors__1[[#This Row],[Rm_minus_Rf]]/B1801-1</f>
        <v>2.1197572160606524</v>
      </c>
      <c r="D1802" s="3">
        <v>-826795379149912</v>
      </c>
      <c r="E1802" s="3">
        <f>[1]!nefin_factors__1[[#This Row],[SMB]]/D1801-1</f>
        <v>0.57538189355161018</v>
      </c>
      <c r="F1802" s="3">
        <v>-923068614852573</v>
      </c>
      <c r="G1802" s="3">
        <f>[1]!nefin_factors__1[[#This Row],[HML]]/F1801-1</f>
        <v>835.46963775934262</v>
      </c>
      <c r="H1802" s="3">
        <v>754711249</v>
      </c>
      <c r="I1802" s="4">
        <f>[1]!nefin_factors__1[[#This Row],[Risk_Free]]/H1801-1</f>
        <v>0</v>
      </c>
      <c r="J1802">
        <v>114093</v>
      </c>
      <c r="K1802">
        <v>114903</v>
      </c>
      <c r="L1802">
        <v>113635</v>
      </c>
      <c r="M1802">
        <v>114851</v>
      </c>
      <c r="N1802">
        <v>8224700</v>
      </c>
      <c r="O1802">
        <v>114851</v>
      </c>
      <c r="P1802">
        <v>6.0529081990188197E-3</v>
      </c>
      <c r="Q1802">
        <v>6.0346629377627603E-3</v>
      </c>
      <c r="R1802" s="8">
        <v>16.564033508300799</v>
      </c>
      <c r="S1802" s="8">
        <v>3.0517682912140999E-2</v>
      </c>
      <c r="T1802" s="9">
        <v>3.0061280747141698E-2</v>
      </c>
      <c r="U1802" s="12">
        <v>7.4689999999999999E-3</v>
      </c>
      <c r="V1802" s="16">
        <v>5.4024000000000001</v>
      </c>
      <c r="W1802" s="17">
        <f t="shared" si="28"/>
        <v>-3.5413899955731853E-3</v>
      </c>
    </row>
    <row r="1803" spans="1:23" x14ac:dyDescent="0.2">
      <c r="A1803" s="15">
        <v>44183</v>
      </c>
      <c r="B1803" s="5">
        <v>-266256961908215</v>
      </c>
      <c r="C1803" s="5">
        <f>[1]!nefin_factors__1[[#This Row],[Rm_minus_Rf]]/B1802-1</f>
        <v>-1.641407913680146</v>
      </c>
      <c r="D1803" s="5">
        <v>-51627729567565</v>
      </c>
      <c r="E1803" s="5">
        <f>[1]!nefin_factors__1[[#This Row],[SMB]]/D1802-1</f>
        <v>-0.93755682376860017</v>
      </c>
      <c r="F1803" s="5">
        <v>85403917905164</v>
      </c>
      <c r="G1803" s="5">
        <f>[1]!nefin_factors__1[[#This Row],[HML]]/F1802-1</f>
        <v>-1.0925217438129495</v>
      </c>
      <c r="H1803" s="5">
        <v>7508172664</v>
      </c>
      <c r="I1803" s="6">
        <f>[1]!nefin_factors__1[[#This Row],[Risk_Free]]/H1802-1</f>
        <v>8.9484043386770828</v>
      </c>
      <c r="J1803">
        <v>114845</v>
      </c>
      <c r="K1803">
        <v>114974</v>
      </c>
      <c r="L1803">
        <v>113370</v>
      </c>
      <c r="M1803">
        <v>114019</v>
      </c>
      <c r="N1803">
        <v>78000</v>
      </c>
      <c r="O1803">
        <v>114019</v>
      </c>
      <c r="P1803">
        <v>-7.24416853140153E-3</v>
      </c>
      <c r="Q1803">
        <v>-7.2705349325275503E-3</v>
      </c>
      <c r="R1803" s="8">
        <v>15.3289575576782</v>
      </c>
      <c r="S1803" s="8">
        <v>-7.4563719640123996E-2</v>
      </c>
      <c r="T1803" s="9">
        <v>-7.7489998220597406E-2</v>
      </c>
      <c r="U1803" s="12">
        <v>7.4689999999999999E-3</v>
      </c>
      <c r="V1803" s="16">
        <v>5.3625999999999996</v>
      </c>
      <c r="W1803" s="17">
        <f t="shared" si="28"/>
        <v>-7.3670961054347339E-3</v>
      </c>
    </row>
    <row r="1804" spans="1:23" x14ac:dyDescent="0.2">
      <c r="A1804" s="14">
        <v>44186</v>
      </c>
      <c r="B1804" s="3">
        <v>-177800836314168</v>
      </c>
      <c r="C1804" s="3">
        <f>[1]!nefin_factors__1[[#This Row],[Rm_minus_Rf]]/B1803-1</f>
        <v>-0.33222089278003519</v>
      </c>
      <c r="D1804" s="3">
        <v>-660206627938743</v>
      </c>
      <c r="E1804" s="3">
        <f>[1]!nefin_factors__1[[#This Row],[SMB]]/D1803-1</f>
        <v>11.78782997952163</v>
      </c>
      <c r="F1804" s="3">
        <v>890472516501709</v>
      </c>
      <c r="G1804" s="3">
        <f>[1]!nefin_factors__1[[#This Row],[HML]]/F1803-1</f>
        <v>9.4266003052755263</v>
      </c>
      <c r="H1804" s="3">
        <v>754711249</v>
      </c>
      <c r="I1804" s="4">
        <f>[1]!nefin_factors__1[[#This Row],[Risk_Free]]/H1803-1</f>
        <v>-0.89948136746792318</v>
      </c>
      <c r="J1804">
        <v>114018</v>
      </c>
      <c r="K1804">
        <v>116736</v>
      </c>
      <c r="L1804">
        <v>113428</v>
      </c>
      <c r="M1804">
        <v>116549</v>
      </c>
      <c r="N1804">
        <v>94300</v>
      </c>
      <c r="O1804">
        <v>116549</v>
      </c>
      <c r="P1804">
        <v>2.21892842421001E-2</v>
      </c>
      <c r="Q1804">
        <v>2.1946684262561501E-2</v>
      </c>
      <c r="R1804" s="8">
        <v>15.8545217514038</v>
      </c>
      <c r="S1804" s="8">
        <v>3.4285710019617902E-2</v>
      </c>
      <c r="T1804" s="9">
        <v>3.3711053217632798E-2</v>
      </c>
      <c r="U1804" s="12">
        <v>7.4689999999999999E-3</v>
      </c>
      <c r="V1804" s="16">
        <v>5.3815</v>
      </c>
      <c r="W1804" s="17">
        <f t="shared" si="28"/>
        <v>3.5244098012159331E-3</v>
      </c>
    </row>
    <row r="1805" spans="1:23" x14ac:dyDescent="0.2">
      <c r="A1805" s="15">
        <v>44187</v>
      </c>
      <c r="B1805" s="5">
        <v>545071124163158</v>
      </c>
      <c r="C1805" s="5">
        <f>[1]!nefin_factors__1[[#This Row],[Rm_minus_Rf]]/B1804-1</f>
        <v>-4.0656274484560688</v>
      </c>
      <c r="D1805" s="5">
        <v>-270173368728641</v>
      </c>
      <c r="E1805" s="5">
        <f>[1]!nefin_factors__1[[#This Row],[SMB]]/D1804-1</f>
        <v>-0.59077452831371913</v>
      </c>
      <c r="F1805" s="5">
        <v>-16033841688357</v>
      </c>
      <c r="G1805" s="5">
        <f>[1]!nefin_factors__1[[#This Row],[HML]]/F1804-1</f>
        <v>-1.0180059927636478</v>
      </c>
      <c r="H1805" s="5">
        <v>754711249</v>
      </c>
      <c r="I1805" s="6">
        <f>[1]!nefin_factors__1[[#This Row],[Risk_Free]]/H1804-1</f>
        <v>0</v>
      </c>
      <c r="J1805">
        <v>116549</v>
      </c>
      <c r="K1805">
        <v>116751</v>
      </c>
      <c r="L1805">
        <v>114302</v>
      </c>
      <c r="M1805">
        <v>114835</v>
      </c>
      <c r="N1805">
        <v>9920100</v>
      </c>
      <c r="O1805">
        <v>114835</v>
      </c>
      <c r="P1805">
        <v>-1.4706260885979301E-2</v>
      </c>
      <c r="Q1805">
        <v>-1.4815469967999401E-2</v>
      </c>
      <c r="R1805" s="8">
        <v>15.2063255310059</v>
      </c>
      <c r="S1805" s="8">
        <v>-4.0883997042708398E-2</v>
      </c>
      <c r="T1805" s="9">
        <v>-4.1743248997699503E-2</v>
      </c>
      <c r="U1805" s="12">
        <v>7.4689999999999999E-3</v>
      </c>
      <c r="V1805" s="16">
        <v>5.4138000000000002</v>
      </c>
      <c r="W1805" s="17">
        <f t="shared" si="28"/>
        <v>6.002044039765897E-3</v>
      </c>
    </row>
    <row r="1806" spans="1:23" x14ac:dyDescent="0.2">
      <c r="A1806" s="14">
        <v>44188</v>
      </c>
      <c r="B1806" s="3">
        <v>94645079979717</v>
      </c>
      <c r="C1806" s="3">
        <f>[1]!nefin_factors__1[[#This Row],[Rm_minus_Rf]]/B1805-1</f>
        <v>-0.82636196308321308</v>
      </c>
      <c r="D1806" s="3">
        <v>-813506283767656</v>
      </c>
      <c r="E1806" s="3">
        <f>[1]!nefin_factors__1[[#This Row],[SMB]]/D1805-1</f>
        <v>2.0110528198829702</v>
      </c>
      <c r="F1806" s="3">
        <v>828591856091443</v>
      </c>
      <c r="G1806" s="3">
        <f>[1]!nefin_factors__1[[#This Row],[HML]]/F1805-1</f>
        <v>-52.677687244044968</v>
      </c>
      <c r="H1806" s="3">
        <v>754711249</v>
      </c>
      <c r="I1806" s="4">
        <f>[1]!nefin_factors__1[[#This Row],[Risk_Free]]/H1805-1</f>
        <v>0</v>
      </c>
      <c r="J1806">
        <v>114837</v>
      </c>
      <c r="K1806">
        <v>116446</v>
      </c>
      <c r="L1806">
        <v>114610</v>
      </c>
      <c r="M1806">
        <v>116222</v>
      </c>
      <c r="N1806">
        <v>12341800</v>
      </c>
      <c r="O1806">
        <v>116222</v>
      </c>
      <c r="P1806">
        <v>1.2078199155309799E-2</v>
      </c>
      <c r="Q1806">
        <v>1.2005839772553499E-2</v>
      </c>
      <c r="R1806" s="8">
        <v>16.248695373535199</v>
      </c>
      <c r="S1806" s="8">
        <v>6.8548436662354301E-2</v>
      </c>
      <c r="T1806" s="9">
        <v>6.6301126207140404E-2</v>
      </c>
      <c r="U1806" s="12">
        <v>7.4689999999999999E-3</v>
      </c>
      <c r="V1806" s="16">
        <v>5.4238</v>
      </c>
      <c r="W1806" s="17">
        <f t="shared" si="28"/>
        <v>1.8471314049282039E-3</v>
      </c>
    </row>
    <row r="1807" spans="1:23" x14ac:dyDescent="0.2">
      <c r="A1807" s="15">
        <v>44193</v>
      </c>
      <c r="B1807" s="5">
        <v>114881183254828</v>
      </c>
      <c r="C1807" s="5">
        <f>[1]!nefin_factors__1[[#This Row],[Rm_minus_Rf]]/B1806-1</f>
        <v>0.2138104091564792</v>
      </c>
      <c r="D1807" s="5">
        <v>-623608215247035</v>
      </c>
      <c r="E1807" s="5">
        <f>[1]!nefin_factors__1[[#This Row],[SMB]]/D1806-1</f>
        <v>-0.23343159396523783</v>
      </c>
      <c r="F1807" s="5">
        <v>-393147599141404</v>
      </c>
      <c r="G1807" s="5">
        <f>[1]!nefin_factors__1[[#This Row],[HML]]/F1806-1</f>
        <v>-1.4744767840175543</v>
      </c>
      <c r="H1807" s="5">
        <v>754711249</v>
      </c>
      <c r="I1807" s="6">
        <f>[1]!nefin_factors__1[[#This Row],[Risk_Free]]/H1806-1</f>
        <v>0</v>
      </c>
      <c r="J1807">
        <v>116222</v>
      </c>
      <c r="K1807">
        <v>116225</v>
      </c>
      <c r="L1807">
        <v>113620</v>
      </c>
      <c r="M1807">
        <v>114979</v>
      </c>
      <c r="N1807">
        <v>8160600</v>
      </c>
      <c r="O1807">
        <v>114979</v>
      </c>
      <c r="P1807">
        <v>-1.0695049130113101E-2</v>
      </c>
      <c r="Q1807">
        <v>-1.0752652248331799E-2</v>
      </c>
      <c r="R1807" s="8">
        <v>16.0647487640381</v>
      </c>
      <c r="S1807" s="8">
        <v>-1.13207002327504E-2</v>
      </c>
      <c r="T1807" s="9">
        <v>-1.1385267117031E-2</v>
      </c>
      <c r="U1807" s="12">
        <v>7.4689999999999999E-3</v>
      </c>
      <c r="V1807" s="16">
        <v>5.3924000000000003</v>
      </c>
      <c r="W1807" s="17">
        <f t="shared" si="28"/>
        <v>-5.7892990154503332E-3</v>
      </c>
    </row>
    <row r="1808" spans="1:23" x14ac:dyDescent="0.2">
      <c r="A1808" s="14">
        <v>44194</v>
      </c>
      <c r="B1808" s="3">
        <v>285572734228398</v>
      </c>
      <c r="C1808" s="3">
        <f>[1]!nefin_factors__1[[#This Row],[Rm_minus_Rf]]/B1807-1</f>
        <v>1.4858094784325484</v>
      </c>
      <c r="D1808" s="3">
        <v>321067260794888</v>
      </c>
      <c r="E1808" s="3">
        <f>[1]!nefin_factors__1[[#This Row],[SMB]]/D1807-1</f>
        <v>-1.5148541230613857</v>
      </c>
      <c r="F1808" s="3">
        <v>129765122479562</v>
      </c>
      <c r="G1808" s="3">
        <f>[1]!nefin_factors__1[[#This Row],[HML]]/F1807-1</f>
        <v>-1.3300671879033634</v>
      </c>
      <c r="H1808" s="3">
        <v>7508172664</v>
      </c>
      <c r="I1808" s="4">
        <f>[1]!nefin_factors__1[[#This Row],[Risk_Free]]/H1807-1</f>
        <v>8.9484043386770828</v>
      </c>
      <c r="J1808">
        <v>114977</v>
      </c>
      <c r="K1808">
        <v>115599</v>
      </c>
      <c r="L1808">
        <v>113062</v>
      </c>
      <c r="M1808">
        <v>113262</v>
      </c>
      <c r="N1808">
        <v>8301500</v>
      </c>
      <c r="O1808">
        <v>113262</v>
      </c>
      <c r="P1808">
        <v>-1.4933161707790099E-2</v>
      </c>
      <c r="Q1808">
        <v>-1.5045783977948301E-2</v>
      </c>
      <c r="R1808" s="8">
        <v>16.958206176757798</v>
      </c>
      <c r="S1808" s="8">
        <v>5.56160215041634E-2</v>
      </c>
      <c r="T1808" s="9">
        <v>5.41245031598971E-2</v>
      </c>
      <c r="U1808" s="12">
        <v>7.4689999999999999E-3</v>
      </c>
      <c r="V1808" s="16">
        <v>5.5044000000000004</v>
      </c>
      <c r="W1808" s="17">
        <f t="shared" si="28"/>
        <v>2.0769972553964955E-2</v>
      </c>
    </row>
    <row r="1809" spans="1:23" x14ac:dyDescent="0.2">
      <c r="A1809" s="15">
        <v>44195</v>
      </c>
      <c r="B1809" s="5">
        <v>-361211746120536</v>
      </c>
      <c r="C1809" s="5">
        <f>[1]!nefin_factors__1[[#This Row],[Rm_minus_Rf]]/B1808-1</f>
        <v>-2.2648677651124869</v>
      </c>
      <c r="D1809" s="5">
        <v>833311701989995</v>
      </c>
      <c r="E1809" s="5">
        <f>[1]!nefin_factors__1[[#This Row],[SMB]]/D1808-1</f>
        <v>1.5954427739748636</v>
      </c>
      <c r="F1809" s="5">
        <v>395843790335134</v>
      </c>
      <c r="G1809" s="5">
        <f>[1]!nefin_factors__1[[#This Row],[HML]]/F1808-1</f>
        <v>2.0504636590427401</v>
      </c>
      <c r="H1809" s="5">
        <v>754711249</v>
      </c>
      <c r="I1809" s="6">
        <f>[1]!nefin_factors__1[[#This Row],[Risk_Free]]/H1808-1</f>
        <v>-0.89948136746792318</v>
      </c>
      <c r="J1809">
        <v>113272</v>
      </c>
      <c r="K1809">
        <v>114823</v>
      </c>
      <c r="L1809">
        <v>112064</v>
      </c>
      <c r="M1809">
        <v>112064</v>
      </c>
      <c r="N1809">
        <v>9834000</v>
      </c>
      <c r="O1809">
        <v>112064</v>
      </c>
      <c r="P1809">
        <v>-1.05772456781621E-2</v>
      </c>
      <c r="Q1809">
        <v>-1.0633582351265001E-2</v>
      </c>
      <c r="R1809" s="8">
        <v>16.3713264465332</v>
      </c>
      <c r="S1809" s="8">
        <v>-3.4607418031569998E-2</v>
      </c>
      <c r="T1809" s="9">
        <v>-3.5220439679579003E-2</v>
      </c>
      <c r="U1809" s="12">
        <v>7.4689999999999999E-3</v>
      </c>
      <c r="V1809" s="16">
        <v>5.4489999999999998</v>
      </c>
      <c r="W1809" s="17">
        <f t="shared" si="28"/>
        <v>-1.0064675532301504E-2</v>
      </c>
    </row>
    <row r="1810" spans="1:23" x14ac:dyDescent="0.2">
      <c r="A1810" s="14">
        <v>44200</v>
      </c>
      <c r="B1810" s="3">
        <v>-175131410525497</v>
      </c>
      <c r="C1810" s="3">
        <f>[1]!nefin_factors__1[[#This Row],[Rm_minus_Rf]]/B1809-1</f>
        <v>-0.51515582644686253</v>
      </c>
      <c r="D1810" s="3">
        <v>-152844174807881</v>
      </c>
      <c r="E1810" s="3">
        <f>[1]!nefin_factors__1[[#This Row],[SMB]]/D1809-1</f>
        <v>-1.1834177708567881</v>
      </c>
      <c r="F1810" s="3">
        <v>13363548420975</v>
      </c>
      <c r="G1810" s="3">
        <f>[1]!nefin_factors__1[[#This Row],[HML]]/F1809-1</f>
        <v>-0.96624034847266138</v>
      </c>
      <c r="H1810" s="3">
        <v>754711249</v>
      </c>
      <c r="I1810" s="4">
        <f>[1]!nefin_factors__1[[#This Row],[Risk_Free]]/H1809-1</f>
        <v>0</v>
      </c>
      <c r="J1810">
        <v>112065</v>
      </c>
      <c r="K1810">
        <v>114024</v>
      </c>
      <c r="L1810">
        <v>110927</v>
      </c>
      <c r="M1810">
        <v>113750</v>
      </c>
      <c r="N1810">
        <v>10306500</v>
      </c>
      <c r="O1810">
        <v>113750</v>
      </c>
      <c r="P1810">
        <v>1.5044974300399701E-2</v>
      </c>
      <c r="Q1810">
        <v>1.4932921167673099E-2</v>
      </c>
      <c r="R1810" s="8">
        <v>16.809297561645501</v>
      </c>
      <c r="S1810" s="8">
        <v>2.6752329235060199E-2</v>
      </c>
      <c r="T1810" s="9">
        <v>2.6400742403270401E-2</v>
      </c>
      <c r="U1810" s="12">
        <v>7.4689999999999999E-3</v>
      </c>
      <c r="V1810" s="16">
        <v>5.4181999999999997</v>
      </c>
      <c r="W1810" s="17">
        <f t="shared" si="28"/>
        <v>-5.6524132868416288E-3</v>
      </c>
    </row>
    <row r="1811" spans="1:23" x14ac:dyDescent="0.2">
      <c r="A1811" s="15">
        <v>44201</v>
      </c>
      <c r="B1811" s="5">
        <v>341412598713841</v>
      </c>
      <c r="C1811" s="5">
        <f>[1]!nefin_factors__1[[#This Row],[Rm_minus_Rf]]/B1810-1</f>
        <v>-2.9494652483492416</v>
      </c>
      <c r="D1811" s="5">
        <v>-880613315369329</v>
      </c>
      <c r="E1811" s="5">
        <f>[1]!nefin_factors__1[[#This Row],[SMB]]/D1810-1</f>
        <v>4.7615104826613424</v>
      </c>
      <c r="F1811" s="5">
        <v>404558256705506</v>
      </c>
      <c r="G1811" s="5">
        <f>[1]!nefin_factors__1[[#This Row],[HML]]/F1810-1</f>
        <v>29.273266048897931</v>
      </c>
      <c r="H1811" s="5">
        <v>754711249</v>
      </c>
      <c r="I1811" s="6">
        <f>[1]!nefin_factors__1[[#This Row],[Risk_Free]]/H1810-1</f>
        <v>0</v>
      </c>
      <c r="J1811">
        <v>113750</v>
      </c>
      <c r="K1811">
        <v>115416</v>
      </c>
      <c r="L1811">
        <v>113305</v>
      </c>
      <c r="M1811">
        <v>114781</v>
      </c>
      <c r="N1811">
        <v>8659500</v>
      </c>
      <c r="O1811">
        <v>114781</v>
      </c>
      <c r="P1811">
        <v>9.0637362637362405E-3</v>
      </c>
      <c r="Q1811">
        <v>9.0229071304240294E-3</v>
      </c>
      <c r="R1811" s="8">
        <v>16.5815525054932</v>
      </c>
      <c r="S1811" s="8">
        <v>-1.3548755105150899E-2</v>
      </c>
      <c r="T1811" s="9">
        <v>-1.36413770470751E-2</v>
      </c>
      <c r="U1811" s="12">
        <v>7.4689999999999999E-3</v>
      </c>
      <c r="V1811" s="16">
        <v>5.46</v>
      </c>
      <c r="W1811" s="17">
        <f t="shared" si="28"/>
        <v>7.7147392122844938E-3</v>
      </c>
    </row>
    <row r="1812" spans="1:23" x14ac:dyDescent="0.2">
      <c r="A1812" s="14">
        <v>44202</v>
      </c>
      <c r="B1812" s="3">
        <v>-781865384314152</v>
      </c>
      <c r="C1812" s="3">
        <f>[1]!nefin_factors__1[[#This Row],[Rm_minus_Rf]]/B1811-1</f>
        <v>-3.2900894321403813</v>
      </c>
      <c r="D1812" s="3">
        <v>-268490478681031</v>
      </c>
      <c r="E1812" s="3">
        <f>[1]!nefin_factors__1[[#This Row],[SMB]]/D1811-1</f>
        <v>-0.69510967640953036</v>
      </c>
      <c r="F1812" s="3">
        <v>286380270135235</v>
      </c>
      <c r="G1812" s="3">
        <f>[1]!nefin_factors__1[[#This Row],[HML]]/F1811-1</f>
        <v>-0.29211611581641117</v>
      </c>
      <c r="H1812" s="3">
        <v>7508172664</v>
      </c>
      <c r="I1812" s="4">
        <f>[1]!nefin_factors__1[[#This Row],[Risk_Free]]/H1811-1</f>
        <v>8.9484043386770828</v>
      </c>
      <c r="J1812">
        <v>114776</v>
      </c>
      <c r="K1812">
        <v>115553</v>
      </c>
      <c r="L1812">
        <v>114096</v>
      </c>
      <c r="M1812">
        <v>115419</v>
      </c>
      <c r="N1812">
        <v>7463300</v>
      </c>
      <c r="O1812">
        <v>115419</v>
      </c>
      <c r="P1812">
        <v>5.5584112353088697E-3</v>
      </c>
      <c r="Q1812">
        <v>5.5430202740999598E-3</v>
      </c>
      <c r="R1812" s="8">
        <v>16.660387039184599</v>
      </c>
      <c r="S1812" s="8">
        <v>4.7543517813117796E-3</v>
      </c>
      <c r="T1812" s="9">
        <v>4.7430855458672197E-3</v>
      </c>
      <c r="U1812" s="12">
        <v>7.4689999999999999E-3</v>
      </c>
      <c r="V1812" s="16">
        <v>5.5301999999999998</v>
      </c>
      <c r="W1812" s="17">
        <f t="shared" si="28"/>
        <v>1.28571428571429E-2</v>
      </c>
    </row>
    <row r="1813" spans="1:23" x14ac:dyDescent="0.2">
      <c r="A1813" s="15">
        <v>44203</v>
      </c>
      <c r="B1813" s="5">
        <v>23529180424664</v>
      </c>
      <c r="C1813" s="5">
        <f>[1]!nefin_factors__1[[#This Row],[Rm_minus_Rf]]/B1812-1</f>
        <v>-1.0300936464213768</v>
      </c>
      <c r="D1813" s="5">
        <v>-246320122115416</v>
      </c>
      <c r="E1813" s="5">
        <f>[1]!nefin_factors__1[[#This Row],[SMB]]/D1812-1</f>
        <v>-8.2574088565552373E-2</v>
      </c>
      <c r="F1813" s="5">
        <v>-442532696496115</v>
      </c>
      <c r="G1813" s="5">
        <f>[1]!nefin_factors__1[[#This Row],[HML]]/F1812-1</f>
        <v>-2.5452625150718009</v>
      </c>
      <c r="H1813" s="5">
        <v>754711249</v>
      </c>
      <c r="I1813" s="6">
        <f>[1]!nefin_factors__1[[#This Row],[Risk_Free]]/H1812-1</f>
        <v>-0.89948136746792318</v>
      </c>
      <c r="J1813">
        <v>115414</v>
      </c>
      <c r="K1813">
        <v>117090</v>
      </c>
      <c r="L1813">
        <v>114999</v>
      </c>
      <c r="M1813">
        <v>116850</v>
      </c>
      <c r="N1813">
        <v>8141600</v>
      </c>
      <c r="O1813">
        <v>116850</v>
      </c>
      <c r="P1813">
        <v>1.2398305305019199E-2</v>
      </c>
      <c r="Q1813">
        <v>1.2322075749283099E-2</v>
      </c>
      <c r="R1813" s="8">
        <v>17.588884353637699</v>
      </c>
      <c r="S1813" s="8">
        <v>5.57308370009253E-2</v>
      </c>
      <c r="T1813" s="9">
        <v>5.4233263590626399E-2</v>
      </c>
      <c r="U1813" s="12">
        <v>7.4689999999999999E-3</v>
      </c>
      <c r="V1813" s="16">
        <v>5.5831999999999997</v>
      </c>
      <c r="W1813" s="17">
        <f t="shared" si="28"/>
        <v>9.5837401902281183E-3</v>
      </c>
    </row>
    <row r="1814" spans="1:23" x14ac:dyDescent="0.2">
      <c r="A1814" s="14">
        <v>44204</v>
      </c>
      <c r="B1814" s="3">
        <v>22940230150139</v>
      </c>
      <c r="C1814" s="3">
        <f>[1]!nefin_factors__1[[#This Row],[Rm_minus_Rf]]/B1813-1</f>
        <v>-2.5030632767286898E-2</v>
      </c>
      <c r="D1814" s="3">
        <v>-193609356130468</v>
      </c>
      <c r="E1814" s="3">
        <f>[1]!nefin_factors__1[[#This Row],[SMB]]/D1813-1</f>
        <v>-0.21399293542185638</v>
      </c>
      <c r="F1814" s="3">
        <v>-169538870646849</v>
      </c>
      <c r="G1814" s="3">
        <f>[1]!nefin_factors__1[[#This Row],[HML]]/F1813-1</f>
        <v>-0.61688961744697346</v>
      </c>
      <c r="H1814" s="3">
        <v>754711249</v>
      </c>
      <c r="I1814" s="4">
        <f>[1]!nefin_factors__1[[#This Row],[Risk_Free]]/H1813-1</f>
        <v>0</v>
      </c>
      <c r="J1814">
        <v>116850</v>
      </c>
      <c r="K1814">
        <v>117249</v>
      </c>
      <c r="L1814">
        <v>115932</v>
      </c>
      <c r="M1814">
        <v>116634</v>
      </c>
      <c r="N1814">
        <v>10659200</v>
      </c>
      <c r="O1814">
        <v>116634</v>
      </c>
      <c r="P1814">
        <v>-1.8485237483953901E-3</v>
      </c>
      <c r="Q1814">
        <v>-1.85023437683617E-3</v>
      </c>
      <c r="R1814" s="8">
        <v>17.273544311523398</v>
      </c>
      <c r="S1814" s="8">
        <v>-1.7928370883229999E-2</v>
      </c>
      <c r="T1814" s="9">
        <v>-1.8091031213711001E-2</v>
      </c>
      <c r="U1814" s="12">
        <v>7.4689999999999999E-3</v>
      </c>
      <c r="V1814" s="16">
        <v>5.6844000000000001</v>
      </c>
      <c r="W1814" s="17">
        <f t="shared" si="28"/>
        <v>1.8125805989396726E-2</v>
      </c>
    </row>
    <row r="1815" spans="1:23" x14ac:dyDescent="0.2">
      <c r="A1815" s="15">
        <v>44207</v>
      </c>
      <c r="B1815" s="5">
        <v>-141662069179023</v>
      </c>
      <c r="C1815" s="5">
        <f>[1]!nefin_factors__1[[#This Row],[Rm_minus_Rf]]/B1814-1</f>
        <v>-7.17526800088205</v>
      </c>
      <c r="D1815" s="5">
        <v>502370850057068</v>
      </c>
      <c r="E1815" s="5">
        <f>[1]!nefin_factors__1[[#This Row],[SMB]]/D1814-1</f>
        <v>-3.5947653568897473</v>
      </c>
      <c r="F1815" s="5">
        <v>-201620544697607</v>
      </c>
      <c r="G1815" s="5">
        <f>[1]!nefin_factors__1[[#This Row],[HML]]/F1814-1</f>
        <v>0.18922901826793703</v>
      </c>
      <c r="H1815" s="5">
        <v>754711249</v>
      </c>
      <c r="I1815" s="6">
        <f>[1]!nefin_factors__1[[#This Row],[Risk_Free]]/H1814-1</f>
        <v>0</v>
      </c>
      <c r="J1815">
        <v>116644</v>
      </c>
      <c r="K1815">
        <v>117088</v>
      </c>
      <c r="L1815">
        <v>114991</v>
      </c>
      <c r="M1815">
        <v>115253</v>
      </c>
      <c r="N1815">
        <v>8009200</v>
      </c>
      <c r="O1815">
        <v>115253</v>
      </c>
      <c r="P1815">
        <v>-1.1840458185434799E-2</v>
      </c>
      <c r="Q1815">
        <v>-1.1911114701293499E-2</v>
      </c>
      <c r="R1815" s="8">
        <v>16.870613098144499</v>
      </c>
      <c r="S1815" s="8">
        <v>-2.3326493168521499E-2</v>
      </c>
      <c r="T1815" s="9">
        <v>-2.36028620819402E-2</v>
      </c>
      <c r="U1815" s="12">
        <v>7.4689999999999999E-3</v>
      </c>
      <c r="V1815" s="16">
        <v>5.7342000000000004</v>
      </c>
      <c r="W1815" s="17">
        <f t="shared" si="28"/>
        <v>8.7608190838084354E-3</v>
      </c>
    </row>
    <row r="1816" spans="1:23" x14ac:dyDescent="0.2">
      <c r="A1816" s="14">
        <v>44208</v>
      </c>
      <c r="B1816" s="3">
        <v>871756299874849</v>
      </c>
      <c r="C1816" s="3">
        <f>[1]!nefin_factors__1[[#This Row],[Rm_minus_Rf]]/B1815-1</f>
        <v>-7.1537735889850795</v>
      </c>
      <c r="D1816" s="3">
        <v>86191249447093</v>
      </c>
      <c r="E1816" s="3">
        <f>[1]!nefin_factors__1[[#This Row],[SMB]]/D1815-1</f>
        <v>-0.82843102971181171</v>
      </c>
      <c r="F1816" s="3">
        <v>-705262574949104</v>
      </c>
      <c r="G1816" s="3">
        <f>[1]!nefin_factors__1[[#This Row],[HML]]/F1815-1</f>
        <v>2.4979697927454048</v>
      </c>
      <c r="H1816" s="3">
        <v>754711249</v>
      </c>
      <c r="I1816" s="4">
        <f>[1]!nefin_factors__1[[#This Row],[Risk_Free]]/H1815-1</f>
        <v>0</v>
      </c>
      <c r="J1816">
        <v>115262</v>
      </c>
      <c r="K1816">
        <v>117668</v>
      </c>
      <c r="L1816">
        <v>115262</v>
      </c>
      <c r="M1816">
        <v>117518</v>
      </c>
      <c r="N1816">
        <v>7245100</v>
      </c>
      <c r="O1816">
        <v>117518</v>
      </c>
      <c r="P1816">
        <v>1.9652416856827899E-2</v>
      </c>
      <c r="Q1816">
        <v>1.9461801434220001E-2</v>
      </c>
      <c r="R1816" s="8">
        <v>17.781591415405298</v>
      </c>
      <c r="S1816" s="8">
        <v>5.3997937831965E-2</v>
      </c>
      <c r="T1816" s="9">
        <v>5.2590493601094399E-2</v>
      </c>
      <c r="U1816" s="12">
        <v>7.4689999999999999E-3</v>
      </c>
      <c r="V1816" s="16">
        <v>5.6007999999999996</v>
      </c>
      <c r="W1816" s="17">
        <f t="shared" si="28"/>
        <v>-2.3263925220606385E-2</v>
      </c>
    </row>
    <row r="1817" spans="1:23" x14ac:dyDescent="0.2">
      <c r="A1817" s="15">
        <v>44209</v>
      </c>
      <c r="B1817" s="5">
        <v>-150751483781768</v>
      </c>
      <c r="C1817" s="5">
        <f>[1]!nefin_factors__1[[#This Row],[Rm_minus_Rf]]/B1816-1</f>
        <v>-1.1729284707244561</v>
      </c>
      <c r="D1817" s="5">
        <v>321269081596922</v>
      </c>
      <c r="E1817" s="5">
        <f>[1]!nefin_factors__1[[#This Row],[SMB]]/D1816-1</f>
        <v>2.7273978931483924</v>
      </c>
      <c r="F1817" s="5">
        <v>-321894236634558</v>
      </c>
      <c r="G1817" s="5">
        <f>[1]!nefin_factors__1[[#This Row],[HML]]/F1816-1</f>
        <v>-0.54358242154308578</v>
      </c>
      <c r="H1817" s="5">
        <v>754711249</v>
      </c>
      <c r="I1817" s="6">
        <f>[1]!nefin_factors__1[[#This Row],[Risk_Free]]/H1816-1</f>
        <v>0</v>
      </c>
      <c r="J1817">
        <v>117519</v>
      </c>
      <c r="K1817">
        <v>118213</v>
      </c>
      <c r="L1817">
        <v>117176</v>
      </c>
      <c r="M1817">
        <v>117499</v>
      </c>
      <c r="N1817">
        <v>6800800</v>
      </c>
      <c r="O1817">
        <v>117499</v>
      </c>
      <c r="P1817">
        <v>-1.61677360064005E-4</v>
      </c>
      <c r="Q1817">
        <v>-1.6169043125728E-4</v>
      </c>
      <c r="R1817" s="8">
        <v>17.8341464996338</v>
      </c>
      <c r="S1817" s="8">
        <v>2.9555894633246402E-3</v>
      </c>
      <c r="T1817" s="9">
        <v>2.9512302959473599E-3</v>
      </c>
      <c r="U1817" s="12">
        <v>7.4689999999999999E-3</v>
      </c>
      <c r="V1817" s="16">
        <v>5.6870000000000003</v>
      </c>
      <c r="W1817" s="17">
        <f t="shared" si="28"/>
        <v>1.539065847736043E-2</v>
      </c>
    </row>
    <row r="1818" spans="1:23" x14ac:dyDescent="0.2">
      <c r="A1818" s="14">
        <v>44210</v>
      </c>
      <c r="B1818" s="3">
        <v>141102482303471</v>
      </c>
      <c r="C1818" s="3">
        <f>[1]!nefin_factors__1[[#This Row],[Rm_minus_Rf]]/B1817-1</f>
        <v>-1.9359939866843026</v>
      </c>
      <c r="D1818" s="3">
        <v>-886333826382311</v>
      </c>
      <c r="E1818" s="3">
        <f>[1]!nefin_factors__1[[#This Row],[SMB]]/D1817-1</f>
        <v>-3.7588519317720821</v>
      </c>
      <c r="F1818" s="3">
        <v>553321339548649</v>
      </c>
      <c r="G1818" s="3">
        <f>[1]!nefin_factors__1[[#This Row],[HML]]/F1817-1</f>
        <v>-2.7189538568123757</v>
      </c>
      <c r="H1818" s="3">
        <v>754711249</v>
      </c>
      <c r="I1818" s="4">
        <f>[1]!nefin_factors__1[[#This Row],[Risk_Free]]/H1817-1</f>
        <v>0</v>
      </c>
      <c r="J1818">
        <v>117499</v>
      </c>
      <c r="K1818">
        <v>118303</v>
      </c>
      <c r="L1818">
        <v>116748</v>
      </c>
      <c r="M1818">
        <v>117624</v>
      </c>
      <c r="N1818">
        <v>0</v>
      </c>
      <c r="O1818">
        <v>117624</v>
      </c>
      <c r="P1818">
        <v>1.06383884118166E-3</v>
      </c>
      <c r="Q1818">
        <v>1.06327336565601E-3</v>
      </c>
      <c r="R1818" s="8">
        <v>17.606403350830099</v>
      </c>
      <c r="S1818" s="8">
        <v>-1.27700615674761E-2</v>
      </c>
      <c r="T1818" s="9">
        <v>-1.28522996776836E-2</v>
      </c>
      <c r="U1818" s="12">
        <v>7.4689999999999999E-3</v>
      </c>
      <c r="V1818" s="16">
        <v>5.7343000000000002</v>
      </c>
      <c r="W1818" s="17">
        <f t="shared" si="28"/>
        <v>8.3172147001933094E-3</v>
      </c>
    </row>
    <row r="1819" spans="1:23" x14ac:dyDescent="0.2">
      <c r="A1819" s="15">
        <v>44211</v>
      </c>
      <c r="B1819" s="5">
        <v>-239210659447389</v>
      </c>
      <c r="C1819" s="5">
        <f>[1]!nefin_factors__1[[#This Row],[Rm_minus_Rf]]/B1818-1</f>
        <v>-2.6952973154144475</v>
      </c>
      <c r="D1819" s="5">
        <v>160029567802973</v>
      </c>
      <c r="E1819" s="5">
        <f>[1]!nefin_factors__1[[#This Row],[SMB]]/D1818-1</f>
        <v>-1.1805522513522415</v>
      </c>
      <c r="F1819" s="5">
        <v>-140469390074653</v>
      </c>
      <c r="G1819" s="5">
        <f>[1]!nefin_factors__1[[#This Row],[HML]]/F1818-1</f>
        <v>-1.2538658461812364</v>
      </c>
      <c r="H1819" s="5">
        <v>7508172664</v>
      </c>
      <c r="I1819" s="6">
        <f>[1]!nefin_factors__1[[#This Row],[Risk_Free]]/H1818-1</f>
        <v>8.9484043386770828</v>
      </c>
      <c r="J1819">
        <v>117624</v>
      </c>
      <c r="K1819">
        <v>118850</v>
      </c>
      <c r="L1819">
        <v>117486</v>
      </c>
      <c r="M1819">
        <v>118313</v>
      </c>
      <c r="N1819">
        <v>8778200</v>
      </c>
      <c r="O1819">
        <v>118313</v>
      </c>
      <c r="P1819">
        <v>5.8576480990273298E-3</v>
      </c>
      <c r="Q1819">
        <v>5.8405587813992396E-3</v>
      </c>
      <c r="R1819" s="8">
        <v>17.606403350830099</v>
      </c>
      <c r="S1819" s="8">
        <v>0</v>
      </c>
      <c r="T1819" s="9">
        <v>0</v>
      </c>
      <c r="U1819" s="12">
        <v>7.4689999999999999E-3</v>
      </c>
      <c r="V1819" s="16">
        <v>5.8396999999999997</v>
      </c>
      <c r="W1819" s="17">
        <f t="shared" si="28"/>
        <v>1.8380621871893599E-2</v>
      </c>
    </row>
    <row r="1820" spans="1:23" x14ac:dyDescent="0.2">
      <c r="A1820" s="14">
        <v>44214</v>
      </c>
      <c r="B1820" s="3">
        <v>805985548744267</v>
      </c>
      <c r="C1820" s="3">
        <f>[1]!nefin_factors__1[[#This Row],[Rm_minus_Rf]]/B1819-1</f>
        <v>-4.3693546542039954</v>
      </c>
      <c r="D1820" s="3">
        <v>-257105148290345</v>
      </c>
      <c r="E1820" s="3">
        <f>[1]!nefin_factors__1[[#This Row],[SMB]]/D1819-1</f>
        <v>-2.6066102772138371</v>
      </c>
      <c r="F1820" s="3">
        <v>-732919063942161</v>
      </c>
      <c r="G1820" s="3">
        <f>[1]!nefin_factors__1[[#This Row],[HML]]/F1819-1</f>
        <v>4.2176425308933734</v>
      </c>
      <c r="H1820" s="3">
        <v>7508172664</v>
      </c>
      <c r="I1820" s="4">
        <f>[1]!nefin_factors__1[[#This Row],[Risk_Free]]/H1819-1</f>
        <v>0</v>
      </c>
      <c r="J1820">
        <v>118313</v>
      </c>
      <c r="K1820">
        <v>118643</v>
      </c>
      <c r="L1820">
        <v>117336</v>
      </c>
      <c r="M1820">
        <v>117670</v>
      </c>
      <c r="N1820">
        <v>7739400</v>
      </c>
      <c r="O1820">
        <v>117670</v>
      </c>
      <c r="P1820">
        <v>-5.4347366730621597E-3</v>
      </c>
      <c r="Q1820">
        <v>-5.44955858091786E-3</v>
      </c>
      <c r="R1820" s="8">
        <v>17.790349960327099</v>
      </c>
      <c r="S1820" s="8">
        <v>1.0447710746578799E-2</v>
      </c>
      <c r="T1820" s="9">
        <v>1.03935106014242E-2</v>
      </c>
      <c r="U1820" s="12">
        <v>7.4689999999999999E-3</v>
      </c>
      <c r="V1820" s="16">
        <v>5.7449000000000003</v>
      </c>
      <c r="W1820" s="17">
        <f t="shared" si="28"/>
        <v>-1.6233710635820242E-2</v>
      </c>
    </row>
    <row r="1821" spans="1:23" x14ac:dyDescent="0.2">
      <c r="A1821" s="15">
        <v>44215</v>
      </c>
      <c r="B1821" s="5">
        <v>-616735251383983</v>
      </c>
      <c r="C1821" s="5">
        <f>[1]!nefin_factors__1[[#This Row],[Rm_minus_Rf]]/B1820-1</f>
        <v>-1.76519393225457</v>
      </c>
      <c r="D1821" s="5">
        <v>-675553549161797</v>
      </c>
      <c r="E1821" s="5">
        <f>[1]!nefin_factors__1[[#This Row],[SMB]]/D1820-1</f>
        <v>1.6275380079083615</v>
      </c>
      <c r="F1821" s="5">
        <v>-142379173860185</v>
      </c>
      <c r="G1821" s="5">
        <f>[1]!nefin_factors__1[[#This Row],[HML]]/F1820-1</f>
        <v>-0.80573683935253593</v>
      </c>
      <c r="H1821" s="5">
        <v>754711249</v>
      </c>
      <c r="I1821" s="6">
        <f>[1]!nefin_factors__1[[#This Row],[Risk_Free]]/H1820-1</f>
        <v>-0.89948136746792318</v>
      </c>
      <c r="J1821">
        <v>117661</v>
      </c>
      <c r="K1821">
        <v>118812</v>
      </c>
      <c r="L1821">
        <v>117661</v>
      </c>
      <c r="M1821">
        <v>118812</v>
      </c>
      <c r="N1821">
        <v>7000500</v>
      </c>
      <c r="O1821">
        <v>118812</v>
      </c>
      <c r="P1821">
        <v>9.7051075040366398E-3</v>
      </c>
      <c r="Q1821">
        <v>9.6583154525402906E-3</v>
      </c>
      <c r="R1821" s="8">
        <v>18.088169097900401</v>
      </c>
      <c r="S1821" s="8">
        <v>1.6740487862092899E-2</v>
      </c>
      <c r="T1821" s="9">
        <v>1.6601910327053299E-2</v>
      </c>
      <c r="U1821" s="12">
        <v>7.4689999999999999E-3</v>
      </c>
      <c r="V1821" s="16">
        <v>5.5890000000000004</v>
      </c>
      <c r="W1821" s="17">
        <f t="shared" si="28"/>
        <v>-2.7137112917544282E-2</v>
      </c>
    </row>
    <row r="1822" spans="1:23" x14ac:dyDescent="0.2">
      <c r="A1822" s="14">
        <v>44216</v>
      </c>
      <c r="B1822" s="3">
        <v>-759775679093105</v>
      </c>
      <c r="C1822" s="3">
        <f>[1]!nefin_factors__1[[#This Row],[Rm_minus_Rf]]/B1821-1</f>
        <v>0.23193165525747483</v>
      </c>
      <c r="D1822" s="3">
        <v>319084752590014</v>
      </c>
      <c r="E1822" s="3">
        <f>[1]!nefin_factors__1[[#This Row],[SMB]]/D1821-1</f>
        <v>-1.472330806323086</v>
      </c>
      <c r="F1822" s="3">
        <v>-106565350149522</v>
      </c>
      <c r="G1822" s="3">
        <f>[1]!nefin_factors__1[[#This Row],[HML]]/F1821-1</f>
        <v>-0.25153835873378394</v>
      </c>
      <c r="H1822" s="3">
        <v>754711249</v>
      </c>
      <c r="I1822" s="4">
        <f>[1]!nefin_factors__1[[#This Row],[Risk_Free]]/H1821-1</f>
        <v>0</v>
      </c>
      <c r="J1822">
        <v>118809</v>
      </c>
      <c r="K1822">
        <v>119529</v>
      </c>
      <c r="L1822">
        <v>118041</v>
      </c>
      <c r="M1822">
        <v>119297</v>
      </c>
      <c r="N1822">
        <v>8977600</v>
      </c>
      <c r="O1822">
        <v>119297</v>
      </c>
      <c r="P1822">
        <v>4.0820792512541396E-3</v>
      </c>
      <c r="Q1822">
        <v>4.0737701702900199E-3</v>
      </c>
      <c r="R1822" s="8">
        <v>17.81662940979</v>
      </c>
      <c r="S1822" s="8">
        <v>-1.50120051753536E-2</v>
      </c>
      <c r="T1822" s="9">
        <v>-1.51258258796052E-2</v>
      </c>
      <c r="U1822" s="12">
        <v>7.4689999999999999E-3</v>
      </c>
      <c r="V1822" s="16">
        <v>5.5640000000000001</v>
      </c>
      <c r="W1822" s="17">
        <f t="shared" si="28"/>
        <v>-4.4730721059224043E-3</v>
      </c>
    </row>
    <row r="1823" spans="1:23" x14ac:dyDescent="0.2">
      <c r="A1823" s="15">
        <v>44217</v>
      </c>
      <c r="B1823" s="5">
        <v>-118038915791811</v>
      </c>
      <c r="C1823" s="5">
        <f>[1]!nefin_factors__1[[#This Row],[Rm_minus_Rf]]/B1822-1</f>
        <v>-0.84463978113552352</v>
      </c>
      <c r="D1823" s="5">
        <v>-432774131121679</v>
      </c>
      <c r="E1823" s="5">
        <f>[1]!nefin_factors__1[[#This Row],[SMB]]/D1822-1</f>
        <v>-2.3562983740490488</v>
      </c>
      <c r="F1823" s="5">
        <v>-72717596847968</v>
      </c>
      <c r="G1823" s="5">
        <f>[1]!nefin_factors__1[[#This Row],[HML]]/F1822-1</f>
        <v>-0.31762438028929818</v>
      </c>
      <c r="H1823" s="5">
        <v>7508172664</v>
      </c>
      <c r="I1823" s="6">
        <f>[1]!nefin_factors__1[[#This Row],[Risk_Free]]/H1822-1</f>
        <v>8.9484043386770828</v>
      </c>
      <c r="J1823">
        <v>119298</v>
      </c>
      <c r="K1823">
        <v>120871</v>
      </c>
      <c r="L1823">
        <v>119298</v>
      </c>
      <c r="M1823">
        <v>120295</v>
      </c>
      <c r="N1823">
        <v>10076600</v>
      </c>
      <c r="O1823">
        <v>120295</v>
      </c>
      <c r="P1823">
        <v>8.3656755827892192E-3</v>
      </c>
      <c r="Q1823">
        <v>8.3308772584427E-3</v>
      </c>
      <c r="R1823" s="8">
        <v>18.771404266357401</v>
      </c>
      <c r="S1823" s="8">
        <v>5.3588972111792602E-2</v>
      </c>
      <c r="T1823" s="9">
        <v>5.2202404527874301E-2</v>
      </c>
      <c r="U1823" s="12">
        <v>7.4689999999999999E-3</v>
      </c>
      <c r="V1823" s="16">
        <v>5.6295999999999999</v>
      </c>
      <c r="W1823" s="17">
        <f t="shared" si="28"/>
        <v>1.1790079079798677E-2</v>
      </c>
    </row>
    <row r="1824" spans="1:23" x14ac:dyDescent="0.2">
      <c r="A1824" s="14">
        <v>44218</v>
      </c>
      <c r="B1824" s="3">
        <v>-963275726348675</v>
      </c>
      <c r="C1824" s="3">
        <f>[1]!nefin_factors__1[[#This Row],[Rm_minus_Rf]]/B1823-1</f>
        <v>7.1606622687693537</v>
      </c>
      <c r="D1824" s="3">
        <v>158444893021336</v>
      </c>
      <c r="E1824" s="3">
        <f>[1]!nefin_factors__1[[#This Row],[SMB]]/D1823-1</f>
        <v>-1.3661145193929984</v>
      </c>
      <c r="F1824" s="3">
        <v>259322453239484</v>
      </c>
      <c r="G1824" s="3">
        <f>[1]!nefin_factors__1[[#This Row],[HML]]/F1823-1</f>
        <v>-4.5661581856404601</v>
      </c>
      <c r="H1824" s="3">
        <v>7508172664</v>
      </c>
      <c r="I1824" s="4">
        <f>[1]!nefin_factors__1[[#This Row],[Risk_Free]]/H1823-1</f>
        <v>0</v>
      </c>
      <c r="J1824">
        <v>120290</v>
      </c>
      <c r="K1824">
        <v>121409</v>
      </c>
      <c r="L1824">
        <v>120084</v>
      </c>
      <c r="M1824">
        <v>120701</v>
      </c>
      <c r="N1824">
        <v>7948100</v>
      </c>
      <c r="O1824">
        <v>120701</v>
      </c>
      <c r="P1824">
        <v>3.3750363689264398E-3</v>
      </c>
      <c r="Q1824">
        <v>3.3693537161973998E-3</v>
      </c>
      <c r="R1824" s="8">
        <v>18.727607727050799</v>
      </c>
      <c r="S1824" s="8">
        <v>-2.3331519946610002E-3</v>
      </c>
      <c r="T1824" s="9">
        <v>-2.33587803477883E-3</v>
      </c>
      <c r="U1824" s="12">
        <v>7.4689999999999999E-3</v>
      </c>
      <c r="V1824" s="16">
        <v>5.5850999999999997</v>
      </c>
      <c r="W1824" s="17">
        <f t="shared" si="28"/>
        <v>-7.9046468665624481E-3</v>
      </c>
    </row>
    <row r="1825" spans="1:23" x14ac:dyDescent="0.2">
      <c r="A1825" s="15">
        <v>44222</v>
      </c>
      <c r="B1825" s="5">
        <v>-884185379636186</v>
      </c>
      <c r="C1825" s="5">
        <f>[1]!nefin_factors__1[[#This Row],[Rm_minus_Rf]]/B1824-1</f>
        <v>-8.2105615816027377E-2</v>
      </c>
      <c r="D1825" s="5">
        <v>-136985096488149</v>
      </c>
      <c r="E1825" s="5">
        <f>[1]!nefin_factors__1[[#This Row],[SMB]]/D1824-1</f>
        <v>-1.8645598723696493</v>
      </c>
      <c r="F1825" s="5">
        <v>-160212354914788</v>
      </c>
      <c r="G1825" s="5">
        <f>[1]!nefin_factors__1[[#This Row],[HML]]/F1824-1</f>
        <v>-1.6178113499752838</v>
      </c>
      <c r="H1825" s="5">
        <v>754711249</v>
      </c>
      <c r="I1825" s="6">
        <f>[1]!nefin_factors__1[[#This Row],[Risk_Free]]/H1824-1</f>
        <v>-0.89948136746792318</v>
      </c>
      <c r="J1825">
        <v>120701</v>
      </c>
      <c r="K1825">
        <v>121333</v>
      </c>
      <c r="L1825">
        <v>120199</v>
      </c>
      <c r="M1825">
        <v>121114</v>
      </c>
      <c r="N1825">
        <v>7945600</v>
      </c>
      <c r="O1825">
        <v>121114</v>
      </c>
      <c r="P1825">
        <v>3.4216783622340601E-3</v>
      </c>
      <c r="Q1825">
        <v>3.4158377401881101E-3</v>
      </c>
      <c r="R1825" s="8">
        <v>19.2706909179688</v>
      </c>
      <c r="S1825" s="8">
        <v>2.8999069119411299E-2</v>
      </c>
      <c r="T1825" s="9">
        <v>2.85865522056446E-2</v>
      </c>
      <c r="U1825" s="12">
        <v>7.4689999999999999E-3</v>
      </c>
      <c r="V1825" s="16">
        <v>5.6578999999999997</v>
      </c>
      <c r="W1825" s="17">
        <f t="shared" si="28"/>
        <v>1.3034681563445671E-2</v>
      </c>
    </row>
    <row r="1826" spans="1:23" x14ac:dyDescent="0.2">
      <c r="A1826" s="14">
        <v>44223</v>
      </c>
      <c r="B1826" s="3">
        <v>-575408201229945</v>
      </c>
      <c r="C1826" s="3">
        <f>[1]!nefin_factors__1[[#This Row],[Rm_minus_Rf]]/B1825-1</f>
        <v>-0.34922221687638955</v>
      </c>
      <c r="D1826" s="3">
        <v>-120159056181065</v>
      </c>
      <c r="E1826" s="3">
        <f>[1]!nefin_factors__1[[#This Row],[SMB]]/D1825-1</f>
        <v>-0.12283117462007753</v>
      </c>
      <c r="F1826" s="3">
        <v>874622933734022</v>
      </c>
      <c r="G1826" s="3">
        <f>[1]!nefin_factors__1[[#This Row],[HML]]/F1825-1</f>
        <v>-6.4591478553523975</v>
      </c>
      <c r="H1826" s="3">
        <v>754711249</v>
      </c>
      <c r="I1826" s="4">
        <f>[1]!nefin_factors__1[[#This Row],[Risk_Free]]/H1825-1</f>
        <v>0</v>
      </c>
      <c r="J1826">
        <v>121116</v>
      </c>
      <c r="K1826">
        <v>121974</v>
      </c>
      <c r="L1826">
        <v>120682</v>
      </c>
      <c r="M1826">
        <v>120934</v>
      </c>
      <c r="N1826">
        <v>10028100</v>
      </c>
      <c r="O1826">
        <v>120934</v>
      </c>
      <c r="P1826">
        <v>-1.48620308139435E-3</v>
      </c>
      <c r="Q1826">
        <v>-1.48730857665667E-3</v>
      </c>
      <c r="R1826" s="8">
        <v>19.3758029937744</v>
      </c>
      <c r="S1826" s="8">
        <v>5.4545047841358897E-3</v>
      </c>
      <c r="T1826" s="9">
        <v>5.4396828460429496E-3</v>
      </c>
      <c r="U1826" s="12">
        <v>1.0378999999999999E-2</v>
      </c>
      <c r="V1826" s="16">
        <v>5.5473999999999997</v>
      </c>
      <c r="W1826" s="17">
        <f t="shared" si="28"/>
        <v>-1.9530214390498291E-2</v>
      </c>
    </row>
    <row r="1827" spans="1:23" x14ac:dyDescent="0.2">
      <c r="A1827" s="15">
        <v>44224</v>
      </c>
      <c r="B1827" s="5">
        <v>233594345922842</v>
      </c>
      <c r="C1827" s="5">
        <f>[1]!nefin_factors__1[[#This Row],[Rm_minus_Rf]]/B1826-1</f>
        <v>-1.4059628372058828</v>
      </c>
      <c r="D1827" s="5">
        <v>717365872014698</v>
      </c>
      <c r="E1827" s="5">
        <f>[1]!nefin_factors__1[[#This Row],[SMB]]/D1826-1</f>
        <v>-6.9701357085704414</v>
      </c>
      <c r="F1827" s="5">
        <v>429672356378446</v>
      </c>
      <c r="G1827" s="5">
        <f>[1]!nefin_factors__1[[#This Row],[HML]]/F1826-1</f>
        <v>-0.50873417583043634</v>
      </c>
      <c r="H1827" s="5">
        <v>7469229029</v>
      </c>
      <c r="I1827" s="6">
        <f>[1]!nefin_factors__1[[#This Row],[Risk_Free]]/H1826-1</f>
        <v>8.8968036303908331</v>
      </c>
      <c r="J1827">
        <v>120925</v>
      </c>
      <c r="K1827">
        <v>121354</v>
      </c>
      <c r="L1827">
        <v>119841</v>
      </c>
      <c r="M1827">
        <v>120062</v>
      </c>
      <c r="N1827">
        <v>7811500</v>
      </c>
      <c r="O1827">
        <v>120062</v>
      </c>
      <c r="P1827">
        <v>-7.21054459457227E-3</v>
      </c>
      <c r="Q1827">
        <v>-7.2366662143927797E-3</v>
      </c>
      <c r="R1827" s="8">
        <v>18.9728698730469</v>
      </c>
      <c r="S1827" s="8">
        <v>-2.0795686292692201E-2</v>
      </c>
      <c r="T1827" s="9">
        <v>-2.10149618954335E-2</v>
      </c>
      <c r="U1827" s="12">
        <v>1.0378999999999999E-2</v>
      </c>
      <c r="V1827" s="16">
        <v>5.5082000000000004</v>
      </c>
      <c r="W1827" s="17">
        <f t="shared" si="28"/>
        <v>-7.0663734362041986E-3</v>
      </c>
    </row>
    <row r="1828" spans="1:23" x14ac:dyDescent="0.2">
      <c r="A1828" s="14">
        <v>44225</v>
      </c>
      <c r="B1828" s="3">
        <v>-301886689744629</v>
      </c>
      <c r="C1828" s="3">
        <f>[1]!nefin_factors__1[[#This Row],[Rm_minus_Rf]]/B1827-1</f>
        <v>-2.2923544384261101</v>
      </c>
      <c r="D1828" s="3">
        <v>112559818111172</v>
      </c>
      <c r="E1828" s="3">
        <f>[1]!nefin_factors__1[[#This Row],[SMB]]/D1827-1</f>
        <v>-0.84309287282505996</v>
      </c>
      <c r="F1828" s="3">
        <v>160160846520413</v>
      </c>
      <c r="G1828" s="3">
        <f>[1]!nefin_factors__1[[#This Row],[HML]]/F1827-1</f>
        <v>-0.62724889292308383</v>
      </c>
      <c r="H1828" s="3">
        <v>7469229029</v>
      </c>
      <c r="I1828" s="4">
        <f>[1]!nefin_factors__1[[#This Row],[Risk_Free]]/H1827-1</f>
        <v>0</v>
      </c>
      <c r="J1828">
        <v>120064</v>
      </c>
      <c r="K1828">
        <v>120995</v>
      </c>
      <c r="L1828">
        <v>119203</v>
      </c>
      <c r="M1828">
        <v>119371</v>
      </c>
      <c r="N1828">
        <v>8598600</v>
      </c>
      <c r="O1828">
        <v>119371</v>
      </c>
      <c r="P1828">
        <v>-5.7553597308057603E-3</v>
      </c>
      <c r="Q1828">
        <v>-5.7719856363558902E-3</v>
      </c>
      <c r="R1828" s="8">
        <v>19.323246002197301</v>
      </c>
      <c r="S1828" s="8">
        <v>1.8467218269816899E-2</v>
      </c>
      <c r="T1828" s="9">
        <v>1.82987698828035E-2</v>
      </c>
      <c r="U1828" s="12">
        <v>1.0378999999999999E-2</v>
      </c>
      <c r="V1828" s="16">
        <v>5.5269000000000004</v>
      </c>
      <c r="W1828" s="17">
        <f t="shared" si="28"/>
        <v>3.3949384553937367E-3</v>
      </c>
    </row>
    <row r="1829" spans="1:23" x14ac:dyDescent="0.2">
      <c r="A1829" s="15">
        <v>44228</v>
      </c>
      <c r="B1829" s="5">
        <v>21462671475699</v>
      </c>
      <c r="C1829" s="5">
        <f>[1]!nefin_factors__1[[#This Row],[Rm_minus_Rf]]/B1828-1</f>
        <v>-1.0710951234513011</v>
      </c>
      <c r="D1829" s="5">
        <v>332463433634639</v>
      </c>
      <c r="E1829" s="5">
        <f>[1]!nefin_factors__1[[#This Row],[SMB]]/D1828-1</f>
        <v>1.9536600113041644</v>
      </c>
      <c r="F1829" s="5">
        <v>142744284399976</v>
      </c>
      <c r="G1829" s="5">
        <f>[1]!nefin_factors__1[[#This Row],[HML]]/F1828-1</f>
        <v>-0.10874419372038724</v>
      </c>
      <c r="H1829" s="5">
        <v>754711249</v>
      </c>
      <c r="I1829" s="6">
        <f>[1]!nefin_factors__1[[#This Row],[Risk_Free]]/H1828-1</f>
        <v>-0.89895727576838769</v>
      </c>
      <c r="J1829">
        <v>119372</v>
      </c>
      <c r="K1829">
        <v>120815</v>
      </c>
      <c r="L1829">
        <v>119372</v>
      </c>
      <c r="M1829">
        <v>120530</v>
      </c>
      <c r="N1829">
        <v>7615500</v>
      </c>
      <c r="O1829">
        <v>120530</v>
      </c>
      <c r="P1829">
        <v>9.7092258588769003E-3</v>
      </c>
      <c r="Q1829">
        <v>9.6623942141616497E-3</v>
      </c>
      <c r="R1829" s="8">
        <v>19.428358078002901</v>
      </c>
      <c r="S1829" s="8">
        <v>5.4396697011316296E-3</v>
      </c>
      <c r="T1829" s="9">
        <v>5.4249281332462602E-3</v>
      </c>
      <c r="U1829" s="12">
        <v>1.0378999999999999E-2</v>
      </c>
      <c r="V1829" s="16">
        <v>5.4950999999999999</v>
      </c>
      <c r="W1829" s="17">
        <f t="shared" si="28"/>
        <v>-5.7536774683819569E-3</v>
      </c>
    </row>
    <row r="1830" spans="1:23" x14ac:dyDescent="0.2">
      <c r="A1830" s="14">
        <v>44229</v>
      </c>
      <c r="B1830" s="3">
        <v>64935387068701</v>
      </c>
      <c r="C1830" s="3">
        <f>[1]!nefin_factors__1[[#This Row],[Rm_minus_Rf]]/B1829-1</f>
        <v>2.0255034720269451</v>
      </c>
      <c r="D1830" s="3">
        <v>136450441779504</v>
      </c>
      <c r="E1830" s="3">
        <f>[1]!nefin_factors__1[[#This Row],[SMB]]/D1829-1</f>
        <v>-0.5895775956839322</v>
      </c>
      <c r="F1830" s="3">
        <v>-13549951337763</v>
      </c>
      <c r="G1830" s="3">
        <f>[1]!nefin_factors__1[[#This Row],[HML]]/F1829-1</f>
        <v>-1.0949246507117261</v>
      </c>
      <c r="H1830" s="3">
        <v>7586048517</v>
      </c>
      <c r="I1830" s="4">
        <f>[1]!nefin_factors__1[[#This Row],[Risk_Free]]/H1829-1</f>
        <v>9.051590627609686</v>
      </c>
      <c r="J1830">
        <v>120534</v>
      </c>
      <c r="K1830">
        <v>121393</v>
      </c>
      <c r="L1830">
        <v>119860</v>
      </c>
      <c r="M1830">
        <v>120595</v>
      </c>
      <c r="N1830">
        <v>7095300</v>
      </c>
      <c r="O1830">
        <v>120595</v>
      </c>
      <c r="P1830">
        <v>5.3928482535470202E-4</v>
      </c>
      <c r="Q1830">
        <v>5.3913946355186801E-4</v>
      </c>
      <c r="R1830" s="8">
        <v>20.4269313812256</v>
      </c>
      <c r="S1830" s="8">
        <v>5.1397719725644601E-2</v>
      </c>
      <c r="T1830" s="9">
        <v>5.0120440602727301E-2</v>
      </c>
      <c r="U1830" s="12">
        <v>1.0378999999999999E-2</v>
      </c>
      <c r="V1830" s="16">
        <v>5.5330000000000004</v>
      </c>
      <c r="W1830" s="17">
        <f t="shared" si="28"/>
        <v>6.8970537387855746E-3</v>
      </c>
    </row>
    <row r="1831" spans="1:23" x14ac:dyDescent="0.2">
      <c r="A1831" s="15">
        <v>44230</v>
      </c>
      <c r="B1831" s="5">
        <v>12551514747382</v>
      </c>
      <c r="C1831" s="5">
        <f>[1]!nefin_factors__1[[#This Row],[Rm_minus_Rf]]/B1830-1</f>
        <v>-0.80670763178630756</v>
      </c>
      <c r="D1831" s="5">
        <v>-199658471941798</v>
      </c>
      <c r="E1831" s="5">
        <f>[1]!nefin_factors__1[[#This Row],[SMB]]/D1830-1</f>
        <v>-2.4632306743603989</v>
      </c>
      <c r="F1831" s="5">
        <v>340712889510552</v>
      </c>
      <c r="G1831" s="5">
        <f>[1]!nefin_factors__1[[#This Row],[HML]]/F1830-1</f>
        <v>-26.144952997801781</v>
      </c>
      <c r="H1831" s="5">
        <v>7586048517</v>
      </c>
      <c r="I1831" s="6">
        <f>[1]!nefin_factors__1[[#This Row],[Risk_Free]]/H1830-1</f>
        <v>0</v>
      </c>
      <c r="J1831">
        <v>120595</v>
      </c>
      <c r="K1831">
        <v>121012</v>
      </c>
      <c r="L1831">
        <v>119003</v>
      </c>
      <c r="M1831">
        <v>119388</v>
      </c>
      <c r="N1831">
        <v>8362300</v>
      </c>
      <c r="O1831">
        <v>119388</v>
      </c>
      <c r="P1831">
        <v>-1.0008706828641301E-2</v>
      </c>
      <c r="Q1831">
        <v>-1.00591306685811E-2</v>
      </c>
      <c r="R1831" s="8">
        <v>21.583173751831101</v>
      </c>
      <c r="S1831" s="8">
        <v>5.6603821152900698E-2</v>
      </c>
      <c r="T1831" s="9">
        <v>5.5059822202736003E-2</v>
      </c>
      <c r="U1831" s="12">
        <v>1.0378999999999999E-2</v>
      </c>
      <c r="V1831" s="16">
        <v>5.6585000000000001</v>
      </c>
      <c r="W1831" s="17">
        <f t="shared" si="28"/>
        <v>2.2682089282486828E-2</v>
      </c>
    </row>
    <row r="1832" spans="1:23" x14ac:dyDescent="0.2">
      <c r="A1832" s="14">
        <v>44231</v>
      </c>
      <c r="B1832" s="3">
        <v>-355545205741269</v>
      </c>
      <c r="C1832" s="3">
        <f>[1]!nefin_factors__1[[#This Row],[Rm_minus_Rf]]/B1831-1</f>
        <v>-29.326876309126654</v>
      </c>
      <c r="D1832" s="3">
        <v>-703027460011063</v>
      </c>
      <c r="E1832" s="3">
        <f>[1]!nefin_factors__1[[#This Row],[SMB]]/D1831-1</f>
        <v>2.5211501579357023</v>
      </c>
      <c r="F1832" s="3">
        <v>-427629697816472</v>
      </c>
      <c r="G1832" s="3">
        <f>[1]!nefin_factors__1[[#This Row],[HML]]/F1831-1</f>
        <v>-2.2551027888342574</v>
      </c>
      <c r="H1832" s="3">
        <v>7586048517</v>
      </c>
      <c r="I1832" s="4">
        <f>[1]!nefin_factors__1[[#This Row],[Risk_Free]]/H1831-1</f>
        <v>0</v>
      </c>
      <c r="J1832">
        <v>119392</v>
      </c>
      <c r="K1832">
        <v>121276</v>
      </c>
      <c r="L1832">
        <v>119392</v>
      </c>
      <c r="M1832">
        <v>121053</v>
      </c>
      <c r="N1832">
        <v>9081500</v>
      </c>
      <c r="O1832">
        <v>121053</v>
      </c>
      <c r="P1832">
        <v>1.39461252387174E-2</v>
      </c>
      <c r="Q1832">
        <v>1.38497728292071E-2</v>
      </c>
      <c r="R1832" s="8">
        <v>21.9773464202881</v>
      </c>
      <c r="S1832" s="8">
        <v>1.8262961369320801E-2</v>
      </c>
      <c r="T1832" s="9">
        <v>1.8098196529275599E-2</v>
      </c>
      <c r="U1832" s="12">
        <v>1.0378999999999999E-2</v>
      </c>
      <c r="V1832" s="16">
        <v>5.7042000000000002</v>
      </c>
      <c r="W1832" s="17">
        <f t="shared" si="28"/>
        <v>8.076345321198275E-3</v>
      </c>
    </row>
    <row r="1833" spans="1:23" x14ac:dyDescent="0.2">
      <c r="A1833" s="15">
        <v>44232</v>
      </c>
      <c r="B1833" s="5">
        <v>619569801860207</v>
      </c>
      <c r="C1833" s="5">
        <f>[1]!nefin_factors__1[[#This Row],[Rm_minus_Rf]]/B1832-1</f>
        <v>-2.7425907925504958</v>
      </c>
      <c r="D1833" s="5">
        <v>39190190543892</v>
      </c>
      <c r="E1833" s="5">
        <f>[1]!nefin_factors__1[[#This Row],[SMB]]/D1832-1</f>
        <v>-1.0557448930135322</v>
      </c>
      <c r="F1833" s="5">
        <v>102780455743053</v>
      </c>
      <c r="G1833" s="5">
        <f>[1]!nefin_factors__1[[#This Row],[HML]]/F1832-1</f>
        <v>-1.2403491999453318</v>
      </c>
      <c r="H1833" s="5">
        <v>7624980736</v>
      </c>
      <c r="I1833" s="6">
        <f>[1]!nefin_factors__1[[#This Row],[Risk_Free]]/H1832-1</f>
        <v>5.1320814667550341E-3</v>
      </c>
      <c r="J1833">
        <v>121053</v>
      </c>
      <c r="K1833">
        <v>121498</v>
      </c>
      <c r="L1833">
        <v>119703</v>
      </c>
      <c r="M1833">
        <v>120066</v>
      </c>
      <c r="N1833">
        <v>8500200</v>
      </c>
      <c r="O1833">
        <v>120066</v>
      </c>
      <c r="P1833">
        <v>-8.1534534460112607E-3</v>
      </c>
      <c r="Q1833">
        <v>-8.1868746369486503E-3</v>
      </c>
      <c r="R1833" s="8">
        <v>21.898511886596701</v>
      </c>
      <c r="S1833" s="8">
        <v>-3.5870815422298602E-3</v>
      </c>
      <c r="T1833" s="9">
        <v>-3.5935305459120701E-3</v>
      </c>
      <c r="U1833" s="12">
        <v>1.0378999999999999E-2</v>
      </c>
      <c r="V1833" s="16">
        <v>5.7925000000000004</v>
      </c>
      <c r="W1833" s="17">
        <f t="shared" si="28"/>
        <v>1.5479821885628242E-2</v>
      </c>
    </row>
    <row r="1834" spans="1:23" x14ac:dyDescent="0.2">
      <c r="A1834" s="14">
        <v>44235</v>
      </c>
      <c r="B1834" s="3">
        <v>-414684316847485</v>
      </c>
      <c r="C1834" s="3">
        <f>[1]!nefin_factors__1[[#This Row],[Rm_minus_Rf]]/B1833-1</f>
        <v>-1.6693100851630112</v>
      </c>
      <c r="D1834" s="3">
        <v>-213608084484662</v>
      </c>
      <c r="E1834" s="3">
        <f>[1]!nefin_factors__1[[#This Row],[SMB]]/D1833-1</f>
        <v>-6.4505497809567034</v>
      </c>
      <c r="F1834" s="3">
        <v>-297766940068695</v>
      </c>
      <c r="G1834" s="3">
        <f>[1]!nefin_factors__1[[#This Row],[HML]]/F1833-1</f>
        <v>-3.8971163624055176</v>
      </c>
      <c r="H1834" s="3">
        <v>7663909152</v>
      </c>
      <c r="I1834" s="4">
        <f>[1]!nefin_factors__1[[#This Row],[Risk_Free]]/H1833-1</f>
        <v>5.1053789311501507E-3</v>
      </c>
      <c r="J1834">
        <v>120064</v>
      </c>
      <c r="K1834">
        <v>120125</v>
      </c>
      <c r="L1834">
        <v>118894</v>
      </c>
      <c r="M1834">
        <v>118894</v>
      </c>
      <c r="N1834">
        <v>11093200</v>
      </c>
      <c r="O1834">
        <v>118894</v>
      </c>
      <c r="P1834">
        <v>-9.7612979527926802E-3</v>
      </c>
      <c r="Q1834">
        <v>-9.8092517376151198E-3</v>
      </c>
      <c r="R1834" s="8">
        <v>20.996292114257798</v>
      </c>
      <c r="S1834" s="8">
        <v>-4.1200049437655401E-2</v>
      </c>
      <c r="T1834" s="9">
        <v>-4.20728279839193E-2</v>
      </c>
      <c r="U1834" s="12">
        <v>1.0378999999999999E-2</v>
      </c>
      <c r="V1834" s="16">
        <v>5.7641999999999998</v>
      </c>
      <c r="W1834" s="17">
        <f t="shared" si="28"/>
        <v>-4.8856279671990466E-3</v>
      </c>
    </row>
    <row r="1835" spans="1:23" x14ac:dyDescent="0.2">
      <c r="A1835" s="15">
        <v>44236</v>
      </c>
      <c r="B1835" s="5">
        <v>-113900199858166</v>
      </c>
      <c r="C1835" s="5">
        <f>[1]!nefin_factors__1[[#This Row],[Rm_minus_Rf]]/B1834-1</f>
        <v>-0.7253327525765656</v>
      </c>
      <c r="D1835" s="5">
        <v>-598459828780988</v>
      </c>
      <c r="E1835" s="5">
        <f>[1]!nefin_factors__1[[#This Row],[SMB]]/D1834-1</f>
        <v>1.8016721849493482</v>
      </c>
      <c r="F1835" s="5">
        <v>43174276852626</v>
      </c>
      <c r="G1835" s="5">
        <f>[1]!nefin_factors__1[[#This Row],[HML]]/F1834-1</f>
        <v>-1.1449935202432671</v>
      </c>
      <c r="H1835" s="5">
        <v>7663909152</v>
      </c>
      <c r="I1835" s="6">
        <f>[1]!nefin_factors__1[[#This Row],[Risk_Free]]/H1834-1</f>
        <v>0</v>
      </c>
      <c r="J1835">
        <v>118951</v>
      </c>
      <c r="K1835">
        <v>119904</v>
      </c>
      <c r="L1835">
        <v>118528</v>
      </c>
      <c r="M1835">
        <v>119209</v>
      </c>
      <c r="N1835">
        <v>8888300</v>
      </c>
      <c r="O1835">
        <v>119209</v>
      </c>
      <c r="P1835">
        <v>2.6494188100325599E-3</v>
      </c>
      <c r="Q1835">
        <v>2.64591528685289E-3</v>
      </c>
      <c r="R1835" s="8">
        <v>20.102832794189499</v>
      </c>
      <c r="S1835" s="8">
        <v>-4.2553195354985703E-2</v>
      </c>
      <c r="T1835" s="9">
        <v>-4.3485115977168302E-2</v>
      </c>
      <c r="U1835" s="12">
        <v>1.0378999999999999E-2</v>
      </c>
      <c r="V1835" s="16">
        <v>5.6973000000000003</v>
      </c>
      <c r="W1835" s="17">
        <f t="shared" si="28"/>
        <v>-1.16061205371083E-2</v>
      </c>
    </row>
    <row r="1836" spans="1:23" x14ac:dyDescent="0.2">
      <c r="A1836" s="14">
        <v>44237</v>
      </c>
      <c r="B1836" s="3">
        <v>-892957092090665</v>
      </c>
      <c r="C1836" s="3">
        <f>[1]!nefin_factors__1[[#This Row],[Rm_minus_Rf]]/B1835-1</f>
        <v>6.8398202391446024</v>
      </c>
      <c r="D1836" s="3">
        <v>-139895048671628</v>
      </c>
      <c r="E1836" s="3">
        <f>[1]!nefin_factors__1[[#This Row],[SMB]]/D1835-1</f>
        <v>-0.76624153879036061</v>
      </c>
      <c r="F1836" s="3">
        <v>-91554862841637</v>
      </c>
      <c r="G1836" s="3">
        <f>[1]!nefin_factors__1[[#This Row],[HML]]/F1835-1</f>
        <v>-3.1205882186320473</v>
      </c>
      <c r="H1836" s="3">
        <v>7702833764</v>
      </c>
      <c r="I1836" s="4">
        <f>[1]!nefin_factors__1[[#This Row],[Risk_Free]]/H1835-1</f>
        <v>5.0789500799135467E-3</v>
      </c>
      <c r="J1836">
        <v>119209</v>
      </c>
      <c r="K1836">
        <v>119293</v>
      </c>
      <c r="L1836">
        <v>117631</v>
      </c>
      <c r="M1836">
        <v>117712</v>
      </c>
      <c r="N1836">
        <v>8765500</v>
      </c>
      <c r="O1836">
        <v>117712</v>
      </c>
      <c r="P1836">
        <v>-1.25577766779353E-2</v>
      </c>
      <c r="Q1836">
        <v>-1.26372919468105E-2</v>
      </c>
      <c r="R1836" s="8">
        <v>20.181667327880898</v>
      </c>
      <c r="S1836" s="8">
        <v>3.92156341837513E-3</v>
      </c>
      <c r="T1836" s="9">
        <v>3.9138941324084204E-3</v>
      </c>
      <c r="U1836" s="12">
        <v>1.0378999999999999E-2</v>
      </c>
      <c r="V1836" s="16">
        <v>5.6848999999999998</v>
      </c>
      <c r="W1836" s="17">
        <f t="shared" si="28"/>
        <v>-2.1764695557545677E-3</v>
      </c>
    </row>
    <row r="1837" spans="1:23" x14ac:dyDescent="0.2">
      <c r="A1837" s="15">
        <v>44238</v>
      </c>
      <c r="B1837" s="5">
        <v>753052236373404</v>
      </c>
      <c r="C1837" s="5">
        <f>[1]!nefin_factors__1[[#This Row],[Rm_minus_Rf]]/B1836-1</f>
        <v>-1.8433241003890743</v>
      </c>
      <c r="D1837" s="5">
        <v>-542661798238999</v>
      </c>
      <c r="E1837" s="5">
        <f>[1]!nefin_factors__1[[#This Row],[SMB]]/D1836-1</f>
        <v>2.8790636508714105</v>
      </c>
      <c r="F1837" s="5">
        <v>-208158139241245</v>
      </c>
      <c r="G1837" s="5">
        <f>[1]!nefin_factors__1[[#This Row],[HML]]/F1836-1</f>
        <v>1.273589111277436</v>
      </c>
      <c r="H1837" s="5">
        <v>7702833764</v>
      </c>
      <c r="I1837" s="6">
        <f>[1]!nefin_factors__1[[#This Row],[Risk_Free]]/H1836-1</f>
        <v>0</v>
      </c>
      <c r="J1837">
        <v>117725</v>
      </c>
      <c r="K1837">
        <v>119734</v>
      </c>
      <c r="L1837">
        <v>117725</v>
      </c>
      <c r="M1837">
        <v>119564</v>
      </c>
      <c r="N1837">
        <v>9059100</v>
      </c>
      <c r="O1837">
        <v>119564</v>
      </c>
      <c r="P1837">
        <v>1.5733315210004099E-2</v>
      </c>
      <c r="Q1837">
        <v>1.5610829671541799E-2</v>
      </c>
      <c r="R1837" s="8">
        <v>20.5408039093018</v>
      </c>
      <c r="S1837" s="8">
        <v>1.7795188850663099E-2</v>
      </c>
      <c r="T1837" s="9">
        <v>1.76387081528388E-2</v>
      </c>
      <c r="U1837" s="12">
        <v>1.0378999999999999E-2</v>
      </c>
      <c r="V1837" s="16">
        <v>5.6578999999999997</v>
      </c>
      <c r="W1837" s="17">
        <f t="shared" si="28"/>
        <v>-4.7494239124699078E-3</v>
      </c>
    </row>
    <row r="1838" spans="1:23" x14ac:dyDescent="0.2">
      <c r="A1838" s="14">
        <v>44239</v>
      </c>
      <c r="B1838" s="3">
        <v>606097821802484</v>
      </c>
      <c r="C1838" s="3">
        <f>[1]!nefin_factors__1[[#This Row],[Rm_minus_Rf]]/B1837-1</f>
        <v>-0.19514504767774443</v>
      </c>
      <c r="D1838" s="3">
        <v>866791207711081</v>
      </c>
      <c r="E1838" s="3">
        <f>[1]!nefin_factors__1[[#This Row],[SMB]]/D1837-1</f>
        <v>-2.5972954251136153</v>
      </c>
      <c r="F1838" s="3">
        <v>-397225535017024</v>
      </c>
      <c r="G1838" s="3">
        <f>[1]!nefin_factors__1[[#This Row],[HML]]/F1837-1</f>
        <v>0.90828730726046336</v>
      </c>
      <c r="H1838" s="3">
        <v>7702833764</v>
      </c>
      <c r="I1838" s="4">
        <f>[1]!nefin_factors__1[[#This Row],[Risk_Free]]/H1837-1</f>
        <v>0</v>
      </c>
      <c r="J1838">
        <v>119577</v>
      </c>
      <c r="K1838">
        <v>119966</v>
      </c>
      <c r="L1838">
        <v>119071</v>
      </c>
      <c r="M1838">
        <v>119921</v>
      </c>
      <c r="N1838">
        <v>8779600</v>
      </c>
      <c r="O1838">
        <v>119921</v>
      </c>
      <c r="P1838">
        <v>2.98584858318551E-3</v>
      </c>
      <c r="Q1838">
        <v>2.9813997907184898E-3</v>
      </c>
      <c r="R1838" s="8">
        <v>20.453208923339801</v>
      </c>
      <c r="S1838" s="8">
        <v>-4.2644380594202298E-3</v>
      </c>
      <c r="T1838" s="9">
        <v>-4.2735567085781497E-3</v>
      </c>
      <c r="U1838" s="12">
        <v>1.0378999999999999E-2</v>
      </c>
      <c r="V1838" s="16">
        <v>5.6262999999999996</v>
      </c>
      <c r="W1838" s="17">
        <f t="shared" si="28"/>
        <v>-5.5851110836175888E-3</v>
      </c>
    </row>
    <row r="1839" spans="1:23" x14ac:dyDescent="0.2">
      <c r="A1839" s="15">
        <v>44244</v>
      </c>
      <c r="B1839" s="5">
        <v>619960613442212</v>
      </c>
      <c r="C1839" s="5">
        <f>[1]!nefin_factors__1[[#This Row],[Rm_minus_Rf]]/B1838-1</f>
        <v>2.2872201715725016E-2</v>
      </c>
      <c r="D1839" s="5">
        <v>-38960652897727</v>
      </c>
      <c r="E1839" s="5">
        <f>[1]!nefin_factors__1[[#This Row],[SMB]]/D1838-1</f>
        <v>-1.0449481403954357</v>
      </c>
      <c r="F1839" s="5">
        <v>117620494151674</v>
      </c>
      <c r="G1839" s="5">
        <f>[1]!nefin_factors__1[[#This Row],[HML]]/F1838-1</f>
        <v>-1.2961050682369479</v>
      </c>
      <c r="H1839" s="5">
        <v>7819584791</v>
      </c>
      <c r="I1839" s="6">
        <f>[1]!nefin_factors__1[[#This Row],[Risk_Free]]/H1838-1</f>
        <v>1.5156892979522496E-2</v>
      </c>
      <c r="J1839">
        <v>119922</v>
      </c>
      <c r="K1839">
        <v>122038</v>
      </c>
      <c r="L1839">
        <v>119922</v>
      </c>
      <c r="M1839">
        <v>122038</v>
      </c>
      <c r="N1839">
        <v>8865100</v>
      </c>
      <c r="O1839">
        <v>122038</v>
      </c>
      <c r="P1839">
        <v>1.7653288414873E-2</v>
      </c>
      <c r="Q1839">
        <v>1.74992789925285E-2</v>
      </c>
      <c r="R1839" s="8">
        <v>20.970014572143601</v>
      </c>
      <c r="S1839" s="8">
        <v>2.52677049719063E-2</v>
      </c>
      <c r="T1839" s="9">
        <v>2.4953754072314101E-2</v>
      </c>
      <c r="U1839" s="12">
        <v>1.0378999999999999E-2</v>
      </c>
      <c r="V1839" s="16">
        <v>5.5864000000000003</v>
      </c>
      <c r="W1839" s="17">
        <f t="shared" si="28"/>
        <v>-7.0916943639690588E-3</v>
      </c>
    </row>
    <row r="1840" spans="1:23" x14ac:dyDescent="0.2">
      <c r="A1840" s="14">
        <v>44245</v>
      </c>
      <c r="B1840" s="3">
        <v>-922770398872072</v>
      </c>
      <c r="C1840" s="3">
        <f>[1]!nefin_factors__1[[#This Row],[Rm_minus_Rf]]/B1839-1</f>
        <v>-2.4884339083229285</v>
      </c>
      <c r="D1840" s="3">
        <v>-145776718456821</v>
      </c>
      <c r="E1840" s="3">
        <f>[1]!nefin_factors__1[[#This Row],[SMB]]/D1839-1</f>
        <v>2.741639516141829</v>
      </c>
      <c r="F1840" s="3">
        <v>590036934618836</v>
      </c>
      <c r="G1840" s="3">
        <f>[1]!nefin_factors__1[[#This Row],[HML]]/F1839-1</f>
        <v>4.0164466564642334</v>
      </c>
      <c r="H1840" s="3">
        <v>7819584791</v>
      </c>
      <c r="I1840" s="4">
        <f>[1]!nefin_factors__1[[#This Row],[Risk_Free]]/H1839-1</f>
        <v>0</v>
      </c>
      <c r="J1840">
        <v>122038</v>
      </c>
      <c r="K1840">
        <v>122772</v>
      </c>
      <c r="L1840">
        <v>121795</v>
      </c>
      <c r="M1840">
        <v>121909</v>
      </c>
      <c r="N1840">
        <v>8219100</v>
      </c>
      <c r="O1840">
        <v>121909</v>
      </c>
      <c r="P1840">
        <v>-1.0570478047821101E-3</v>
      </c>
      <c r="Q1840">
        <v>-1.05760687382276E-3</v>
      </c>
      <c r="R1840" s="8">
        <v>22.029901504516602</v>
      </c>
      <c r="S1840" s="8">
        <v>5.0542975481809901E-2</v>
      </c>
      <c r="T1840" s="9">
        <v>4.9307150015702503E-2</v>
      </c>
      <c r="U1840" s="12">
        <v>1.0378999999999999E-2</v>
      </c>
      <c r="V1840" s="16">
        <v>5.5816999999999997</v>
      </c>
      <c r="W1840" s="17">
        <f t="shared" si="28"/>
        <v>-8.4132894171573547E-4</v>
      </c>
    </row>
    <row r="1841" spans="1:23" x14ac:dyDescent="0.2">
      <c r="A1841" s="15">
        <v>44246</v>
      </c>
      <c r="B1841" s="5">
        <v>-304721304061283</v>
      </c>
      <c r="C1841" s="5">
        <f>[1]!nefin_factors__1[[#This Row],[Rm_minus_Rf]]/B1840-1</f>
        <v>-0.66977559701334988</v>
      </c>
      <c r="D1841" s="5">
        <v>-614419256645977</v>
      </c>
      <c r="E1841" s="5">
        <f>[1]!nefin_factors__1[[#This Row],[SMB]]/D1840-1</f>
        <v>3.2147968698305398</v>
      </c>
      <c r="F1841" s="5">
        <v>-634983882269883</v>
      </c>
      <c r="G1841" s="5">
        <f>[1]!nefin_factors__1[[#This Row],[HML]]/F1840-1</f>
        <v>-2.0761764984764604</v>
      </c>
      <c r="H1841" s="5">
        <v>7858494198</v>
      </c>
      <c r="I1841" s="6">
        <f>[1]!nefin_factors__1[[#This Row],[Risk_Free]]/H1840-1</f>
        <v>4.9758916924569352E-3</v>
      </c>
      <c r="J1841">
        <v>121904</v>
      </c>
      <c r="K1841">
        <v>122964</v>
      </c>
      <c r="L1841">
        <v>120145</v>
      </c>
      <c r="M1841">
        <v>122964</v>
      </c>
      <c r="N1841">
        <v>7988600</v>
      </c>
      <c r="O1841">
        <v>122964</v>
      </c>
      <c r="P1841">
        <v>8.6539960134197607E-3</v>
      </c>
      <c r="Q1841">
        <v>8.6167648347062597E-3</v>
      </c>
      <c r="R1841" s="8">
        <v>22.0912189483643</v>
      </c>
      <c r="S1841" s="8">
        <v>2.7833734905753399E-3</v>
      </c>
      <c r="T1841" s="9">
        <v>2.7795070793639998E-3</v>
      </c>
      <c r="U1841" s="12">
        <v>1.0378999999999999E-2</v>
      </c>
      <c r="V1841" s="16">
        <v>5.6444999999999999</v>
      </c>
      <c r="W1841" s="17">
        <f t="shared" si="28"/>
        <v>1.1251052546715101E-2</v>
      </c>
    </row>
    <row r="1842" spans="1:23" x14ac:dyDescent="0.2">
      <c r="A1842" s="14">
        <v>44249</v>
      </c>
      <c r="B1842" s="3">
        <v>-437221863321367</v>
      </c>
      <c r="C1842" s="3">
        <f>[1]!nefin_factors__1[[#This Row],[Rm_minus_Rf]]/B1841-1</f>
        <v>0.43482538796643055</v>
      </c>
      <c r="D1842" s="3">
        <v>-236983275068665</v>
      </c>
      <c r="E1842" s="3">
        <f>[1]!nefin_factors__1[[#This Row],[SMB]]/D1841-1</f>
        <v>-0.6142971228435754</v>
      </c>
      <c r="F1842" s="3">
        <v>-659243013234288</v>
      </c>
      <c r="G1842" s="3">
        <f>[1]!nefin_factors__1[[#This Row],[HML]]/F1841-1</f>
        <v>3.8204325561281394E-2</v>
      </c>
      <c r="H1842" s="3">
        <v>8052984262</v>
      </c>
      <c r="I1842" s="4">
        <f>[1]!nefin_factors__1[[#This Row],[Risk_Free]]/H1841-1</f>
        <v>2.474902431683379E-2</v>
      </c>
      <c r="J1842">
        <v>122964</v>
      </c>
      <c r="K1842">
        <v>122964</v>
      </c>
      <c r="L1842">
        <v>119458</v>
      </c>
      <c r="M1842">
        <v>119710</v>
      </c>
      <c r="N1842">
        <v>9405200</v>
      </c>
      <c r="O1842">
        <v>119710</v>
      </c>
      <c r="P1842">
        <v>-2.6463029829868898E-2</v>
      </c>
      <c r="Q1842">
        <v>-2.6819478342302701E-2</v>
      </c>
      <c r="R1842" s="8">
        <v>21.215278625488299</v>
      </c>
      <c r="S1842" s="8">
        <v>-3.9651063389638599E-2</v>
      </c>
      <c r="T1842" s="9">
        <v>-4.04585849257285E-2</v>
      </c>
      <c r="U1842" s="12">
        <v>1.0378999999999999E-2</v>
      </c>
      <c r="V1842" s="16">
        <v>5.6581999999999999</v>
      </c>
      <c r="W1842" s="17">
        <f t="shared" si="28"/>
        <v>2.4271414651431122E-3</v>
      </c>
    </row>
    <row r="1843" spans="1:23" x14ac:dyDescent="0.2">
      <c r="A1843" s="15">
        <v>44250</v>
      </c>
      <c r="B1843" s="5">
        <v>224213077618157</v>
      </c>
      <c r="C1843" s="5">
        <f>[1]!nefin_factors__1[[#This Row],[Rm_minus_Rf]]/B1842-1</f>
        <v>-1.5128130508271398</v>
      </c>
      <c r="D1843" s="5">
        <v>-641802080311321</v>
      </c>
      <c r="E1843" s="5">
        <f>[1]!nefin_factors__1[[#This Row],[SMB]]/D1842-1</f>
        <v>1.7082167723665784</v>
      </c>
      <c r="F1843" s="5">
        <v>125428799003577</v>
      </c>
      <c r="G1843" s="5">
        <f>[1]!nefin_factors__1[[#This Row],[HML]]/F1842-1</f>
        <v>-1.1902618556216704</v>
      </c>
      <c r="H1843" s="5">
        <v>8014093844</v>
      </c>
      <c r="I1843" s="6">
        <f>[1]!nefin_factors__1[[#This Row],[Risk_Free]]/H1842-1</f>
        <v>-4.8293175218923068E-3</v>
      </c>
      <c r="J1843">
        <v>119711</v>
      </c>
      <c r="K1843">
        <v>121426</v>
      </c>
      <c r="L1843">
        <v>119711</v>
      </c>
      <c r="M1843">
        <v>120706</v>
      </c>
      <c r="N1843">
        <v>9356200</v>
      </c>
      <c r="O1843">
        <v>120706</v>
      </c>
      <c r="P1843">
        <v>8.3201069250689007E-3</v>
      </c>
      <c r="Q1843">
        <v>8.2856856295599798E-3</v>
      </c>
      <c r="R1843" s="8">
        <v>20.7510280609131</v>
      </c>
      <c r="S1843" s="8">
        <v>-2.1882840794626199E-2</v>
      </c>
      <c r="T1843" s="9">
        <v>-2.2125821433609201E-2</v>
      </c>
      <c r="U1843" s="12">
        <v>1.0378999999999999E-2</v>
      </c>
      <c r="V1843" s="16">
        <v>5.7064000000000004</v>
      </c>
      <c r="W1843" s="17">
        <f t="shared" si="28"/>
        <v>8.5186101587078067E-3</v>
      </c>
    </row>
    <row r="1844" spans="1:23" x14ac:dyDescent="0.2">
      <c r="A1844" s="14">
        <v>44251</v>
      </c>
      <c r="B1844" s="3">
        <v>311014505725714</v>
      </c>
      <c r="C1844" s="3">
        <f>[1]!nefin_factors__1[[#This Row],[Rm_minus_Rf]]/B1843-1</f>
        <v>0.38713811446530766</v>
      </c>
      <c r="D1844" s="3">
        <v>500345993492865</v>
      </c>
      <c r="E1844" s="3">
        <f>[1]!nefin_factors__1[[#This Row],[SMB]]/D1843-1</f>
        <v>-1.7795954685129107</v>
      </c>
      <c r="F1844" s="3">
        <v>206089368684989</v>
      </c>
      <c r="G1844" s="3">
        <f>[1]!nefin_factors__1[[#This Row],[HML]]/F1843-1</f>
        <v>0.64307854593355152</v>
      </c>
      <c r="H1844" s="3">
        <v>8130753713</v>
      </c>
      <c r="I1844" s="4">
        <f>[1]!nefin_factors__1[[#This Row],[Risk_Free]]/H1843-1</f>
        <v>1.455683839880928E-2</v>
      </c>
      <c r="J1844">
        <v>120719</v>
      </c>
      <c r="K1844">
        <v>122195</v>
      </c>
      <c r="L1844">
        <v>120719</v>
      </c>
      <c r="M1844">
        <v>121881</v>
      </c>
      <c r="N1844">
        <v>10136300</v>
      </c>
      <c r="O1844">
        <v>121881</v>
      </c>
      <c r="P1844">
        <v>9.7343959703744005E-3</v>
      </c>
      <c r="Q1844">
        <v>9.6873219826090796E-3</v>
      </c>
      <c r="R1844" s="8">
        <v>21.653247833251999</v>
      </c>
      <c r="S1844" s="8">
        <v>4.34783168183508E-2</v>
      </c>
      <c r="T1844" s="9">
        <v>4.2559668036380699E-2</v>
      </c>
      <c r="U1844" s="12">
        <v>1.0378999999999999E-2</v>
      </c>
      <c r="V1844" s="16">
        <v>5.6936</v>
      </c>
      <c r="W1844" s="17">
        <f t="shared" si="28"/>
        <v>-2.2430954717510554E-3</v>
      </c>
    </row>
    <row r="1845" spans="1:23" x14ac:dyDescent="0.2">
      <c r="A1845" s="15">
        <v>44252</v>
      </c>
      <c r="B1845" s="5">
        <v>-295480392796539</v>
      </c>
      <c r="C1845" s="5">
        <f>[1]!nefin_factors__1[[#This Row],[Rm_minus_Rf]]/B1844-1</f>
        <v>-1.9500534134479417</v>
      </c>
      <c r="D1845" s="5">
        <v>-470265626805768</v>
      </c>
      <c r="E1845" s="5">
        <f>[1]!nefin_factors__1[[#This Row],[SMB]]/D1844-1</f>
        <v>-1.9398808682825479</v>
      </c>
      <c r="F1845" s="5">
        <v>-39108853973199</v>
      </c>
      <c r="G1845" s="5">
        <f>[1]!nefin_factors__1[[#This Row],[HML]]/F1844-1</f>
        <v>-1.1897664795750698</v>
      </c>
      <c r="H1845" s="5">
        <v>8169632747</v>
      </c>
      <c r="I1845" s="6">
        <f>[1]!nefin_factors__1[[#This Row],[Risk_Free]]/H1844-1</f>
        <v>4.7817257012516823E-3</v>
      </c>
      <c r="J1845">
        <v>121880</v>
      </c>
      <c r="K1845">
        <v>123074</v>
      </c>
      <c r="L1845">
        <v>121680</v>
      </c>
      <c r="M1845">
        <v>122938</v>
      </c>
      <c r="N1845">
        <v>7408100</v>
      </c>
      <c r="O1845">
        <v>122938</v>
      </c>
      <c r="P1845">
        <v>8.6723935642143406E-3</v>
      </c>
      <c r="Q1845">
        <v>8.6350043728297306E-3</v>
      </c>
      <c r="R1845" s="8">
        <v>21.635728836059599</v>
      </c>
      <c r="S1845" s="8">
        <v>-8.0907018324893898E-4</v>
      </c>
      <c r="T1845" s="9">
        <v>-8.0939765717448996E-4</v>
      </c>
      <c r="U1845" s="12">
        <v>1.0378999999999999E-2</v>
      </c>
      <c r="V1845" s="16">
        <v>5.6234000000000002</v>
      </c>
      <c r="W1845" s="17">
        <f t="shared" si="28"/>
        <v>-1.2329633272446183E-2</v>
      </c>
    </row>
    <row r="1846" spans="1:23" x14ac:dyDescent="0.2">
      <c r="A1846" s="14">
        <v>44253</v>
      </c>
      <c r="B1846" s="3">
        <v>-212682116645586</v>
      </c>
      <c r="C1846" s="3">
        <f>[1]!nefin_factors__1[[#This Row],[Rm_minus_Rf]]/B1845-1</f>
        <v>-0.28021580507362454</v>
      </c>
      <c r="D1846" s="3">
        <v>-123906417032304</v>
      </c>
      <c r="E1846" s="3">
        <f>[1]!nefin_factors__1[[#This Row],[SMB]]/D1845-1</f>
        <v>-0.7365182357172777</v>
      </c>
      <c r="F1846" s="3">
        <v>165536502575777</v>
      </c>
      <c r="G1846" s="3">
        <f>[1]!nefin_factors__1[[#This Row],[HML]]/F1845-1</f>
        <v>-5.2327116690562683</v>
      </c>
      <c r="H1846" s="3">
        <v>832511096</v>
      </c>
      <c r="I1846" s="4">
        <f>[1]!nefin_factors__1[[#This Row],[Risk_Free]]/H1845-1</f>
        <v>-0.89809687634909796</v>
      </c>
      <c r="J1846">
        <v>122937</v>
      </c>
      <c r="K1846">
        <v>123544</v>
      </c>
      <c r="L1846">
        <v>122550</v>
      </c>
      <c r="M1846">
        <v>122980</v>
      </c>
      <c r="N1846">
        <v>7840100</v>
      </c>
      <c r="O1846">
        <v>122980</v>
      </c>
      <c r="P1846">
        <v>3.4163562120737001E-4</v>
      </c>
      <c r="Q1846">
        <v>3.4157727704644901E-4</v>
      </c>
      <c r="R1846" s="8">
        <v>21.7671203613281</v>
      </c>
      <c r="S1846" s="8">
        <v>6.0728957302131903E-3</v>
      </c>
      <c r="T1846" s="9">
        <v>6.0545300168052298E-3</v>
      </c>
      <c r="U1846" s="12">
        <v>1.0378999999999999E-2</v>
      </c>
      <c r="V1846" s="16">
        <v>5.6327999999999996</v>
      </c>
      <c r="W1846" s="17">
        <f t="shared" si="28"/>
        <v>1.6715865846284039E-3</v>
      </c>
    </row>
    <row r="1847" spans="1:23" x14ac:dyDescent="0.2">
      <c r="A1847" s="15">
        <v>44256</v>
      </c>
      <c r="B1847" s="5">
        <v>-204220634537296</v>
      </c>
      <c r="C1847" s="5">
        <f>[1]!nefin_factors__1[[#This Row],[Rm_minus_Rf]]/B1846-1</f>
        <v>-3.9784643117833141E-2</v>
      </c>
      <c r="D1847" s="5">
        <v>-142654094557728</v>
      </c>
      <c r="E1847" s="5">
        <f>[1]!nefin_factors__1[[#This Row],[SMB]]/D1846-1</f>
        <v>0.15130513797793244</v>
      </c>
      <c r="F1847" s="5">
        <v>-654030550947392</v>
      </c>
      <c r="G1847" s="5">
        <f>[1]!nefin_factors__1[[#This Row],[HML]]/F1846-1</f>
        <v>-4.9509748047745479</v>
      </c>
      <c r="H1847" s="5">
        <v>8441679812</v>
      </c>
      <c r="I1847" s="6">
        <f>[1]!nefin_factors__1[[#This Row],[Risk_Free]]/H1846-1</f>
        <v>9.140020778774101</v>
      </c>
      <c r="J1847">
        <v>122976</v>
      </c>
      <c r="K1847">
        <v>123013</v>
      </c>
      <c r="L1847">
        <v>121595</v>
      </c>
      <c r="M1847">
        <v>122636</v>
      </c>
      <c r="N1847">
        <v>8825300</v>
      </c>
      <c r="O1847">
        <v>122636</v>
      </c>
      <c r="P1847">
        <v>-2.7972027972027499E-3</v>
      </c>
      <c r="Q1847">
        <v>-2.8011222797116701E-3</v>
      </c>
      <c r="R1847" s="8">
        <v>21.180240631103501</v>
      </c>
      <c r="S1847" s="8">
        <v>-2.6961753345530699E-2</v>
      </c>
      <c r="T1847" s="9">
        <v>-2.73318895990202E-2</v>
      </c>
      <c r="U1847" s="12">
        <v>1.0378999999999999E-2</v>
      </c>
      <c r="V1847" s="16">
        <v>5.5750000000000002</v>
      </c>
      <c r="W1847" s="17">
        <f t="shared" si="28"/>
        <v>-1.0261326516119773E-2</v>
      </c>
    </row>
    <row r="1848" spans="1:23" x14ac:dyDescent="0.2">
      <c r="A1848" s="14">
        <v>44257</v>
      </c>
      <c r="B1848" s="3">
        <v>108287429957557</v>
      </c>
      <c r="C1848" s="3">
        <f>[1]!nefin_factors__1[[#This Row],[Rm_minus_Rf]]/B1847-1</f>
        <v>-1.5302472504940772</v>
      </c>
      <c r="D1848" s="3">
        <v>111156232008758</v>
      </c>
      <c r="E1848" s="3">
        <f>[1]!nefin_factors__1[[#This Row],[SMB]]/D1847-1</f>
        <v>-1.7792011323150367</v>
      </c>
      <c r="F1848" s="3">
        <v>165956401289489</v>
      </c>
      <c r="G1848" s="3">
        <f>[1]!nefin_factors__1[[#This Row],[HML]]/F1847-1</f>
        <v>-1.2537441118753456</v>
      </c>
      <c r="H1848" s="3">
        <v>8480528519</v>
      </c>
      <c r="I1848" s="4">
        <f>[1]!nefin_factors__1[[#This Row],[Risk_Free]]/H1847-1</f>
        <v>4.6020114319873517E-3</v>
      </c>
      <c r="J1848">
        <v>122636</v>
      </c>
      <c r="K1848">
        <v>122734</v>
      </c>
      <c r="L1848">
        <v>122136</v>
      </c>
      <c r="M1848">
        <v>122701</v>
      </c>
      <c r="N1848">
        <v>7906400</v>
      </c>
      <c r="O1848">
        <v>122701</v>
      </c>
      <c r="P1848">
        <v>5.3002381030031699E-4</v>
      </c>
      <c r="Q1848">
        <v>5.2988339729320895E-4</v>
      </c>
      <c r="R1848" s="8">
        <v>20.8649005889893</v>
      </c>
      <c r="S1848" s="8">
        <v>-1.48884069641388E-2</v>
      </c>
      <c r="T1848" s="9">
        <v>-1.5000351804955901E-2</v>
      </c>
      <c r="U1848" s="12">
        <v>1.0378999999999999E-2</v>
      </c>
      <c r="V1848" s="16">
        <v>5.5266000000000002</v>
      </c>
      <c r="W1848" s="17">
        <f t="shared" si="28"/>
        <v>-8.6816143497757681E-3</v>
      </c>
    </row>
    <row r="1849" spans="1:23" x14ac:dyDescent="0.2">
      <c r="A1849" s="15">
        <v>44258</v>
      </c>
      <c r="B1849" s="5">
        <v>-26028170953332</v>
      </c>
      <c r="C1849" s="5">
        <f>[1]!nefin_factors__1[[#This Row],[Rm_minus_Rf]]/B1848-1</f>
        <v>-1.2403618865415282</v>
      </c>
      <c r="D1849" s="5">
        <v>-10727144444812</v>
      </c>
      <c r="E1849" s="5">
        <f>[1]!nefin_factors__1[[#This Row],[SMB]]/D1848-1</f>
        <v>-1.0965051104284176</v>
      </c>
      <c r="F1849" s="5">
        <v>-20066445329227</v>
      </c>
      <c r="G1849" s="5">
        <f>[1]!nefin_factors__1[[#This Row],[HML]]/F1848-1</f>
        <v>-1.1209139579631142</v>
      </c>
      <c r="H1849" s="5">
        <v>8635885483</v>
      </c>
      <c r="I1849" s="6">
        <f>[1]!nefin_factors__1[[#This Row],[Risk_Free]]/H1848-1</f>
        <v>1.8319254944068053E-2</v>
      </c>
      <c r="J1849">
        <v>122701</v>
      </c>
      <c r="K1849">
        <v>122799</v>
      </c>
      <c r="L1849">
        <v>121760</v>
      </c>
      <c r="M1849">
        <v>122592</v>
      </c>
      <c r="N1849">
        <v>9493600</v>
      </c>
      <c r="O1849">
        <v>122592</v>
      </c>
      <c r="P1849">
        <v>-8.8833831835111198E-4</v>
      </c>
      <c r="Q1849">
        <v>-8.8873312466673999E-4</v>
      </c>
      <c r="R1849" s="8">
        <v>20.645915985107401</v>
      </c>
      <c r="S1849" s="8">
        <v>-1.04953581229809E-2</v>
      </c>
      <c r="T1849" s="9">
        <v>-1.0550822816594601E-2</v>
      </c>
      <c r="U1849" s="12">
        <v>1.0378999999999999E-2</v>
      </c>
      <c r="V1849" s="16">
        <v>5.4969999999999999</v>
      </c>
      <c r="W1849" s="17">
        <f t="shared" si="28"/>
        <v>-5.355915029131908E-3</v>
      </c>
    </row>
    <row r="1850" spans="1:23" x14ac:dyDescent="0.2">
      <c r="A1850" s="14">
        <v>44259</v>
      </c>
      <c r="B1850" s="3">
        <v>128563596603131</v>
      </c>
      <c r="C1850" s="3">
        <f>[1]!nefin_factors__1[[#This Row],[Rm_minus_Rf]]/B1849-1</f>
        <v>-5.9394018824312704</v>
      </c>
      <c r="D1850" s="3">
        <v>311832325002975</v>
      </c>
      <c r="E1850" s="3">
        <f>[1]!nefin_factors__1[[#This Row],[SMB]]/D1849-1</f>
        <v>-30.069462670821718</v>
      </c>
      <c r="F1850" s="3">
        <v>293621876362438</v>
      </c>
      <c r="G1850" s="3">
        <f>[1]!nefin_factors__1[[#This Row],[HML]]/F1849-1</f>
        <v>-15.632480817854395</v>
      </c>
      <c r="H1850" s="3">
        <v>8558214573</v>
      </c>
      <c r="I1850" s="4">
        <f>[1]!nefin_factors__1[[#This Row],[Risk_Free]]/H1849-1</f>
        <v>-8.9939717418552334E-3</v>
      </c>
      <c r="J1850">
        <v>122592</v>
      </c>
      <c r="K1850">
        <v>124167</v>
      </c>
      <c r="L1850">
        <v>122526</v>
      </c>
      <c r="M1850">
        <v>124032</v>
      </c>
      <c r="N1850">
        <v>8186300</v>
      </c>
      <c r="O1850">
        <v>124032</v>
      </c>
      <c r="P1850">
        <v>1.1746280344557601E-2</v>
      </c>
      <c r="Q1850">
        <v>1.1677828310007901E-2</v>
      </c>
      <c r="R1850" s="8">
        <v>20.707231521606399</v>
      </c>
      <c r="S1850" s="8">
        <v>2.96986273426914E-3</v>
      </c>
      <c r="T1850" s="9">
        <v>2.9654614040168E-3</v>
      </c>
      <c r="U1850" s="12">
        <v>1.0378999999999999E-2</v>
      </c>
      <c r="V1850" s="16">
        <v>5.4786999999999999</v>
      </c>
      <c r="W1850" s="17">
        <f t="shared" si="28"/>
        <v>-3.3290885937784509E-3</v>
      </c>
    </row>
    <row r="1851" spans="1:23" x14ac:dyDescent="0.2">
      <c r="A1851" s="15">
        <v>44260</v>
      </c>
      <c r="B1851" s="5">
        <v>213913364890432</v>
      </c>
      <c r="C1851" s="5">
        <f>[1]!nefin_factors__1[[#This Row],[Rm_minus_Rf]]/B1850-1</f>
        <v>0.66387197108969498</v>
      </c>
      <c r="D1851" s="5">
        <v>163038365667499</v>
      </c>
      <c r="E1851" s="5">
        <f>[1]!nefin_factors__1[[#This Row],[SMB]]/D1850-1</f>
        <v>-0.47716015116154631</v>
      </c>
      <c r="F1851" s="5">
        <v>153960317997496</v>
      </c>
      <c r="G1851" s="5">
        <f>[1]!nefin_factors__1[[#This Row],[HML]]/F1850-1</f>
        <v>-0.47565106556484227</v>
      </c>
      <c r="H1851" s="5">
        <v>8597051921</v>
      </c>
      <c r="I1851" s="6">
        <f>[1]!nefin_factors__1[[#This Row],[Risk_Free]]/H1850-1</f>
        <v>4.5380198952391648E-3</v>
      </c>
      <c r="J1851">
        <v>124032</v>
      </c>
      <c r="K1851">
        <v>124696</v>
      </c>
      <c r="L1851">
        <v>122701</v>
      </c>
      <c r="M1851">
        <v>122988</v>
      </c>
      <c r="N1851">
        <v>8914500</v>
      </c>
      <c r="O1851">
        <v>122988</v>
      </c>
      <c r="P1851">
        <v>-8.4171826625386598E-3</v>
      </c>
      <c r="Q1851">
        <v>-8.4528071908201007E-3</v>
      </c>
      <c r="R1851" s="8">
        <v>20.672193527221701</v>
      </c>
      <c r="S1851" s="8">
        <v>-1.6920656123541301E-3</v>
      </c>
      <c r="T1851" s="9">
        <v>-1.69349877226762E-3</v>
      </c>
      <c r="U1851" s="12">
        <v>1.0378999999999999E-2</v>
      </c>
      <c r="V1851" s="16">
        <v>5.4565999999999999</v>
      </c>
      <c r="W1851" s="17">
        <f t="shared" si="28"/>
        <v>-4.0338036395495269E-3</v>
      </c>
    </row>
    <row r="1852" spans="1:23" x14ac:dyDescent="0.2">
      <c r="A1852" s="14">
        <v>44263</v>
      </c>
      <c r="B1852" s="3">
        <v>-3981655123005</v>
      </c>
      <c r="C1852" s="3">
        <f>[1]!nefin_factors__1[[#This Row],[Rm_minus_Rf]]/B1851-1</f>
        <v>-1.018613400453237</v>
      </c>
      <c r="D1852" s="3">
        <v>-95841546842587</v>
      </c>
      <c r="E1852" s="3">
        <f>[1]!nefin_factors__1[[#This Row],[SMB]]/D1851-1</f>
        <v>-1.5878465872139971</v>
      </c>
      <c r="F1852" s="3">
        <v>452844244513021</v>
      </c>
      <c r="G1852" s="3">
        <f>[1]!nefin_factors__1[[#This Row],[HML]]/F1851-1</f>
        <v>1.9413049440465953</v>
      </c>
      <c r="H1852" s="3">
        <v>8868807408</v>
      </c>
      <c r="I1852" s="4">
        <f>[1]!nefin_factors__1[[#This Row],[Risk_Free]]/H1851-1</f>
        <v>3.1610311243576827E-2</v>
      </c>
      <c r="J1852">
        <v>122988</v>
      </c>
      <c r="K1852">
        <v>124256</v>
      </c>
      <c r="L1852">
        <v>122988</v>
      </c>
      <c r="M1852">
        <v>123989</v>
      </c>
      <c r="N1852">
        <v>8258400</v>
      </c>
      <c r="O1852">
        <v>123989</v>
      </c>
      <c r="P1852">
        <v>8.1390054314241008E-3</v>
      </c>
      <c r="Q1852">
        <v>8.10606235525505E-3</v>
      </c>
      <c r="R1852" s="8">
        <v>21.294111251831101</v>
      </c>
      <c r="S1852" s="8">
        <v>3.00847476002204E-2</v>
      </c>
      <c r="T1852" s="9">
        <v>2.9641078080309701E-2</v>
      </c>
      <c r="U1852" s="12">
        <v>1.0378999999999999E-2</v>
      </c>
      <c r="V1852" s="16">
        <v>5.4424000000000001</v>
      </c>
      <c r="W1852" s="17">
        <f t="shared" si="28"/>
        <v>-2.6023531136605271E-3</v>
      </c>
    </row>
    <row r="1853" spans="1:23" x14ac:dyDescent="0.2">
      <c r="A1853" s="15">
        <v>44264</v>
      </c>
      <c r="B1853" s="5">
        <v>543001770154025</v>
      </c>
      <c r="C1853" s="5">
        <f>[1]!nefin_factors__1[[#This Row],[Rm_minus_Rf]]/B1852-1</f>
        <v>-137.37589228074967</v>
      </c>
      <c r="D1853" s="5">
        <v>-126501699367143</v>
      </c>
      <c r="E1853" s="5">
        <f>[1]!nefin_factors__1[[#This Row],[SMB]]/D1852-1</f>
        <v>0.31990460854010583</v>
      </c>
      <c r="F1853" s="5">
        <v>-354964290819201</v>
      </c>
      <c r="G1853" s="5">
        <f>[1]!nefin_factors__1[[#This Row],[HML]]/F1852-1</f>
        <v>-1.7838551447218283</v>
      </c>
      <c r="H1853" s="5">
        <v>9024013080</v>
      </c>
      <c r="I1853" s="6">
        <f>[1]!nefin_factors__1[[#This Row],[Risk_Free]]/H1852-1</f>
        <v>1.7500173908387984E-2</v>
      </c>
      <c r="J1853">
        <v>123989</v>
      </c>
      <c r="K1853">
        <v>124537</v>
      </c>
      <c r="L1853">
        <v>123470</v>
      </c>
      <c r="M1853">
        <v>124367</v>
      </c>
      <c r="N1853">
        <v>0</v>
      </c>
      <c r="O1853">
        <v>124367</v>
      </c>
      <c r="P1853">
        <v>3.0486575422012901E-3</v>
      </c>
      <c r="Q1853">
        <v>3.0440198093119098E-3</v>
      </c>
      <c r="R1853" s="8">
        <v>21.329149246215799</v>
      </c>
      <c r="S1853" s="8">
        <v>1.6454311696973999E-3</v>
      </c>
      <c r="T1853" s="9">
        <v>1.6440789309709099E-3</v>
      </c>
      <c r="U1853" s="12">
        <v>1.0378999999999999E-2</v>
      </c>
      <c r="V1853" s="16">
        <v>5.4005000000000001</v>
      </c>
      <c r="W1853" s="17">
        <f t="shared" si="28"/>
        <v>-7.6988093488167264E-3</v>
      </c>
    </row>
    <row r="1854" spans="1:23" x14ac:dyDescent="0.2">
      <c r="A1854" s="14">
        <v>44265</v>
      </c>
      <c r="B1854" s="3">
        <v>116842843533577</v>
      </c>
      <c r="C1854" s="3">
        <f>[1]!nefin_factors__1[[#This Row],[Rm_minus_Rf]]/B1853-1</f>
        <v>-0.78482051080527049</v>
      </c>
      <c r="D1854" s="3">
        <v>101134023764873</v>
      </c>
      <c r="E1854" s="3">
        <f>[1]!nefin_factors__1[[#This Row],[SMB]]/D1853-1</f>
        <v>-1.7994677088989455</v>
      </c>
      <c r="F1854" s="3">
        <v>752827907630528</v>
      </c>
      <c r="G1854" s="3">
        <f>[1]!nefin_factors__1[[#This Row],[HML]]/F1853-1</f>
        <v>-3.1208553285546587</v>
      </c>
      <c r="H1854" s="3">
        <v>906280505</v>
      </c>
      <c r="I1854" s="4">
        <f>[1]!nefin_factors__1[[#This Row],[Risk_Free]]/H1853-1</f>
        <v>-0.89957012506901202</v>
      </c>
      <c r="J1854">
        <v>124367</v>
      </c>
      <c r="K1854">
        <v>125698</v>
      </c>
      <c r="L1854">
        <v>124284</v>
      </c>
      <c r="M1854">
        <v>125561</v>
      </c>
      <c r="N1854">
        <v>8838500</v>
      </c>
      <c r="O1854">
        <v>125561</v>
      </c>
      <c r="P1854">
        <v>9.6006175271574606E-3</v>
      </c>
      <c r="Q1854">
        <v>9.5548244598914998E-3</v>
      </c>
      <c r="R1854" s="8">
        <v>21.837194442748999</v>
      </c>
      <c r="S1854" s="8">
        <v>2.3819290243062102E-2</v>
      </c>
      <c r="T1854" s="9">
        <v>2.35400366718721E-2</v>
      </c>
      <c r="U1854" s="12">
        <v>1.0378999999999999E-2</v>
      </c>
      <c r="V1854" s="16">
        <v>5.3662000000000001</v>
      </c>
      <c r="W1854" s="17">
        <f t="shared" si="28"/>
        <v>-6.3512637718730058E-3</v>
      </c>
    </row>
    <row r="1855" spans="1:23" x14ac:dyDescent="0.2">
      <c r="A1855" s="15">
        <v>44266</v>
      </c>
      <c r="B1855" s="5">
        <v>175269935612631</v>
      </c>
      <c r="C1855" s="5">
        <f>[1]!nefin_factors__1[[#This Row],[Rm_minus_Rf]]/B1854-1</f>
        <v>0.50004852939293509</v>
      </c>
      <c r="D1855" s="5">
        <v>236955835332982</v>
      </c>
      <c r="E1855" s="5">
        <f>[1]!nefin_factors__1[[#This Row],[SMB]]/D1854-1</f>
        <v>1.3429883090964698</v>
      </c>
      <c r="F1855" s="5">
        <v>-360956695345365</v>
      </c>
      <c r="G1855" s="5">
        <f>[1]!nefin_factors__1[[#This Row],[HML]]/F1854-1</f>
        <v>-1.4794677398204463</v>
      </c>
      <c r="H1855" s="5">
        <v>9179158318</v>
      </c>
      <c r="I1855" s="6">
        <f>[1]!nefin_factors__1[[#This Row],[Risk_Free]]/H1854-1</f>
        <v>9.1283854914213336</v>
      </c>
      <c r="J1855">
        <v>125561</v>
      </c>
      <c r="K1855">
        <v>126216</v>
      </c>
      <c r="L1855">
        <v>125540</v>
      </c>
      <c r="M1855">
        <v>126216</v>
      </c>
      <c r="N1855">
        <v>5946500</v>
      </c>
      <c r="O1855">
        <v>126216</v>
      </c>
      <c r="P1855">
        <v>5.2165879532657397E-3</v>
      </c>
      <c r="Q1855">
        <v>5.2030286932678903E-3</v>
      </c>
      <c r="R1855" s="8">
        <v>21.802158355712901</v>
      </c>
      <c r="S1855" s="8">
        <v>-1.60442254283111E-3</v>
      </c>
      <c r="T1855" s="9">
        <v>-1.60571100702417E-3</v>
      </c>
      <c r="U1855" s="12">
        <v>1.0378999999999999E-2</v>
      </c>
      <c r="V1855" s="16">
        <v>5.4036</v>
      </c>
      <c r="W1855" s="17">
        <f t="shared" si="28"/>
        <v>6.9695501472177845E-3</v>
      </c>
    </row>
    <row r="1856" spans="1:23" x14ac:dyDescent="0.2">
      <c r="A1856" s="14">
        <v>44267</v>
      </c>
      <c r="B1856" s="3">
        <v>-633772323330797</v>
      </c>
      <c r="C1856" s="3">
        <f>[1]!nefin_factors__1[[#This Row],[Rm_minus_Rf]]/B1855-1</f>
        <v>-4.6159785254415509</v>
      </c>
      <c r="D1856" s="3">
        <v>107178631546092</v>
      </c>
      <c r="E1856" s="3">
        <f>[1]!nefin_factors__1[[#This Row],[SMB]]/D1855-1</f>
        <v>-0.54768519882416355</v>
      </c>
      <c r="F1856" s="3">
        <v>486884244226453</v>
      </c>
      <c r="G1856" s="3">
        <f>[1]!nefin_factors__1[[#This Row],[HML]]/F1855-1</f>
        <v>-2.3488716250590667</v>
      </c>
      <c r="H1856" s="3">
        <v>9295477615</v>
      </c>
      <c r="I1856" s="4">
        <f>[1]!nefin_factors__1[[#This Row],[Risk_Free]]/H1855-1</f>
        <v>1.2672109246868679E-2</v>
      </c>
      <c r="J1856">
        <v>126218</v>
      </c>
      <c r="K1856">
        <v>128363</v>
      </c>
      <c r="L1856">
        <v>126218</v>
      </c>
      <c r="M1856">
        <v>128267</v>
      </c>
      <c r="N1856">
        <v>12496100</v>
      </c>
      <c r="O1856">
        <v>128267</v>
      </c>
      <c r="P1856">
        <v>1.6249920770742301E-2</v>
      </c>
      <c r="Q1856">
        <v>1.6119303917510999E-2</v>
      </c>
      <c r="R1856" s="8">
        <v>21.653247833251999</v>
      </c>
      <c r="S1856" s="8">
        <v>-6.8300816841795299E-3</v>
      </c>
      <c r="T1856" s="9">
        <v>-6.8535134469377796E-3</v>
      </c>
      <c r="U1856" s="12">
        <v>1.0378999999999999E-2</v>
      </c>
      <c r="V1856" s="16">
        <v>5.4086999999999996</v>
      </c>
      <c r="W1856" s="17">
        <f t="shared" si="28"/>
        <v>9.4381523428821446E-4</v>
      </c>
    </row>
    <row r="1857" spans="1:23" x14ac:dyDescent="0.2">
      <c r="A1857" s="15">
        <v>44270</v>
      </c>
      <c r="B1857" s="5">
        <v>805123169041187</v>
      </c>
      <c r="C1857" s="5">
        <f>[1]!nefin_factors__1[[#This Row],[Rm_minus_Rf]]/B1856-1</f>
        <v>-2.2703665644625408</v>
      </c>
      <c r="D1857" s="5">
        <v>371673199670061</v>
      </c>
      <c r="E1857" s="5">
        <f>[1]!nefin_factors__1[[#This Row],[SMB]]/D1856-1</f>
        <v>2.4677919871576597</v>
      </c>
      <c r="F1857" s="5">
        <v>727285644285087</v>
      </c>
      <c r="G1857" s="5">
        <f>[1]!nefin_factors__1[[#This Row],[HML]]/F1856-1</f>
        <v>0.49375473310001339</v>
      </c>
      <c r="H1857" s="5">
        <v>9605496495</v>
      </c>
      <c r="I1857" s="6">
        <f>[1]!nefin_factors__1[[#This Row],[Risk_Free]]/H1856-1</f>
        <v>3.3351581579813105E-2</v>
      </c>
      <c r="J1857">
        <v>128268</v>
      </c>
      <c r="K1857">
        <v>129601</v>
      </c>
      <c r="L1857">
        <v>128167</v>
      </c>
      <c r="M1857">
        <v>129601</v>
      </c>
      <c r="N1857">
        <v>12781100</v>
      </c>
      <c r="O1857">
        <v>129601</v>
      </c>
      <c r="P1857">
        <v>1.04001808727108E-2</v>
      </c>
      <c r="Q1857">
        <v>1.03464710651247E-2</v>
      </c>
      <c r="R1857" s="8">
        <v>22.108737945556602</v>
      </c>
      <c r="S1857" s="8">
        <v>2.10356485924117E-2</v>
      </c>
      <c r="T1857" s="9">
        <v>2.0817453942650201E-2</v>
      </c>
      <c r="U1857" s="12">
        <v>1.0378999999999999E-2</v>
      </c>
      <c r="V1857" s="16">
        <v>5.4504999999999999</v>
      </c>
      <c r="W1857" s="17">
        <f t="shared" si="28"/>
        <v>7.7282896074843954E-3</v>
      </c>
    </row>
    <row r="1858" spans="1:23" x14ac:dyDescent="0.2">
      <c r="A1858" s="14">
        <v>44271</v>
      </c>
      <c r="B1858" s="3">
        <v>-623131414341748</v>
      </c>
      <c r="C1858" s="3">
        <f>[1]!nefin_factors__1[[#This Row],[Rm_minus_Rf]]/B1857-1</f>
        <v>-1.7739578716680442</v>
      </c>
      <c r="D1858" s="3">
        <v>-978538211372951</v>
      </c>
      <c r="E1858" s="3">
        <f>[1]!nefin_factors__1[[#This Row],[SMB]]/D1857-1</f>
        <v>-3.6327919587465862</v>
      </c>
      <c r="F1858" s="3">
        <v>-47567813715746</v>
      </c>
      <c r="G1858" s="3">
        <f>[1]!nefin_factors__1[[#This Row],[HML]]/F1857-1</f>
        <v>-1.0654045822154301</v>
      </c>
      <c r="H1858" s="3">
        <v>9644231900</v>
      </c>
      <c r="I1858" s="4">
        <f>[1]!nefin_factors__1[[#This Row],[Risk_Free]]/H1857-1</f>
        <v>4.0326291327223984E-3</v>
      </c>
      <c r="J1858">
        <v>129600</v>
      </c>
      <c r="K1858">
        <v>130137</v>
      </c>
      <c r="L1858">
        <v>129148</v>
      </c>
      <c r="M1858">
        <v>130126</v>
      </c>
      <c r="N1858">
        <v>9814800</v>
      </c>
      <c r="O1858">
        <v>130126</v>
      </c>
      <c r="P1858">
        <v>4.0508946690225303E-3</v>
      </c>
      <c r="Q1858">
        <v>4.0427118861632999E-3</v>
      </c>
      <c r="R1858" s="8">
        <v>23.7467441558838</v>
      </c>
      <c r="S1858" s="8">
        <v>7.4088634745266099E-2</v>
      </c>
      <c r="T1858" s="9">
        <v>7.1472520377228496E-2</v>
      </c>
      <c r="U1858" s="12">
        <v>1.0378999999999999E-2</v>
      </c>
      <c r="V1858" s="16">
        <v>5.3872</v>
      </c>
      <c r="W1858" s="17">
        <f t="shared" si="28"/>
        <v>-1.161361342996059E-2</v>
      </c>
    </row>
    <row r="1859" spans="1:23" x14ac:dyDescent="0.2">
      <c r="A1859" s="15">
        <v>44272</v>
      </c>
      <c r="B1859" s="5">
        <v>218118649256795</v>
      </c>
      <c r="C1859" s="5">
        <f>[1]!nefin_factors__1[[#This Row],[Rm_minus_Rf]]/B1858-1</f>
        <v>-1.3500363554727972</v>
      </c>
      <c r="D1859" s="5">
        <v>442870399470312</v>
      </c>
      <c r="E1859" s="5">
        <f>[1]!nefin_factors__1[[#This Row],[SMB]]/D1858-1</f>
        <v>-1.4525836541926522</v>
      </c>
      <c r="F1859" s="5">
        <v>-981098114717659</v>
      </c>
      <c r="G1859" s="5">
        <f>[1]!nefin_factors__1[[#This Row],[HML]]/F1858-1</f>
        <v>19.625251363883763</v>
      </c>
      <c r="H1859" s="5">
        <v>9682963540</v>
      </c>
      <c r="I1859" s="6">
        <f>[1]!nefin_factors__1[[#This Row],[Risk_Free]]/H1858-1</f>
        <v>4.0160419618280319E-3</v>
      </c>
      <c r="J1859">
        <v>130125</v>
      </c>
      <c r="K1859">
        <v>131190</v>
      </c>
      <c r="L1859">
        <v>129498</v>
      </c>
      <c r="M1859">
        <v>130776</v>
      </c>
      <c r="N1859">
        <v>9655400</v>
      </c>
      <c r="O1859">
        <v>130776</v>
      </c>
      <c r="P1859">
        <v>4.9951585386471802E-3</v>
      </c>
      <c r="Q1859">
        <v>4.9827241249550697E-3</v>
      </c>
      <c r="R1859" s="8">
        <v>24.0533256530762</v>
      </c>
      <c r="S1859" s="8">
        <v>1.29104644906204E-2</v>
      </c>
      <c r="T1859" s="9">
        <v>1.2827834875157099E-2</v>
      </c>
      <c r="U1859" s="12">
        <v>1.3269E-2</v>
      </c>
      <c r="V1859" s="16">
        <v>5.2896999999999998</v>
      </c>
      <c r="W1859" s="17">
        <f t="shared" si="28"/>
        <v>-1.8098455598455576E-2</v>
      </c>
    </row>
    <row r="1860" spans="1:23" x14ac:dyDescent="0.2">
      <c r="A1860" s="14">
        <v>44273</v>
      </c>
      <c r="B1860" s="3">
        <v>-153423187454218</v>
      </c>
      <c r="C1860" s="3">
        <f>[1]!nefin_factors__1[[#This Row],[Rm_minus_Rf]]/B1859-1</f>
        <v>-1.7033932585635543</v>
      </c>
      <c r="D1860" s="3">
        <v>-274418221455408</v>
      </c>
      <c r="E1860" s="3">
        <f>[1]!nefin_factors__1[[#This Row],[SMB]]/D1859-1</f>
        <v>-1.6196355001003035</v>
      </c>
      <c r="F1860" s="3">
        <v>-298544782071739</v>
      </c>
      <c r="G1860" s="3">
        <f>[1]!nefin_factors__1[[#This Row],[HML]]/F1859-1</f>
        <v>-0.69570343924506028</v>
      </c>
      <c r="H1860" s="3">
        <v>104181502484257</v>
      </c>
      <c r="I1860" s="4">
        <f>[1]!nefin_factors__1[[#This Row],[Risk_Free]]/H1859-1</f>
        <v>10758.257953816172</v>
      </c>
      <c r="J1860">
        <v>130776</v>
      </c>
      <c r="K1860">
        <v>130776</v>
      </c>
      <c r="L1860">
        <v>129230</v>
      </c>
      <c r="M1860">
        <v>129787</v>
      </c>
      <c r="N1860">
        <v>10346600</v>
      </c>
      <c r="O1860">
        <v>129787</v>
      </c>
      <c r="P1860">
        <v>-7.5625497033095001E-3</v>
      </c>
      <c r="Q1860">
        <v>-7.5912907778773403E-3</v>
      </c>
      <c r="R1860" s="8">
        <v>24.508813858032202</v>
      </c>
      <c r="S1860" s="8">
        <v>1.8936599933232299E-2</v>
      </c>
      <c r="T1860" s="9">
        <v>1.87595343788018E-2</v>
      </c>
      <c r="U1860" s="12">
        <v>1.3269E-2</v>
      </c>
      <c r="V1860" s="16">
        <v>5.2217000000000002</v>
      </c>
      <c r="W1860" s="17">
        <f t="shared" ref="W1860:W1923" si="29">V1860/V1859-1</f>
        <v>-1.2855171370777074E-2</v>
      </c>
    </row>
    <row r="1861" spans="1:23" x14ac:dyDescent="0.2">
      <c r="A1861" s="15">
        <v>44274</v>
      </c>
      <c r="B1861" s="5">
        <v>942378872499736</v>
      </c>
      <c r="C1861" s="5">
        <f>[1]!nefin_factors__1[[#This Row],[Rm_minus_Rf]]/B1860-1</f>
        <v>-7.1423497199922608</v>
      </c>
      <c r="D1861" s="5">
        <v>886696798419743</v>
      </c>
      <c r="E1861" s="5">
        <f>[1]!nefin_factors__1[[#This Row],[SMB]]/D1860-1</f>
        <v>-4.2311877604812338</v>
      </c>
      <c r="F1861" s="5">
        <v>372915282102273</v>
      </c>
      <c r="G1861" s="5">
        <f>[1]!nefin_factors__1[[#This Row],[HML]]/F1860-1</f>
        <v>-2.249110031381031</v>
      </c>
      <c r="H1861" s="5">
        <v>104181502484257</v>
      </c>
      <c r="I1861" s="6">
        <f>[1]!nefin_factors__1[[#This Row],[Risk_Free]]/H1860-1</f>
        <v>0</v>
      </c>
      <c r="J1861">
        <v>129800</v>
      </c>
      <c r="K1861">
        <v>130882</v>
      </c>
      <c r="L1861">
        <v>129281</v>
      </c>
      <c r="M1861">
        <v>129907</v>
      </c>
      <c r="N1861">
        <v>9833700</v>
      </c>
      <c r="O1861">
        <v>129907</v>
      </c>
      <c r="P1861">
        <v>9.2459183123128096E-4</v>
      </c>
      <c r="Q1861">
        <v>9.2416465949014804E-4</v>
      </c>
      <c r="R1861" s="8">
        <v>23.939451217651399</v>
      </c>
      <c r="S1861" s="8">
        <v>-2.3230934131651702E-2</v>
      </c>
      <c r="T1861" s="9">
        <v>-2.3505025536057999E-2</v>
      </c>
      <c r="U1861" s="12">
        <v>1.3269E-2</v>
      </c>
      <c r="V1861" s="16">
        <v>5.2226999999999997</v>
      </c>
      <c r="W1861" s="17">
        <f t="shared" si="29"/>
        <v>1.9150851255322898E-4</v>
      </c>
    </row>
    <row r="1862" spans="1:23" x14ac:dyDescent="0.2">
      <c r="A1862" s="14">
        <v>44277</v>
      </c>
      <c r="B1862" s="3">
        <v>-788822496487993</v>
      </c>
      <c r="C1862" s="3">
        <f>[1]!nefin_factors__1[[#This Row],[Rm_minus_Rf]]/B1861-1</f>
        <v>-1.8370545218141168</v>
      </c>
      <c r="D1862" s="3">
        <v>227026374619702</v>
      </c>
      <c r="E1862" s="3">
        <f>[1]!nefin_factors__1[[#This Row],[SMB]]/D1861-1</f>
        <v>-0.74396391751463997</v>
      </c>
      <c r="F1862" s="3">
        <v>-95154896198324</v>
      </c>
      <c r="G1862" s="3">
        <f>[1]!nefin_factors__1[[#This Row],[HML]]/F1861-1</f>
        <v>-1.2551649148350736</v>
      </c>
      <c r="H1862" s="3">
        <v>104181502484257</v>
      </c>
      <c r="I1862" s="4">
        <f>[1]!nefin_factors__1[[#This Row],[Risk_Free]]/H1861-1</f>
        <v>0</v>
      </c>
      <c r="J1862">
        <v>129911</v>
      </c>
      <c r="K1862">
        <v>130527</v>
      </c>
      <c r="L1862">
        <v>129526</v>
      </c>
      <c r="M1862">
        <v>130076</v>
      </c>
      <c r="N1862">
        <v>8537900</v>
      </c>
      <c r="O1862">
        <v>130076</v>
      </c>
      <c r="P1862">
        <v>1.3009306657840701E-3</v>
      </c>
      <c r="Q1862">
        <v>1.3000851886774401E-3</v>
      </c>
      <c r="R1862" s="8">
        <v>23.6416320800781</v>
      </c>
      <c r="S1862" s="8">
        <v>-1.2440516487431099E-2</v>
      </c>
      <c r="T1862" s="9">
        <v>-1.25185475525791E-2</v>
      </c>
      <c r="U1862" s="12">
        <v>1.3269E-2</v>
      </c>
      <c r="V1862" s="16">
        <v>5.2403000000000004</v>
      </c>
      <c r="W1862" s="17">
        <f t="shared" si="29"/>
        <v>3.3699044555499658E-3</v>
      </c>
    </row>
    <row r="1863" spans="1:23" x14ac:dyDescent="0.2">
      <c r="A1863" s="15">
        <v>44278</v>
      </c>
      <c r="B1863" s="5">
        <v>-143523055895792</v>
      </c>
      <c r="C1863" s="5">
        <f>[1]!nefin_factors__1[[#This Row],[Rm_minus_Rf]]/B1862-1</f>
        <v>-0.81805405330757242</v>
      </c>
      <c r="D1863" s="5">
        <v>7960315456.9462404</v>
      </c>
      <c r="E1863" s="5">
        <f>[1]!nefin_factors__1[[#This Row],[SMB]]/D1862-1</f>
        <v>-0.99996493660496366</v>
      </c>
      <c r="F1863" s="5">
        <v>-892755706538027</v>
      </c>
      <c r="G1863" s="5">
        <f>[1]!nefin_factors__1[[#This Row],[HML]]/F1862-1</f>
        <v>8.3821310537434162</v>
      </c>
      <c r="H1863" s="5">
        <v>104181502484257</v>
      </c>
      <c r="I1863" s="6">
        <f>[1]!nefin_factors__1[[#This Row],[Risk_Free]]/H1862-1</f>
        <v>0</v>
      </c>
      <c r="J1863">
        <v>130076</v>
      </c>
      <c r="K1863">
        <v>130294</v>
      </c>
      <c r="L1863">
        <v>128678</v>
      </c>
      <c r="M1863">
        <v>129441</v>
      </c>
      <c r="N1863">
        <v>7748200</v>
      </c>
      <c r="O1863">
        <v>129441</v>
      </c>
      <c r="P1863">
        <v>-4.8817614317783198E-3</v>
      </c>
      <c r="Q1863">
        <v>-4.8937161517129697E-3</v>
      </c>
      <c r="R1863" s="8">
        <v>23.089790344238299</v>
      </c>
      <c r="S1863" s="8">
        <v>-2.3341947542820402E-2</v>
      </c>
      <c r="T1863" s="9">
        <v>-2.3618685687744001E-2</v>
      </c>
      <c r="U1863" s="12">
        <v>1.3269E-2</v>
      </c>
      <c r="V1863" s="16">
        <v>5.2352999999999996</v>
      </c>
      <c r="W1863" s="17">
        <f t="shared" si="29"/>
        <v>-9.541438467264296E-4</v>
      </c>
    </row>
    <row r="1864" spans="1:23" x14ac:dyDescent="0.2">
      <c r="A1864" s="14">
        <v>44279</v>
      </c>
      <c r="B1864" s="3">
        <v>-103672358575098</v>
      </c>
      <c r="C1864" s="3">
        <f>[1]!nefin_factors__1[[#This Row],[Rm_minus_Rf]]/B1863-1</f>
        <v>-0.27766059656386122</v>
      </c>
      <c r="D1864" s="3">
        <v>-836696319942015</v>
      </c>
      <c r="E1864" s="3">
        <f>[1]!nefin_factors__1[[#This Row],[SMB]]/D1863-1</f>
        <v>-105109.43753207123</v>
      </c>
      <c r="F1864" s="3">
        <v>140254066018229</v>
      </c>
      <c r="G1864" s="3">
        <f>[1]!nefin_factors__1[[#This Row],[HML]]/F1863-1</f>
        <v>-1.157102402136541</v>
      </c>
      <c r="H1864" s="3">
        <v>104181502484257</v>
      </c>
      <c r="I1864" s="4">
        <f>[1]!nefin_factors__1[[#This Row],[Risk_Free]]/H1863-1</f>
        <v>0</v>
      </c>
      <c r="J1864">
        <v>129441</v>
      </c>
      <c r="K1864">
        <v>131084</v>
      </c>
      <c r="L1864">
        <v>129441</v>
      </c>
      <c r="M1864">
        <v>130208</v>
      </c>
      <c r="N1864">
        <v>8155700</v>
      </c>
      <c r="O1864">
        <v>130208</v>
      </c>
      <c r="P1864">
        <v>5.9254795621170898E-3</v>
      </c>
      <c r="Q1864">
        <v>5.9079929517954401E-3</v>
      </c>
      <c r="R1864" s="8">
        <v>23.492723464965799</v>
      </c>
      <c r="S1864" s="8">
        <v>1.7450705039774701E-2</v>
      </c>
      <c r="T1864" s="9">
        <v>1.7300190025656099E-2</v>
      </c>
      <c r="U1864" s="12">
        <v>1.3269E-2</v>
      </c>
      <c r="V1864" s="16">
        <v>5.2815000000000003</v>
      </c>
      <c r="W1864" s="17">
        <f t="shared" si="29"/>
        <v>8.8247091857200921E-3</v>
      </c>
    </row>
    <row r="1865" spans="1:23" x14ac:dyDescent="0.2">
      <c r="A1865" s="15">
        <v>44280</v>
      </c>
      <c r="B1865" s="5">
        <v>131999074334316</v>
      </c>
      <c r="C1865" s="5">
        <f>[1]!nefin_factors__1[[#This Row],[Rm_minus_Rf]]/B1864-1</f>
        <v>-2.2732330598874024</v>
      </c>
      <c r="D1865" s="5">
        <v>368154669162042</v>
      </c>
      <c r="E1865" s="5">
        <f>[1]!nefin_factors__1[[#This Row],[SMB]]/D1864-1</f>
        <v>-1.4400099060882161</v>
      </c>
      <c r="F1865" s="5">
        <v>311935883495595</v>
      </c>
      <c r="G1865" s="5">
        <f>[1]!nefin_factors__1[[#This Row],[HML]]/F1864-1</f>
        <v>1.2240772930964603</v>
      </c>
      <c r="H1865" s="5">
        <v>104181502484257</v>
      </c>
      <c r="I1865" s="6">
        <f>[1]!nefin_factors__1[[#This Row],[Risk_Free]]/H1864-1</f>
        <v>0</v>
      </c>
      <c r="J1865">
        <v>130208</v>
      </c>
      <c r="K1865">
        <v>130436</v>
      </c>
      <c r="L1865">
        <v>129304</v>
      </c>
      <c r="M1865">
        <v>130091</v>
      </c>
      <c r="N1865">
        <v>7211500</v>
      </c>
      <c r="O1865">
        <v>130091</v>
      </c>
      <c r="P1865">
        <v>-8.9856230031948303E-4</v>
      </c>
      <c r="Q1865">
        <v>-8.9896624942368002E-4</v>
      </c>
      <c r="R1865" s="8">
        <v>23.343812942504901</v>
      </c>
      <c r="S1865" s="8">
        <v>-6.3385806538354102E-3</v>
      </c>
      <c r="T1865" s="9">
        <v>-6.3587547514678804E-3</v>
      </c>
      <c r="U1865" s="12">
        <v>1.3269E-2</v>
      </c>
      <c r="V1865" s="16">
        <v>5.2701000000000002</v>
      </c>
      <c r="W1865" s="17">
        <f t="shared" si="29"/>
        <v>-2.1584777051973925E-3</v>
      </c>
    </row>
    <row r="1866" spans="1:23" x14ac:dyDescent="0.2">
      <c r="A1866" s="14">
        <v>44281</v>
      </c>
      <c r="B1866" s="3">
        <v>873699698404265</v>
      </c>
      <c r="C1866" s="3">
        <f>[1]!nefin_factors__1[[#This Row],[Rm_minus_Rf]]/B1865-1</f>
        <v>5.6189835255316485</v>
      </c>
      <c r="D1866" s="3">
        <v>-101350965199299</v>
      </c>
      <c r="E1866" s="3">
        <f>[1]!nefin_factors__1[[#This Row],[SMB]]/D1865-1</f>
        <v>-1.275294526156586</v>
      </c>
      <c r="F1866" s="3">
        <v>713210191843791</v>
      </c>
      <c r="G1866" s="3">
        <f>[1]!nefin_factors__1[[#This Row],[HML]]/F1865-1</f>
        <v>1.2863999609517913</v>
      </c>
      <c r="H1866" s="3">
        <v>104181502484257</v>
      </c>
      <c r="I1866" s="4">
        <f>[1]!nefin_factors__1[[#This Row],[Risk_Free]]/H1865-1</f>
        <v>0</v>
      </c>
      <c r="J1866">
        <v>130091</v>
      </c>
      <c r="K1866">
        <v>130283</v>
      </c>
      <c r="L1866">
        <v>128345</v>
      </c>
      <c r="M1866">
        <v>129259</v>
      </c>
      <c r="N1866">
        <v>12879400</v>
      </c>
      <c r="O1866">
        <v>129259</v>
      </c>
      <c r="P1866">
        <v>-6.39552313380631E-3</v>
      </c>
      <c r="Q1866">
        <v>-6.4160621103824698E-3</v>
      </c>
      <c r="R1866" s="8">
        <v>23.799301147460898</v>
      </c>
      <c r="S1866" s="8">
        <v>1.9512159649235802E-2</v>
      </c>
      <c r="T1866" s="9">
        <v>1.93242380325905E-2</v>
      </c>
      <c r="U1866" s="12">
        <v>1.3269E-2</v>
      </c>
      <c r="V1866" s="16">
        <v>5.2755000000000001</v>
      </c>
      <c r="W1866" s="17">
        <f t="shared" si="29"/>
        <v>1.0246484886433649E-3</v>
      </c>
    </row>
    <row r="1867" spans="1:23" x14ac:dyDescent="0.2">
      <c r="A1867" s="15">
        <v>44284</v>
      </c>
      <c r="B1867" s="5">
        <v>317144717004396</v>
      </c>
      <c r="C1867" s="5">
        <f>[1]!nefin_factors__1[[#This Row],[Rm_minus_Rf]]/B1866-1</f>
        <v>-0.63700946951952409</v>
      </c>
      <c r="D1867" s="5">
        <v>-124463529393909</v>
      </c>
      <c r="E1867" s="5">
        <f>[1]!nefin_factors__1[[#This Row],[SMB]]/D1866-1</f>
        <v>0.22804483557863398</v>
      </c>
      <c r="F1867" s="5">
        <v>496079653451155</v>
      </c>
      <c r="G1867" s="5">
        <f>[1]!nefin_factors__1[[#This Row],[HML]]/F1866-1</f>
        <v>-0.30444116037000279</v>
      </c>
      <c r="H1867" s="5">
        <v>104181502484257</v>
      </c>
      <c r="I1867" s="6">
        <f>[1]!nefin_factors__1[[#This Row],[Risk_Free]]/H1866-1</f>
        <v>0</v>
      </c>
      <c r="J1867">
        <v>129259</v>
      </c>
      <c r="K1867">
        <v>129919</v>
      </c>
      <c r="L1867">
        <v>127576</v>
      </c>
      <c r="M1867">
        <v>128057</v>
      </c>
      <c r="N1867">
        <v>9664700</v>
      </c>
      <c r="O1867">
        <v>128057</v>
      </c>
      <c r="P1867">
        <v>-9.2991590527545798E-3</v>
      </c>
      <c r="Q1867">
        <v>-9.3426661620416608E-3</v>
      </c>
      <c r="R1867" s="8">
        <v>24.2547912597656</v>
      </c>
      <c r="S1867" s="8">
        <v>1.9138801996010799E-2</v>
      </c>
      <c r="T1867" s="9">
        <v>1.8957958895628398E-2</v>
      </c>
      <c r="U1867" s="12">
        <v>1.3269E-2</v>
      </c>
      <c r="V1867" s="16">
        <v>5.2587999999999999</v>
      </c>
      <c r="W1867" s="17">
        <f t="shared" si="29"/>
        <v>-3.1655767225855502E-3</v>
      </c>
    </row>
    <row r="1868" spans="1:23" x14ac:dyDescent="0.2">
      <c r="A1868" s="14">
        <v>44285</v>
      </c>
      <c r="B1868" s="3">
        <v>126035902443244</v>
      </c>
      <c r="C1868" s="3">
        <f>[1]!nefin_factors__1[[#This Row],[Rm_minus_Rf]]/B1867-1</f>
        <v>-0.60259182737230654</v>
      </c>
      <c r="D1868" s="3">
        <v>209284874465526</v>
      </c>
      <c r="E1868" s="3">
        <f>[1]!nefin_factors__1[[#This Row],[SMB]]/D1867-1</f>
        <v>-2.681495579344932</v>
      </c>
      <c r="F1868" s="3">
        <v>203978957732838</v>
      </c>
      <c r="G1868" s="3">
        <f>[1]!nefin_factors__1[[#This Row],[HML]]/F1867-1</f>
        <v>-0.58881813371343572</v>
      </c>
      <c r="H1868" s="3">
        <v>104181502484257</v>
      </c>
      <c r="I1868" s="4">
        <f>[1]!nefin_factors__1[[#This Row],[Risk_Free]]/H1867-1</f>
        <v>0</v>
      </c>
      <c r="J1868">
        <v>128050</v>
      </c>
      <c r="K1868">
        <v>128796</v>
      </c>
      <c r="L1868">
        <v>127595</v>
      </c>
      <c r="M1868">
        <v>128405</v>
      </c>
      <c r="N1868">
        <v>12432000</v>
      </c>
      <c r="O1868">
        <v>128405</v>
      </c>
      <c r="P1868">
        <v>2.7175398455374601E-3</v>
      </c>
      <c r="Q1868">
        <v>2.7138540102242701E-3</v>
      </c>
      <c r="R1868" s="8">
        <v>23.554039001464801</v>
      </c>
      <c r="S1868" s="8">
        <v>-2.8891292066619601E-2</v>
      </c>
      <c r="T1868" s="9">
        <v>-2.9316862339981001E-2</v>
      </c>
      <c r="U1868" s="12">
        <v>1.3269E-2</v>
      </c>
      <c r="V1868" s="16">
        <v>5.2821999999999996</v>
      </c>
      <c r="W1868" s="17">
        <f t="shared" si="29"/>
        <v>4.4496843386323537E-3</v>
      </c>
    </row>
    <row r="1869" spans="1:23" x14ac:dyDescent="0.2">
      <c r="A1869" s="15">
        <v>44286</v>
      </c>
      <c r="B1869" s="5">
        <v>-275781193953894</v>
      </c>
      <c r="C1869" s="5">
        <f>[1]!nefin_factors__1[[#This Row],[Rm_minus_Rf]]/B1868-1</f>
        <v>-3.1881161526818338</v>
      </c>
      <c r="D1869" s="5">
        <v>-373145607617021</v>
      </c>
      <c r="E1869" s="5">
        <f>[1]!nefin_factors__1[[#This Row],[SMB]]/D1868-1</f>
        <v>-2.7829554504116185</v>
      </c>
      <c r="F1869" s="5">
        <v>-110874577323456</v>
      </c>
      <c r="G1869" s="5">
        <f>[1]!nefin_factors__1[[#This Row],[HML]]/F1868-1</f>
        <v>-1.543558897230342</v>
      </c>
      <c r="H1869" s="5">
        <v>104181502484257</v>
      </c>
      <c r="I1869" s="6">
        <f>[1]!nefin_factors__1[[#This Row],[Risk_Free]]/H1868-1</f>
        <v>0</v>
      </c>
      <c r="J1869">
        <v>128405</v>
      </c>
      <c r="K1869">
        <v>129412</v>
      </c>
      <c r="L1869">
        <v>128048</v>
      </c>
      <c r="M1869">
        <v>129265</v>
      </c>
      <c r="N1869">
        <v>7333600</v>
      </c>
      <c r="O1869">
        <v>129265</v>
      </c>
      <c r="P1869">
        <v>6.6975585062887298E-3</v>
      </c>
      <c r="Q1869">
        <v>6.6752295057270197E-3</v>
      </c>
      <c r="R1869" s="8">
        <v>24.710279464721701</v>
      </c>
      <c r="S1869" s="8">
        <v>4.9088840482302401E-2</v>
      </c>
      <c r="T1869" s="9">
        <v>4.7922016469008698E-2</v>
      </c>
      <c r="U1869" s="12">
        <v>1.3269E-2</v>
      </c>
      <c r="V1869" s="16">
        <v>5.2904999999999998</v>
      </c>
      <c r="W1869" s="17">
        <f t="shared" si="29"/>
        <v>1.5713149823937123E-3</v>
      </c>
    </row>
    <row r="1870" spans="1:23" x14ac:dyDescent="0.2">
      <c r="A1870" s="14">
        <v>44287</v>
      </c>
      <c r="B1870" s="3">
        <v>-10179311849425</v>
      </c>
      <c r="C1870" s="3">
        <f>[1]!nefin_factors__1[[#This Row],[Rm_minus_Rf]]/B1869-1</f>
        <v>-0.96308917332801591</v>
      </c>
      <c r="D1870" s="3">
        <v>224321217416083</v>
      </c>
      <c r="E1870" s="3">
        <f>[1]!nefin_factors__1[[#This Row],[SMB]]/D1869-1</f>
        <v>-1.601162690480644</v>
      </c>
      <c r="F1870" s="3">
        <v>-903720863247906</v>
      </c>
      <c r="G1870" s="3">
        <f>[1]!nefin_factors__1[[#This Row],[HML]]/F1869-1</f>
        <v>7.1508393092806841</v>
      </c>
      <c r="H1870" s="3">
        <v>104181502484257</v>
      </c>
      <c r="I1870" s="4">
        <f>[1]!nefin_factors__1[[#This Row],[Risk_Free]]/H1869-1</f>
        <v>0</v>
      </c>
      <c r="J1870">
        <v>129242</v>
      </c>
      <c r="K1870">
        <v>129259</v>
      </c>
      <c r="L1870">
        <v>127803</v>
      </c>
      <c r="M1870">
        <v>128767</v>
      </c>
      <c r="N1870">
        <v>9328000</v>
      </c>
      <c r="O1870">
        <v>128767</v>
      </c>
      <c r="P1870">
        <v>-3.85255096120374E-3</v>
      </c>
      <c r="Q1870">
        <v>-3.85999115094572E-3</v>
      </c>
      <c r="R1870" s="8">
        <v>25.3146781921387</v>
      </c>
      <c r="S1870" s="8">
        <v>2.44594047703863E-2</v>
      </c>
      <c r="T1870" s="9">
        <v>2.4165063480696001E-2</v>
      </c>
      <c r="U1870" s="12">
        <v>1.3269E-2</v>
      </c>
      <c r="V1870" s="16">
        <v>5.3026999999999997</v>
      </c>
      <c r="W1870" s="17">
        <f t="shared" si="29"/>
        <v>2.3060202249314266E-3</v>
      </c>
    </row>
    <row r="1871" spans="1:23" x14ac:dyDescent="0.2">
      <c r="A1871" s="15">
        <v>44291</v>
      </c>
      <c r="B1871" s="5">
        <v>167386919504361</v>
      </c>
      <c r="C1871" s="5">
        <f>[1]!nefin_factors__1[[#This Row],[Rm_minus_Rf]]/B1870-1</f>
        <v>-17.443834512626331</v>
      </c>
      <c r="D1871" s="5">
        <v>886855297778709</v>
      </c>
      <c r="E1871" s="5">
        <f>[1]!nefin_factors__1[[#This Row],[SMB]]/D1870-1</f>
        <v>2.953506083794661</v>
      </c>
      <c r="F1871" s="5">
        <v>-9982077761.8159599</v>
      </c>
      <c r="G1871" s="5">
        <f>[1]!nefin_factors__1[[#This Row],[HML]]/F1870-1</f>
        <v>-0.99998895446794722</v>
      </c>
      <c r="H1871" s="5">
        <v>10688666927483</v>
      </c>
      <c r="I1871" s="6">
        <f>[1]!nefin_factors__1[[#This Row],[Risk_Free]]/H1870-1</f>
        <v>-0.89740340969743471</v>
      </c>
      <c r="J1871">
        <v>128769</v>
      </c>
      <c r="K1871">
        <v>129901</v>
      </c>
      <c r="L1871">
        <v>128182</v>
      </c>
      <c r="M1871">
        <v>128428</v>
      </c>
      <c r="N1871">
        <v>7988900</v>
      </c>
      <c r="O1871">
        <v>128428</v>
      </c>
      <c r="P1871">
        <v>-2.63266209510205E-3</v>
      </c>
      <c r="Q1871">
        <v>-2.6361336442380198E-3</v>
      </c>
      <c r="R1871" s="8">
        <v>25.7876873016357</v>
      </c>
      <c r="S1871" s="8">
        <v>1.86851717373979E-2</v>
      </c>
      <c r="T1871" s="9">
        <v>1.8512748443741602E-2</v>
      </c>
      <c r="U1871" s="12">
        <v>1.3269E-2</v>
      </c>
      <c r="V1871" s="16">
        <v>5.3197999999999999</v>
      </c>
      <c r="W1871" s="17">
        <f t="shared" si="29"/>
        <v>3.224772285816746E-3</v>
      </c>
    </row>
    <row r="1872" spans="1:23" x14ac:dyDescent="0.2">
      <c r="A1872" s="14">
        <v>44292</v>
      </c>
      <c r="B1872" s="3">
        <v>241414844433146</v>
      </c>
      <c r="C1872" s="3">
        <f>[1]!nefin_factors__1[[#This Row],[Rm_minus_Rf]]/B1871-1</f>
        <v>0.4422563313070369</v>
      </c>
      <c r="D1872" s="3">
        <v>604716512774687</v>
      </c>
      <c r="E1872" s="3">
        <f>[1]!nefin_factors__1[[#This Row],[SMB]]/D1871-1</f>
        <v>-0.3181339568142515</v>
      </c>
      <c r="F1872" s="3">
        <v>202113619648005</v>
      </c>
      <c r="G1872" s="3">
        <f>[1]!nefin_factors__1[[#This Row],[HML]]/F1871-1</f>
        <v>-20248.650285909622</v>
      </c>
      <c r="H1872" s="3">
        <v>108045464481288</v>
      </c>
      <c r="I1872" s="4">
        <f>[1]!nefin_factors__1[[#This Row],[Risk_Free]]/H1871-1</f>
        <v>9.108413445223789</v>
      </c>
      <c r="J1872">
        <v>128433</v>
      </c>
      <c r="K1872">
        <v>129541</v>
      </c>
      <c r="L1872">
        <v>128428</v>
      </c>
      <c r="M1872">
        <v>129514</v>
      </c>
      <c r="N1872">
        <v>7237000</v>
      </c>
      <c r="O1872">
        <v>129514</v>
      </c>
      <c r="P1872">
        <v>8.4560999159062292E-3</v>
      </c>
      <c r="Q1872">
        <v>8.4205473862409199E-3</v>
      </c>
      <c r="R1872" s="8">
        <v>25.7000923156738</v>
      </c>
      <c r="S1872" s="8">
        <v>-3.3967755594879199E-3</v>
      </c>
      <c r="T1872" s="9">
        <v>-3.4025576990553701E-3</v>
      </c>
      <c r="U1872" s="12">
        <v>1.3269E-2</v>
      </c>
      <c r="V1872" s="16">
        <v>5.3143000000000002</v>
      </c>
      <c r="W1872" s="17">
        <f t="shared" si="29"/>
        <v>-1.033873453889167E-3</v>
      </c>
    </row>
    <row r="1873" spans="1:23" x14ac:dyDescent="0.2">
      <c r="A1873" s="15">
        <v>44293</v>
      </c>
      <c r="B1873" s="5">
        <v>604295181647805</v>
      </c>
      <c r="C1873" s="5">
        <f>[1]!nefin_factors__1[[#This Row],[Rm_minus_Rf]]/B1872-1</f>
        <v>1.5031401157899795</v>
      </c>
      <c r="D1873" s="5">
        <v>-114585514940958</v>
      </c>
      <c r="E1873" s="5">
        <f>[1]!nefin_factors__1[[#This Row],[SMB]]/D1872-1</f>
        <v>-1.1894863337122923</v>
      </c>
      <c r="F1873" s="5">
        <v>-34483223183283</v>
      </c>
      <c r="G1873" s="5">
        <f>[1]!nefin_factors__1[[#This Row],[HML]]/F1872-1</f>
        <v>-1.1706130603337763</v>
      </c>
      <c r="H1873" s="5">
        <v>109590000707982</v>
      </c>
      <c r="I1873" s="6">
        <f>[1]!nefin_factors__1[[#This Row],[Risk_Free]]/H1872-1</f>
        <v>1.4295243526501578E-2</v>
      </c>
      <c r="J1873">
        <v>129513</v>
      </c>
      <c r="K1873">
        <v>129748</v>
      </c>
      <c r="L1873">
        <v>126697</v>
      </c>
      <c r="M1873">
        <v>127256</v>
      </c>
      <c r="N1873">
        <v>9363800</v>
      </c>
      <c r="O1873">
        <v>127256</v>
      </c>
      <c r="P1873">
        <v>-1.7434408635359801E-2</v>
      </c>
      <c r="Q1873">
        <v>-1.75881778083808E-2</v>
      </c>
      <c r="R1873" s="8">
        <v>25.1934604644775</v>
      </c>
      <c r="S1873" s="8">
        <v>-1.97132307920663E-2</v>
      </c>
      <c r="T1873" s="9">
        <v>-1.9910128482132802E-2</v>
      </c>
      <c r="U1873" s="12">
        <v>1.3269E-2</v>
      </c>
      <c r="V1873" s="16">
        <v>5.3163999999999998</v>
      </c>
      <c r="W1873" s="17">
        <f t="shared" si="29"/>
        <v>3.9516022806385109E-4</v>
      </c>
    </row>
    <row r="1874" spans="1:23" x14ac:dyDescent="0.2">
      <c r="A1874" s="14">
        <v>44294</v>
      </c>
      <c r="B1874" s="3">
        <v>612311598691527</v>
      </c>
      <c r="C1874" s="3">
        <f>[1]!nefin_factors__1[[#This Row],[Rm_minus_Rf]]/B1873-1</f>
        <v>1.326573053563429E-2</v>
      </c>
      <c r="D1874" s="3">
        <v>-291503022057287</v>
      </c>
      <c r="E1874" s="3">
        <f>[1]!nefin_factors__1[[#This Row],[SMB]]/D1873-1</f>
        <v>1.5439779382890459</v>
      </c>
      <c r="F1874" s="3">
        <v>112154707873692</v>
      </c>
      <c r="G1874" s="3">
        <f>[1]!nefin_factors__1[[#This Row],[HML]]/F1873-1</f>
        <v>-4.252442710403681</v>
      </c>
      <c r="H1874" s="3">
        <v>110362044360102</v>
      </c>
      <c r="I1874" s="4">
        <f>[1]!nefin_factors__1[[#This Row],[Risk_Free]]/H1873-1</f>
        <v>7.0448366377624527E-3</v>
      </c>
      <c r="J1874">
        <v>127255</v>
      </c>
      <c r="K1874">
        <v>128067</v>
      </c>
      <c r="L1874">
        <v>126629</v>
      </c>
      <c r="M1874">
        <v>127429</v>
      </c>
      <c r="N1874">
        <v>8155600</v>
      </c>
      <c r="O1874">
        <v>127429</v>
      </c>
      <c r="P1874">
        <v>1.3594643867480499E-3</v>
      </c>
      <c r="Q1874">
        <v>1.3585411516807101E-3</v>
      </c>
      <c r="R1874" s="8">
        <v>26.104616165161101</v>
      </c>
      <c r="S1874" s="8">
        <v>3.6166357613647997E-2</v>
      </c>
      <c r="T1874" s="9">
        <v>3.5527707793359897E-2</v>
      </c>
      <c r="U1874" s="12">
        <v>1.3269E-2</v>
      </c>
      <c r="V1874" s="16">
        <v>5.2839999999999998</v>
      </c>
      <c r="W1874" s="17">
        <f t="shared" si="29"/>
        <v>-6.0943495598525521E-3</v>
      </c>
    </row>
    <row r="1875" spans="1:23" x14ac:dyDescent="0.2">
      <c r="A1875" s="15">
        <v>44295</v>
      </c>
      <c r="B1875" s="5">
        <v>-446006393866224</v>
      </c>
      <c r="C1875" s="5">
        <f>[1]!nefin_factors__1[[#This Row],[Rm_minus_Rf]]/B1874-1</f>
        <v>-1.7283977550307927</v>
      </c>
      <c r="D1875" s="5">
        <v>169884863877906</v>
      </c>
      <c r="E1875" s="5">
        <f>[1]!nefin_factors__1[[#This Row],[SMB]]/D1874-1</f>
        <v>-1.5827893744597947</v>
      </c>
      <c r="F1875" s="5">
        <v>62117885618685</v>
      </c>
      <c r="G1875" s="5">
        <f>[1]!nefin_factors__1[[#This Row],[HML]]/F1874-1</f>
        <v>-0.44614107783471901</v>
      </c>
      <c r="H1875" s="5">
        <v>111133938448749</v>
      </c>
      <c r="I1875" s="6">
        <f>[1]!nefin_factors__1[[#This Row],[Risk_Free]]/H1874-1</f>
        <v>6.9941988943986733E-3</v>
      </c>
      <c r="J1875">
        <v>127429</v>
      </c>
      <c r="K1875">
        <v>127507</v>
      </c>
      <c r="L1875">
        <v>126184</v>
      </c>
      <c r="M1875">
        <v>127327</v>
      </c>
      <c r="N1875">
        <v>7777900</v>
      </c>
      <c r="O1875">
        <v>127327</v>
      </c>
      <c r="P1875">
        <v>-8.0044573841120403E-4</v>
      </c>
      <c r="Q1875">
        <v>-8.0076626615606698E-4</v>
      </c>
      <c r="R1875" s="8">
        <v>25.430360794067401</v>
      </c>
      <c r="S1875" s="8">
        <v>-2.5828970892650099E-2</v>
      </c>
      <c r="T1875" s="9">
        <v>-2.6168396188455598E-2</v>
      </c>
      <c r="U1875" s="12">
        <v>1.3269E-2</v>
      </c>
      <c r="V1875" s="16">
        <v>5.2281000000000004</v>
      </c>
      <c r="W1875" s="17">
        <f t="shared" si="29"/>
        <v>-1.0579106737320099E-2</v>
      </c>
    </row>
    <row r="1876" spans="1:23" x14ac:dyDescent="0.2">
      <c r="A1876" s="14">
        <v>44298</v>
      </c>
      <c r="B1876" s="3">
        <v>969939524436295</v>
      </c>
      <c r="C1876" s="3">
        <f>[1]!nefin_factors__1[[#This Row],[Rm_minus_Rf]]/B1875-1</f>
        <v>-3.1747211200905352</v>
      </c>
      <c r="D1876" s="3">
        <v>328503608804512</v>
      </c>
      <c r="E1876" s="3">
        <f>[1]!nefin_factors__1[[#This Row],[SMB]]/D1875-1</f>
        <v>0.93368379799040357</v>
      </c>
      <c r="F1876" s="3">
        <v>-775234488835827</v>
      </c>
      <c r="G1876" s="3">
        <f>[1]!nefin_factors__1[[#This Row],[HML]]/F1875-1</f>
        <v>-13.480052743499003</v>
      </c>
      <c r="H1876" s="3">
        <v>113063019711479</v>
      </c>
      <c r="I1876" s="4">
        <f>[1]!nefin_factors__1[[#This Row],[Risk_Free]]/H1875-1</f>
        <v>1.7358165198290143E-2</v>
      </c>
      <c r="J1876">
        <v>127323</v>
      </c>
      <c r="K1876">
        <v>127323</v>
      </c>
      <c r="L1876">
        <v>126199</v>
      </c>
      <c r="M1876">
        <v>126802</v>
      </c>
      <c r="N1876">
        <v>9098600</v>
      </c>
      <c r="O1876">
        <v>126802</v>
      </c>
      <c r="P1876">
        <v>-4.1232417319185801E-3</v>
      </c>
      <c r="Q1876">
        <v>-4.1317657321863098E-3</v>
      </c>
      <c r="R1876" s="8">
        <v>25.257240295410199</v>
      </c>
      <c r="S1876" s="8">
        <v>-6.8076304563329196E-3</v>
      </c>
      <c r="T1876" s="9">
        <v>-6.8309080763215603E-3</v>
      </c>
      <c r="U1876" s="12">
        <v>1.3269E-2</v>
      </c>
      <c r="V1876" s="16">
        <v>5.2321999999999997</v>
      </c>
      <c r="W1876" s="17">
        <f t="shared" si="29"/>
        <v>7.8422371415998171E-4</v>
      </c>
    </row>
    <row r="1877" spans="1:23" x14ac:dyDescent="0.2">
      <c r="A1877" s="15">
        <v>44299</v>
      </c>
      <c r="B1877" s="5">
        <v>335775665097793</v>
      </c>
      <c r="C1877" s="5">
        <f>[1]!nefin_factors__1[[#This Row],[Rm_minus_Rf]]/B1876-1</f>
        <v>-0.65381793747095984</v>
      </c>
      <c r="D1877" s="5">
        <v>-634817063134676</v>
      </c>
      <c r="E1877" s="5">
        <f>[1]!nefin_factors__1[[#This Row],[SMB]]/D1876-1</f>
        <v>-2.9324508045585791</v>
      </c>
      <c r="F1877" s="5">
        <v>-478635097725722</v>
      </c>
      <c r="G1877" s="5">
        <f>[1]!nefin_factors__1[[#This Row],[HML]]/F1876-1</f>
        <v>-0.38259313198966372</v>
      </c>
      <c r="H1877" s="5">
        <v>114991167471601</v>
      </c>
      <c r="I1877" s="6">
        <f>[1]!nefin_factors__1[[#This Row],[Risk_Free]]/H1876-1</f>
        <v>1.7053743700127244E-2</v>
      </c>
      <c r="J1877">
        <v>126802</v>
      </c>
      <c r="K1877">
        <v>127204</v>
      </c>
      <c r="L1877">
        <v>124994</v>
      </c>
      <c r="M1877">
        <v>125666</v>
      </c>
      <c r="N1877">
        <v>9292000</v>
      </c>
      <c r="O1877">
        <v>125666</v>
      </c>
      <c r="P1877">
        <v>-8.9588492295074006E-3</v>
      </c>
      <c r="Q1877">
        <v>-8.9992210233560792E-3</v>
      </c>
      <c r="R1877" s="8">
        <v>24.555650711059599</v>
      </c>
      <c r="S1877" s="8">
        <v>-2.7777760996243201E-2</v>
      </c>
      <c r="T1877" s="9">
        <v>-2.8170859705689499E-2</v>
      </c>
      <c r="U1877" s="12">
        <v>1.3269E-2</v>
      </c>
      <c r="V1877" s="16">
        <v>5.1635999999999997</v>
      </c>
      <c r="W1877" s="17">
        <f t="shared" si="29"/>
        <v>-1.3111119605519694E-2</v>
      </c>
    </row>
    <row r="1878" spans="1:23" x14ac:dyDescent="0.2">
      <c r="A1878" s="14">
        <v>44300</v>
      </c>
      <c r="B1878" s="3">
        <v>786829609154508</v>
      </c>
      <c r="C1878" s="3">
        <f>[1]!nefin_factors__1[[#This Row],[Rm_minus_Rf]]/B1877-1</f>
        <v>1.3433193377052737</v>
      </c>
      <c r="D1878" s="3">
        <v>919365822669738</v>
      </c>
      <c r="E1878" s="3">
        <f>[1]!nefin_factors__1[[#This Row],[SMB]]/D1877-1</f>
        <v>-2.448237415248391</v>
      </c>
      <c r="F1878" s="3">
        <v>211962783345279</v>
      </c>
      <c r="G1878" s="3">
        <f>[1]!nefin_factors__1[[#This Row],[HML]]/F1877-1</f>
        <v>-1.4428483919220287</v>
      </c>
      <c r="H1878" s="3">
        <v>11576216539777</v>
      </c>
      <c r="I1878" s="4">
        <f>[1]!nefin_factors__1[[#This Row],[Risk_Free]]/H1877-1</f>
        <v>-0.89932951552443419</v>
      </c>
      <c r="J1878">
        <v>125667</v>
      </c>
      <c r="K1878">
        <v>127672</v>
      </c>
      <c r="L1878">
        <v>125667</v>
      </c>
      <c r="M1878">
        <v>127622</v>
      </c>
      <c r="N1878">
        <v>7434800</v>
      </c>
      <c r="O1878">
        <v>127622</v>
      </c>
      <c r="P1878">
        <v>1.5565069310712601E-2</v>
      </c>
      <c r="Q1878">
        <v>1.5445176116201701E-2</v>
      </c>
      <c r="R1878" s="8">
        <v>24.655878067016602</v>
      </c>
      <c r="S1878" s="8">
        <v>4.0816412131115002E-3</v>
      </c>
      <c r="T1878" s="9">
        <v>4.0733339128891004E-3</v>
      </c>
      <c r="U1878" s="12">
        <v>1.3269E-2</v>
      </c>
      <c r="V1878" s="16">
        <v>5.1147</v>
      </c>
      <c r="W1878" s="17">
        <f t="shared" si="29"/>
        <v>-9.4701371136416412E-3</v>
      </c>
    </row>
    <row r="1879" spans="1:23" x14ac:dyDescent="0.2">
      <c r="A1879" s="15">
        <v>44301</v>
      </c>
      <c r="B1879" s="5">
        <v>407051913143692</v>
      </c>
      <c r="C1879" s="5">
        <f>[1]!nefin_factors__1[[#This Row],[Rm_minus_Rf]]/B1878-1</f>
        <v>-0.48266828242382509</v>
      </c>
      <c r="D1879" s="5">
        <v>307783056618939</v>
      </c>
      <c r="E1879" s="5">
        <f>[1]!nefin_factors__1[[#This Row],[SMB]]/D1878-1</f>
        <v>-0.66522242938597542</v>
      </c>
      <c r="F1879" s="5">
        <v>-189491461121478</v>
      </c>
      <c r="G1879" s="5">
        <f>[1]!nefin_factors__1[[#This Row],[HML]]/F1878-1</f>
        <v>-1.8939845860242546</v>
      </c>
      <c r="H1879" s="5">
        <v>116918382634168</v>
      </c>
      <c r="I1879" s="6">
        <f>[1]!nefin_factors__1[[#This Row],[Risk_Free]]/H1878-1</f>
        <v>9.0998786807783976</v>
      </c>
      <c r="J1879">
        <v>127622</v>
      </c>
      <c r="K1879">
        <v>127633</v>
      </c>
      <c r="L1879">
        <v>126531</v>
      </c>
      <c r="M1879">
        <v>126920</v>
      </c>
      <c r="N1879">
        <v>5255600</v>
      </c>
      <c r="O1879">
        <v>126920</v>
      </c>
      <c r="P1879">
        <v>-5.5006190155302299E-3</v>
      </c>
      <c r="Q1879">
        <v>-5.5158031272483001E-3</v>
      </c>
      <c r="R1879" s="8">
        <v>24.8563327789307</v>
      </c>
      <c r="S1879" s="8">
        <v>8.1300982820085004E-3</v>
      </c>
      <c r="T1879" s="9">
        <v>8.0972270768695995E-3</v>
      </c>
      <c r="U1879" s="12">
        <v>1.3269E-2</v>
      </c>
      <c r="V1879" s="16">
        <v>5.0666000000000002</v>
      </c>
      <c r="W1879" s="17">
        <f t="shared" si="29"/>
        <v>-9.4042661348661127E-3</v>
      </c>
    </row>
    <row r="1880" spans="1:23" x14ac:dyDescent="0.2">
      <c r="A1880" s="14">
        <v>44302</v>
      </c>
      <c r="B1880" s="3">
        <v>404283581748212</v>
      </c>
      <c r="C1880" s="3">
        <f>[1]!nefin_factors__1[[#This Row],[Rm_minus_Rf]]/B1879-1</f>
        <v>-6.8009295770162792E-3</v>
      </c>
      <c r="D1880" s="3">
        <v>394981039090913</v>
      </c>
      <c r="E1880" s="3">
        <f>[1]!nefin_factors__1[[#This Row],[SMB]]/D1879-1</f>
        <v>0.28330988531292789</v>
      </c>
      <c r="F1880" s="3">
        <v>318235886530588</v>
      </c>
      <c r="G1880" s="3">
        <f>[1]!nefin_factors__1[[#This Row],[HML]]/F1879-1</f>
        <v>-2.6794207224280955</v>
      </c>
      <c r="H1880" s="3">
        <v>117303713834449</v>
      </c>
      <c r="I1880" s="4">
        <f>[1]!nefin_factors__1[[#This Row],[Risk_Free]]/H1879-1</f>
        <v>3.2957281104946112E-3</v>
      </c>
      <c r="J1880">
        <v>126919</v>
      </c>
      <c r="K1880">
        <v>126919</v>
      </c>
      <c r="L1880">
        <v>124866</v>
      </c>
      <c r="M1880">
        <v>125095</v>
      </c>
      <c r="N1880">
        <v>7651300</v>
      </c>
      <c r="O1880">
        <v>125095</v>
      </c>
      <c r="P1880">
        <v>-1.43791364639143E-2</v>
      </c>
      <c r="Q1880">
        <v>-1.4483518066451701E-2</v>
      </c>
      <c r="R1880" s="8">
        <v>23.954288482666001</v>
      </c>
      <c r="S1880" s="8">
        <v>-3.6290321033570203E-2</v>
      </c>
      <c r="T1880" s="9">
        <v>-3.69651926281385E-2</v>
      </c>
      <c r="U1880" s="12">
        <v>1.3269E-2</v>
      </c>
      <c r="V1880" s="16">
        <v>5.0498000000000003</v>
      </c>
      <c r="W1880" s="17">
        <f t="shared" si="29"/>
        <v>-3.3158331030671562E-3</v>
      </c>
    </row>
    <row r="1881" spans="1:23" x14ac:dyDescent="0.2">
      <c r="A1881" s="15">
        <v>44305</v>
      </c>
      <c r="B1881" s="5">
        <v>-134909265310241</v>
      </c>
      <c r="C1881" s="5">
        <f>[1]!nefin_factors__1[[#This Row],[Rm_minus_Rf]]/B1880-1</f>
        <v>-1.3336995895971422</v>
      </c>
      <c r="D1881" s="5">
        <v>146258670535196</v>
      </c>
      <c r="E1881" s="5">
        <f>[1]!nefin_factors__1[[#This Row],[SMB]]/D1880-1</f>
        <v>-0.62970710981006972</v>
      </c>
      <c r="F1881" s="5">
        <v>624131542729247</v>
      </c>
      <c r="G1881" s="5">
        <f>[1]!nefin_factors__1[[#This Row],[HML]]/F1880-1</f>
        <v>0.96122300829594565</v>
      </c>
      <c r="H1881" s="5">
        <v>11884466610268</v>
      </c>
      <c r="I1881" s="6">
        <f>[1]!nefin_factors__1[[#This Row],[Risk_Free]]/H1880-1</f>
        <v>-0.89868635679309716</v>
      </c>
      <c r="J1881">
        <v>125096</v>
      </c>
      <c r="K1881">
        <v>127249</v>
      </c>
      <c r="L1881">
        <v>125094</v>
      </c>
      <c r="M1881">
        <v>127019</v>
      </c>
      <c r="N1881">
        <v>8151400</v>
      </c>
      <c r="O1881">
        <v>127019</v>
      </c>
      <c r="P1881">
        <v>1.5380310963667701E-2</v>
      </c>
      <c r="Q1881">
        <v>1.52632329193545E-2</v>
      </c>
      <c r="R1881" s="8">
        <v>23.726499557495099</v>
      </c>
      <c r="S1881" s="8">
        <v>-9.5093171035213198E-3</v>
      </c>
      <c r="T1881" s="9">
        <v>-9.5548193527107295E-3</v>
      </c>
      <c r="U1881" s="12">
        <v>1.3269E-2</v>
      </c>
      <c r="V1881" s="16">
        <v>5.0488999999999997</v>
      </c>
      <c r="W1881" s="17">
        <f t="shared" si="29"/>
        <v>-1.7822488019336724E-4</v>
      </c>
    </row>
    <row r="1882" spans="1:23" x14ac:dyDescent="0.2">
      <c r="A1882" s="14">
        <v>44306</v>
      </c>
      <c r="B1882" s="3">
        <v>-578905193065078</v>
      </c>
      <c r="C1882" s="3">
        <f>[1]!nefin_factors__1[[#This Row],[Rm_minus_Rf]]/B1881-1</f>
        <v>3.2910706817193907</v>
      </c>
      <c r="D1882" s="3">
        <v>-606395175342196</v>
      </c>
      <c r="E1882" s="3">
        <f>[1]!nefin_factors__1[[#This Row],[SMB]]/D1881-1</f>
        <v>-5.1460459959279596</v>
      </c>
      <c r="F1882" s="3">
        <v>314706413772352</v>
      </c>
      <c r="G1882" s="3">
        <f>[1]!nefin_factors__1[[#This Row],[HML]]/F1881-1</f>
        <v>-0.49576909316875528</v>
      </c>
      <c r="H1882" s="3">
        <v>119999989345754</v>
      </c>
      <c r="I1882" s="4">
        <f>[1]!nefin_factors__1[[#This Row],[Risk_Free]]/H1881-1</f>
        <v>9.0972128813989706</v>
      </c>
      <c r="J1882">
        <v>127013</v>
      </c>
      <c r="K1882">
        <v>127013</v>
      </c>
      <c r="L1882">
        <v>124310</v>
      </c>
      <c r="M1882">
        <v>125428</v>
      </c>
      <c r="N1882">
        <v>8881400</v>
      </c>
      <c r="O1882">
        <v>125428</v>
      </c>
      <c r="P1882">
        <v>-1.2525685133720099E-2</v>
      </c>
      <c r="Q1882">
        <v>-1.2604792807127899E-2</v>
      </c>
      <c r="R1882" s="8">
        <v>23.234474182128899</v>
      </c>
      <c r="S1882" s="8">
        <v>-2.0737377385733301E-2</v>
      </c>
      <c r="T1882" s="9">
        <v>-2.0955416435773502E-2</v>
      </c>
      <c r="U1882" s="12">
        <v>1.3269E-2</v>
      </c>
      <c r="V1882" s="16">
        <v>5.0533000000000001</v>
      </c>
      <c r="W1882" s="17">
        <f t="shared" si="29"/>
        <v>8.7147695537659331E-4</v>
      </c>
    </row>
    <row r="1883" spans="1:23" x14ac:dyDescent="0.2">
      <c r="A1883" s="15">
        <v>44308</v>
      </c>
      <c r="B1883" s="5">
        <v>-528509990517788</v>
      </c>
      <c r="C1883" s="5">
        <f>[1]!nefin_factors__1[[#This Row],[Rm_minus_Rf]]/B1882-1</f>
        <v>-8.705260058295039E-2</v>
      </c>
      <c r="D1883" s="5">
        <v>54257403941753</v>
      </c>
      <c r="E1883" s="5">
        <f>[1]!nefin_factors__1[[#This Row],[SMB]]/D1882-1</f>
        <v>-1.0894753226081242</v>
      </c>
      <c r="F1883" s="5">
        <v>233962118736315</v>
      </c>
      <c r="G1883" s="5">
        <f>[1]!nefin_factors__1[[#This Row],[HML]]/F1882-1</f>
        <v>-0.25657022387362183</v>
      </c>
      <c r="H1883" s="5">
        <v>121154977698712</v>
      </c>
      <c r="I1883" s="6">
        <f>[1]!nefin_factors__1[[#This Row],[Risk_Free]]/H1882-1</f>
        <v>9.6249037958673345E-3</v>
      </c>
      <c r="J1883">
        <v>125428</v>
      </c>
      <c r="K1883">
        <v>127782</v>
      </c>
      <c r="L1883">
        <v>125428</v>
      </c>
      <c r="M1883">
        <v>127594</v>
      </c>
      <c r="N1883">
        <v>7421600</v>
      </c>
      <c r="O1883">
        <v>127594</v>
      </c>
      <c r="P1883">
        <v>1.72688713843798E-2</v>
      </c>
      <c r="Q1883">
        <v>1.71214591007799E-2</v>
      </c>
      <c r="R1883" s="8">
        <v>24.929225921630898</v>
      </c>
      <c r="S1883" s="8">
        <v>7.2941256437190696E-2</v>
      </c>
      <c r="T1883" s="9">
        <v>7.0403715120242905E-2</v>
      </c>
      <c r="U1883" s="12">
        <v>1.3269E-2</v>
      </c>
      <c r="V1883" s="16">
        <v>5.0635000000000003</v>
      </c>
      <c r="W1883" s="17">
        <f t="shared" si="29"/>
        <v>2.0184829715235164E-3</v>
      </c>
    </row>
    <row r="1884" spans="1:23" x14ac:dyDescent="0.2">
      <c r="A1884" s="14">
        <v>44309</v>
      </c>
      <c r="B1884" s="3">
        <v>108691564269355</v>
      </c>
      <c r="C1884" s="3">
        <f>[1]!nefin_factors__1[[#This Row],[Rm_minus_Rf]]/B1883-1</f>
        <v>-1.2056565934787127</v>
      </c>
      <c r="D1884" s="3">
        <v>-301934676198028</v>
      </c>
      <c r="E1884" s="3">
        <f>[1]!nefin_factors__1[[#This Row],[SMB]]/D1883-1</f>
        <v>-6.5648566695554438</v>
      </c>
      <c r="F1884" s="3">
        <v>-701979269200916</v>
      </c>
      <c r="G1884" s="3">
        <f>[1]!nefin_factors__1[[#This Row],[HML]]/F1883-1</f>
        <v>-4.0003971283576707</v>
      </c>
      <c r="H1884" s="3">
        <v>122309631355622</v>
      </c>
      <c r="I1884" s="4">
        <f>[1]!nefin_factors__1[[#This Row],[Risk_Free]]/H1883-1</f>
        <v>9.5303856171835566E-3</v>
      </c>
      <c r="J1884">
        <v>127594</v>
      </c>
      <c r="K1884">
        <v>128420</v>
      </c>
      <c r="L1884">
        <v>126441</v>
      </c>
      <c r="M1884">
        <v>128168</v>
      </c>
      <c r="N1884">
        <v>7152000</v>
      </c>
      <c r="O1884">
        <v>128168</v>
      </c>
      <c r="P1884">
        <v>4.4986441368717297E-3</v>
      </c>
      <c r="Q1884">
        <v>4.48855548286367E-3</v>
      </c>
      <c r="R1884" s="8">
        <v>24.9110012054443</v>
      </c>
      <c r="S1884" s="8">
        <v>-7.3105824640584704E-4</v>
      </c>
      <c r="T1884" s="9">
        <v>-7.3132559979420596E-4</v>
      </c>
      <c r="U1884" s="12">
        <v>1.3269E-2</v>
      </c>
      <c r="V1884" s="16">
        <v>5.1189999999999998</v>
      </c>
      <c r="W1884" s="17">
        <f t="shared" si="29"/>
        <v>1.0960797867087813E-2</v>
      </c>
    </row>
    <row r="1885" spans="1:23" x14ac:dyDescent="0.2">
      <c r="A1885" s="15">
        <v>44312</v>
      </c>
      <c r="B1885" s="5">
        <v>-650053163428474</v>
      </c>
      <c r="C1885" s="5">
        <f>[1]!nefin_factors__1[[#This Row],[Rm_minus_Rf]]/B1884-1</f>
        <v>-6.9807140305529023</v>
      </c>
      <c r="D1885" s="5">
        <v>254609559929446</v>
      </c>
      <c r="E1885" s="5">
        <f>[1]!nefin_factors__1[[#This Row],[SMB]]/D1884-1</f>
        <v>-1.8432604135950812</v>
      </c>
      <c r="F1885" s="5">
        <v>213595555034594</v>
      </c>
      <c r="G1885" s="5">
        <f>[1]!nefin_factors__1[[#This Row],[HML]]/F1884-1</f>
        <v>-1.3042761580092475</v>
      </c>
      <c r="H1885" s="5">
        <v>123848649262293</v>
      </c>
      <c r="I1885" s="6">
        <f>[1]!nefin_factors__1[[#This Row],[Risk_Free]]/H1884-1</f>
        <v>1.258296578620377E-2</v>
      </c>
      <c r="J1885">
        <v>128169</v>
      </c>
      <c r="K1885">
        <v>129620</v>
      </c>
      <c r="L1885">
        <v>128085</v>
      </c>
      <c r="M1885">
        <v>128407</v>
      </c>
      <c r="N1885">
        <v>0</v>
      </c>
      <c r="O1885">
        <v>128407</v>
      </c>
      <c r="P1885">
        <v>1.8647400287124E-3</v>
      </c>
      <c r="Q1885">
        <v>1.86300355939916E-3</v>
      </c>
      <c r="R1885" s="8">
        <v>24.7378826141357</v>
      </c>
      <c r="S1885" s="8">
        <v>-6.9494834784383803E-3</v>
      </c>
      <c r="T1885" s="9">
        <v>-6.9737436009613902E-3</v>
      </c>
      <c r="U1885" s="12">
        <v>1.3269E-2</v>
      </c>
      <c r="V1885" s="16">
        <v>5.0707000000000004</v>
      </c>
      <c r="W1885" s="17">
        <f t="shared" si="29"/>
        <v>-9.4354366087124886E-3</v>
      </c>
    </row>
    <row r="1886" spans="1:23" x14ac:dyDescent="0.2">
      <c r="A1886" s="14">
        <v>44313</v>
      </c>
      <c r="B1886" s="3">
        <v>-894720253223371</v>
      </c>
      <c r="C1886" s="3">
        <f>[1]!nefin_factors__1[[#This Row],[Rm_minus_Rf]]/B1885-1</f>
        <v>0.37638012328789783</v>
      </c>
      <c r="D1886" s="3">
        <v>-917065183862871</v>
      </c>
      <c r="E1886" s="3">
        <f>[1]!nefin_factors__1[[#This Row],[SMB]]/D1885-1</f>
        <v>-4.6018489805213747</v>
      </c>
      <c r="F1886" s="3">
        <v>3416489536.70892</v>
      </c>
      <c r="G1886" s="3">
        <f>[1]!nefin_factors__1[[#This Row],[HML]]/F1885-1</f>
        <v>-0.99998400486594319</v>
      </c>
      <c r="H1886" s="3">
        <v>124617935358451</v>
      </c>
      <c r="I1886" s="4">
        <f>[1]!nefin_factors__1[[#This Row],[Risk_Free]]/H1885-1</f>
        <v>6.211501705834177E-3</v>
      </c>
      <c r="J1886">
        <v>128407</v>
      </c>
      <c r="K1886">
        <v>128976</v>
      </c>
      <c r="L1886">
        <v>126922</v>
      </c>
      <c r="M1886">
        <v>127468</v>
      </c>
      <c r="N1886">
        <v>7418600</v>
      </c>
      <c r="O1886">
        <v>127468</v>
      </c>
      <c r="P1886">
        <v>-7.3126854454975696E-3</v>
      </c>
      <c r="Q1886">
        <v>-7.3395541983377896E-3</v>
      </c>
      <c r="R1886" s="8">
        <v>23.863172531127901</v>
      </c>
      <c r="S1886" s="8">
        <v>-3.5359133061290599E-2</v>
      </c>
      <c r="T1886" s="9">
        <v>-3.5999405524090401E-2</v>
      </c>
      <c r="U1886" s="12">
        <v>1.3269E-2</v>
      </c>
      <c r="V1886" s="16">
        <v>5.0873999999999997</v>
      </c>
      <c r="W1886" s="17">
        <f t="shared" si="29"/>
        <v>3.2934308872540896E-3</v>
      </c>
    </row>
    <row r="1887" spans="1:23" x14ac:dyDescent="0.2">
      <c r="A1887" s="15">
        <v>44314</v>
      </c>
      <c r="B1887" s="5">
        <v>122169820851376</v>
      </c>
      <c r="C1887" s="5">
        <f>[1]!nefin_factors__1[[#This Row],[Rm_minus_Rf]]/B1886-1</f>
        <v>-1.1365452725712197</v>
      </c>
      <c r="D1887" s="5">
        <v>-109125847904239</v>
      </c>
      <c r="E1887" s="5">
        <f>[1]!nefin_factors__1[[#This Row],[SMB]]/D1886-1</f>
        <v>-0.88100535291877724</v>
      </c>
      <c r="F1887" s="5">
        <v>-834313216862234</v>
      </c>
      <c r="G1887" s="5">
        <f>[1]!nefin_factors__1[[#This Row],[HML]]/F1886-1</f>
        <v>-244202.89434150059</v>
      </c>
      <c r="H1887" s="5">
        <v>125771586092727</v>
      </c>
      <c r="I1887" s="6">
        <f>[1]!nefin_factors__1[[#This Row],[Risk_Free]]/H1886-1</f>
        <v>9.257501586410033E-3</v>
      </c>
      <c r="J1887">
        <v>127468</v>
      </c>
      <c r="K1887">
        <v>128010</v>
      </c>
      <c r="L1887">
        <v>125808</v>
      </c>
      <c r="M1887">
        <v>125960</v>
      </c>
      <c r="N1887">
        <v>7355800</v>
      </c>
      <c r="O1887">
        <v>125960</v>
      </c>
      <c r="P1887">
        <v>-1.18304201838892E-2</v>
      </c>
      <c r="Q1887">
        <v>-1.19009564726506E-2</v>
      </c>
      <c r="R1887" s="8">
        <v>23.3893718719482</v>
      </c>
      <c r="S1887" s="8">
        <v>-1.9854889728582601E-2</v>
      </c>
      <c r="T1887" s="9">
        <v>-2.0054646573524501E-2</v>
      </c>
      <c r="U1887" s="12">
        <v>1.3269E-2</v>
      </c>
      <c r="V1887" s="16">
        <v>5.0206999999999997</v>
      </c>
      <c r="W1887" s="17">
        <f t="shared" si="29"/>
        <v>-1.3110822817156143E-2</v>
      </c>
    </row>
    <row r="1888" spans="1:23" x14ac:dyDescent="0.2">
      <c r="A1888" s="14">
        <v>44315</v>
      </c>
      <c r="B1888" s="3">
        <v>-565238690044844</v>
      </c>
      <c r="C1888" s="3">
        <f>[1]!nefin_factors__1[[#This Row],[Rm_minus_Rf]]/B1887-1</f>
        <v>-5.6266638201301555</v>
      </c>
      <c r="D1888" s="3">
        <v>181749743712075</v>
      </c>
      <c r="E1888" s="3">
        <f>[1]!nefin_factors__1[[#This Row],[SMB]]/D1887-1</f>
        <v>-2.6655059016958615</v>
      </c>
      <c r="F1888" s="3">
        <v>-165216480385036</v>
      </c>
      <c r="G1888" s="3">
        <f>[1]!nefin_factors__1[[#This Row],[HML]]/F1887-1</f>
        <v>-0.80197307552384445</v>
      </c>
      <c r="H1888" s="3">
        <v>126540501059313</v>
      </c>
      <c r="I1888" s="4">
        <f>[1]!nefin_factors__1[[#This Row],[Risk_Free]]/H1887-1</f>
        <v>6.1135824908744585E-3</v>
      </c>
      <c r="J1888">
        <v>125958</v>
      </c>
      <c r="K1888">
        <v>125958</v>
      </c>
      <c r="L1888">
        <v>123317</v>
      </c>
      <c r="M1888">
        <v>124395</v>
      </c>
      <c r="N1888">
        <v>9210200</v>
      </c>
      <c r="O1888">
        <v>124395</v>
      </c>
      <c r="P1888">
        <v>-1.24245792315021E-2</v>
      </c>
      <c r="Q1888">
        <v>-1.25024096615472E-2</v>
      </c>
      <c r="R1888" s="8">
        <v>22.5875549316406</v>
      </c>
      <c r="S1888" s="8">
        <v>-3.4281251531566997E-2</v>
      </c>
      <c r="T1888" s="9">
        <v>-3.4882637815995397E-2</v>
      </c>
      <c r="U1888" s="12">
        <v>1.6136999999999999E-2</v>
      </c>
      <c r="V1888" s="16">
        <v>5.0358999999999998</v>
      </c>
      <c r="W1888" s="17">
        <f t="shared" si="29"/>
        <v>3.027466289561298E-3</v>
      </c>
    </row>
    <row r="1889" spans="1:23" x14ac:dyDescent="0.2">
      <c r="A1889" s="15">
        <v>44316</v>
      </c>
      <c r="B1889" s="5">
        <v>-964142637386958</v>
      </c>
      <c r="C1889" s="5">
        <f>[1]!nefin_factors__1[[#This Row],[Rm_minus_Rf]]/B1888-1</f>
        <v>0.70572654414450353</v>
      </c>
      <c r="D1889" s="5">
        <v>-424746471748661</v>
      </c>
      <c r="E1889" s="5">
        <f>[1]!nefin_factors__1[[#This Row],[SMB]]/D1888-1</f>
        <v>-3.3369852582655493</v>
      </c>
      <c r="F1889" s="5">
        <v>-322732999535426</v>
      </c>
      <c r="G1889" s="5">
        <f>[1]!nefin_factors__1[[#This Row],[HML]]/F1888-1</f>
        <v>0.9533947145181807</v>
      </c>
      <c r="H1889" s="5">
        <v>127693595368239</v>
      </c>
      <c r="I1889" s="6">
        <f>[1]!nefin_factors__1[[#This Row],[Risk_Free]]/H1888-1</f>
        <v>9.1124525292145542E-3</v>
      </c>
      <c r="J1889">
        <v>124395</v>
      </c>
      <c r="K1889">
        <v>125631</v>
      </c>
      <c r="L1889">
        <v>123631</v>
      </c>
      <c r="M1889">
        <v>125401</v>
      </c>
      <c r="N1889">
        <v>7627500</v>
      </c>
      <c r="O1889">
        <v>125401</v>
      </c>
      <c r="P1889">
        <v>8.0871417661481093E-3</v>
      </c>
      <c r="Q1889">
        <v>8.0546160774062001E-3</v>
      </c>
      <c r="R1889" s="8">
        <v>22.605777740478501</v>
      </c>
      <c r="S1889" s="8">
        <v>8.0676323280859396E-4</v>
      </c>
      <c r="T1889" s="9">
        <v>8.0643797427768101E-4</v>
      </c>
      <c r="U1889" s="12">
        <v>1.6136999999999999E-2</v>
      </c>
      <c r="V1889" s="16">
        <v>5.0313999999999997</v>
      </c>
      <c r="W1889" s="17">
        <f t="shared" si="29"/>
        <v>-8.9358406640327459E-4</v>
      </c>
    </row>
    <row r="1890" spans="1:23" x14ac:dyDescent="0.2">
      <c r="A1890" s="14">
        <v>44319</v>
      </c>
      <c r="B1890" s="3">
        <v>915177943546944</v>
      </c>
      <c r="C1890" s="3">
        <f>[1]!nefin_factors__1[[#This Row],[Rm_minus_Rf]]/B1889-1</f>
        <v>-1.9492142635941097</v>
      </c>
      <c r="D1890" s="3">
        <v>235098484035266</v>
      </c>
      <c r="E1890" s="3">
        <f>[1]!nefin_factors__1[[#This Row],[SMB]]/D1889-1</f>
        <v>-1.5535030887187284</v>
      </c>
      <c r="F1890" s="3">
        <v>-152609728399413</v>
      </c>
      <c r="G1890" s="3">
        <f>[1]!nefin_factors__1[[#This Row],[HML]]/F1889-1</f>
        <v>-0.5271331762816488</v>
      </c>
      <c r="H1890" s="3">
        <v>131150877485497</v>
      </c>
      <c r="I1890" s="4">
        <f>[1]!nefin_factors__1[[#This Row],[Risk_Free]]/H1889-1</f>
        <v>2.7074827890059661E-2</v>
      </c>
      <c r="J1890">
        <v>125404</v>
      </c>
      <c r="K1890">
        <v>126112</v>
      </c>
      <c r="L1890">
        <v>125247</v>
      </c>
      <c r="M1890">
        <v>125929</v>
      </c>
      <c r="N1890">
        <v>7148900</v>
      </c>
      <c r="O1890">
        <v>125929</v>
      </c>
      <c r="P1890">
        <v>4.2104927392922998E-3</v>
      </c>
      <c r="Q1890">
        <v>4.2016534179842397E-3</v>
      </c>
      <c r="R1890" s="8">
        <v>22.6786708831787</v>
      </c>
      <c r="S1890" s="8">
        <v>3.2245359366545002E-3</v>
      </c>
      <c r="T1890" s="9">
        <v>3.21934826953898E-3</v>
      </c>
      <c r="U1890" s="12">
        <v>1.6136999999999999E-2</v>
      </c>
      <c r="V1890" s="16">
        <v>5.0373000000000001</v>
      </c>
      <c r="W1890" s="17">
        <f t="shared" si="29"/>
        <v>1.1726358468817644E-3</v>
      </c>
    </row>
    <row r="1891" spans="1:23" x14ac:dyDescent="0.2">
      <c r="A1891" s="15">
        <v>44320</v>
      </c>
      <c r="B1891" s="5">
        <v>-11552702545449</v>
      </c>
      <c r="C1891" s="5">
        <f>[1]!nefin_factors__1[[#This Row],[Rm_minus_Rf]]/B1890-1</f>
        <v>-1.0126234494907891</v>
      </c>
      <c r="D1891" s="5">
        <v>686083219376362</v>
      </c>
      <c r="E1891" s="5">
        <f>[1]!nefin_factors__1[[#This Row],[SMB]]/D1890-1</f>
        <v>1.9182800654445988</v>
      </c>
      <c r="F1891" s="5">
        <v>-109386451546486</v>
      </c>
      <c r="G1891" s="5">
        <f>[1]!nefin_factors__1[[#This Row],[HML]]/F1890-1</f>
        <v>-0.28322753278088697</v>
      </c>
      <c r="H1891" s="5">
        <v>131150877485497</v>
      </c>
      <c r="I1891" s="6">
        <f>[1]!nefin_factors__1[[#This Row],[Risk_Free]]/H1890-1</f>
        <v>0</v>
      </c>
      <c r="J1891">
        <v>125930</v>
      </c>
      <c r="K1891">
        <v>126428</v>
      </c>
      <c r="L1891">
        <v>125416</v>
      </c>
      <c r="M1891">
        <v>126147</v>
      </c>
      <c r="N1891">
        <v>6480400</v>
      </c>
      <c r="O1891">
        <v>126147</v>
      </c>
      <c r="P1891">
        <v>1.73113421054727E-3</v>
      </c>
      <c r="Q1891">
        <v>1.7296375247801399E-3</v>
      </c>
      <c r="R1891" s="8">
        <v>22.6786708831787</v>
      </c>
      <c r="S1891" s="8">
        <v>0</v>
      </c>
      <c r="T1891" s="9">
        <v>0</v>
      </c>
      <c r="U1891" s="12">
        <v>1.6136999999999999E-2</v>
      </c>
      <c r="V1891" s="16">
        <v>5.0178000000000003</v>
      </c>
      <c r="W1891" s="17">
        <f t="shared" si="29"/>
        <v>-3.8711214341016209E-3</v>
      </c>
    </row>
    <row r="1892" spans="1:23" x14ac:dyDescent="0.2">
      <c r="A1892" s="14">
        <v>44321</v>
      </c>
      <c r="B1892" s="3">
        <v>150092154821081</v>
      </c>
      <c r="C1892" s="3">
        <f>[1]!nefin_factors__1[[#This Row],[Rm_minus_Rf]]/B1891-1</f>
        <v>-13.9919518165217</v>
      </c>
      <c r="D1892" s="3">
        <v>-847454385423682</v>
      </c>
      <c r="E1892" s="3">
        <f>[1]!nefin_factors__1[[#This Row],[SMB]]/D1891-1</f>
        <v>-2.2352064027946983</v>
      </c>
      <c r="F1892" s="3">
        <v>-379004799743417</v>
      </c>
      <c r="G1892" s="3">
        <f>[1]!nefin_factors__1[[#This Row],[HML]]/F1891-1</f>
        <v>2.4648239739484663</v>
      </c>
      <c r="H1892" s="3">
        <v>133070294370929</v>
      </c>
      <c r="I1892" s="4">
        <f>[1]!nefin_factors__1[[#This Row],[Risk_Free]]/H1891-1</f>
        <v>1.4635181420301624E-2</v>
      </c>
      <c r="J1892">
        <v>126140</v>
      </c>
      <c r="K1892">
        <v>126204</v>
      </c>
      <c r="L1892">
        <v>124422</v>
      </c>
      <c r="M1892">
        <v>125053</v>
      </c>
      <c r="N1892">
        <v>6051800</v>
      </c>
      <c r="O1892">
        <v>125053</v>
      </c>
      <c r="P1892">
        <v>-8.6724218570397599E-3</v>
      </c>
      <c r="Q1892">
        <v>-8.7102461517459401E-3</v>
      </c>
      <c r="R1892" s="8">
        <v>22.086418151855501</v>
      </c>
      <c r="S1892" s="8">
        <v>-2.6114966541647199E-2</v>
      </c>
      <c r="T1892" s="9">
        <v>-2.6462017770039099E-2</v>
      </c>
      <c r="U1892" s="12">
        <v>1.6136999999999999E-2</v>
      </c>
      <c r="V1892" s="16">
        <v>4.9519000000000002</v>
      </c>
      <c r="W1892" s="17">
        <f t="shared" si="29"/>
        <v>-1.3133245645502001E-2</v>
      </c>
    </row>
    <row r="1893" spans="1:23" x14ac:dyDescent="0.2">
      <c r="A1893" s="15">
        <v>44322</v>
      </c>
      <c r="B1893" s="5">
        <v>458508021704212</v>
      </c>
      <c r="C1893" s="5">
        <f>[1]!nefin_factors__1[[#This Row],[Rm_minus_Rf]]/B1892-1</f>
        <v>2.054843354409706</v>
      </c>
      <c r="D1893" s="5">
        <v>-507081812096806</v>
      </c>
      <c r="E1893" s="5">
        <f>[1]!nefin_factors__1[[#This Row],[SMB]]/D1892-1</f>
        <v>-0.40164117288355039</v>
      </c>
      <c r="F1893" s="5">
        <v>839053387369324</v>
      </c>
      <c r="G1893" s="5">
        <f>[1]!nefin_factors__1[[#This Row],[HML]]/F1892-1</f>
        <v>-3.2138331439004362</v>
      </c>
      <c r="H1893" s="5">
        <v>134988787100054</v>
      </c>
      <c r="I1893" s="6">
        <f>[1]!nefin_factors__1[[#This Row],[Risk_Free]]/H1892-1</f>
        <v>1.4417137485074338E-2</v>
      </c>
      <c r="J1893">
        <v>125058</v>
      </c>
      <c r="K1893">
        <v>126214</v>
      </c>
      <c r="L1893">
        <v>125006</v>
      </c>
      <c r="M1893">
        <v>126004</v>
      </c>
      <c r="N1893">
        <v>6325500</v>
      </c>
      <c r="O1893">
        <v>126004</v>
      </c>
      <c r="P1893">
        <v>7.6047755751560402E-3</v>
      </c>
      <c r="Q1893">
        <v>7.5760050396279496E-3</v>
      </c>
      <c r="R1893" s="8">
        <v>22.0317497253418</v>
      </c>
      <c r="S1893" s="8">
        <v>-2.4752056280832298E-3</v>
      </c>
      <c r="T1893" s="9">
        <v>-2.4782740138367702E-3</v>
      </c>
      <c r="U1893" s="12">
        <v>1.6136999999999999E-2</v>
      </c>
      <c r="V1893" s="16">
        <v>4.9276999999999997</v>
      </c>
      <c r="W1893" s="17">
        <f t="shared" si="29"/>
        <v>-4.8870130656920585E-3</v>
      </c>
    </row>
    <row r="1894" spans="1:23" x14ac:dyDescent="0.2">
      <c r="A1894" s="14">
        <v>44323</v>
      </c>
      <c r="B1894" s="3">
        <v>146291465129843</v>
      </c>
      <c r="C1894" s="3">
        <f>[1]!nefin_factors__1[[#This Row],[Rm_minus_Rf]]/B1893-1</f>
        <v>-0.68094022742263594</v>
      </c>
      <c r="D1894" s="3">
        <v>85602469702874</v>
      </c>
      <c r="E1894" s="3">
        <f>[1]!nefin_factors__1[[#This Row],[SMB]]/D1893-1</f>
        <v>-1.1688139224495233</v>
      </c>
      <c r="F1894" s="3">
        <v>-576939003945239</v>
      </c>
      <c r="G1894" s="3">
        <f>[1]!nefin_factors__1[[#This Row],[HML]]/F1893-1</f>
        <v>-1.6876070255244549</v>
      </c>
      <c r="H1894" s="3">
        <v>134988787100054</v>
      </c>
      <c r="I1894" s="4">
        <f>[1]!nefin_factors__1[[#This Row],[Risk_Free]]/H1893-1</f>
        <v>0</v>
      </c>
      <c r="J1894">
        <v>126004</v>
      </c>
      <c r="K1894">
        <v>126026</v>
      </c>
      <c r="L1894">
        <v>123670</v>
      </c>
      <c r="M1894">
        <v>124612</v>
      </c>
      <c r="N1894">
        <v>7313800</v>
      </c>
      <c r="O1894">
        <v>124612</v>
      </c>
      <c r="P1894">
        <v>-1.10472683406876E-2</v>
      </c>
      <c r="Q1894">
        <v>-1.1108742577116399E-2</v>
      </c>
      <c r="R1894" s="8">
        <v>20.883693695068398</v>
      </c>
      <c r="S1894" s="8">
        <v>-5.2109162666862399E-2</v>
      </c>
      <c r="T1894" s="9">
        <v>-5.35159338499131E-2</v>
      </c>
      <c r="U1894" s="12">
        <v>1.6136999999999999E-2</v>
      </c>
      <c r="V1894" s="16">
        <v>4.9206000000000003</v>
      </c>
      <c r="W1894" s="17">
        <f t="shared" si="29"/>
        <v>-1.4408344663837669E-3</v>
      </c>
    </row>
    <row r="1895" spans="1:23" x14ac:dyDescent="0.2">
      <c r="A1895" s="15">
        <v>44326</v>
      </c>
      <c r="B1895" s="5">
        <v>-19533968797715</v>
      </c>
      <c r="C1895" s="5">
        <f>[1]!nefin_factors__1[[#This Row],[Rm_minus_Rf]]/B1894-1</f>
        <v>-1.1335277405307094</v>
      </c>
      <c r="D1895" s="5">
        <v>-350195036228495</v>
      </c>
      <c r="E1895" s="5">
        <f>[1]!nefin_factors__1[[#This Row],[SMB]]/D1894-1</f>
        <v>-5.0909454767370761</v>
      </c>
      <c r="F1895" s="5">
        <v>714176664380931</v>
      </c>
      <c r="G1895" s="5">
        <f>[1]!nefin_factors__1[[#This Row],[HML]]/F1894-1</f>
        <v>-2.2378720445267697</v>
      </c>
      <c r="H1895" s="5">
        <v>136139439513405</v>
      </c>
      <c r="I1895" s="6">
        <f>[1]!nefin_factors__1[[#This Row],[Risk_Free]]/H1894-1</f>
        <v>8.524059205733403E-3</v>
      </c>
      <c r="J1895">
        <v>124615</v>
      </c>
      <c r="K1895">
        <v>126712</v>
      </c>
      <c r="L1895">
        <v>124542</v>
      </c>
      <c r="M1895">
        <v>126286</v>
      </c>
      <c r="N1895">
        <v>9038200</v>
      </c>
      <c r="O1895">
        <v>126286</v>
      </c>
      <c r="P1895">
        <v>1.34336981992103E-2</v>
      </c>
      <c r="Q1895">
        <v>1.3344266120996699E-2</v>
      </c>
      <c r="R1895" s="8">
        <v>21.357494354248001</v>
      </c>
      <c r="S1895" s="8">
        <v>2.26875889915765E-2</v>
      </c>
      <c r="T1895" s="9">
        <v>2.24340532243434E-2</v>
      </c>
      <c r="U1895" s="12">
        <v>1.6136999999999999E-2</v>
      </c>
      <c r="V1895" s="16">
        <v>4.9420000000000002</v>
      </c>
      <c r="W1895" s="17">
        <f t="shared" si="29"/>
        <v>4.3490631223834786E-3</v>
      </c>
    </row>
    <row r="1896" spans="1:23" x14ac:dyDescent="0.2">
      <c r="A1896" s="14">
        <v>44327</v>
      </c>
      <c r="B1896" s="3">
        <v>924552624627206</v>
      </c>
      <c r="C1896" s="3">
        <f>[1]!nefin_factors__1[[#This Row],[Rm_minus_Rf]]/B1895-1</f>
        <v>-48.330505858868591</v>
      </c>
      <c r="D1896" s="3">
        <v>-27134126971788</v>
      </c>
      <c r="E1896" s="3">
        <f>[1]!nefin_factors__1[[#This Row],[SMB]]/D1895-1</f>
        <v>-0.92251710000228693</v>
      </c>
      <c r="F1896" s="3">
        <v>-704773651027126</v>
      </c>
      <c r="G1896" s="3">
        <f>[1]!nefin_factors__1[[#This Row],[HML]]/F1895-1</f>
        <v>-1.98683377121828</v>
      </c>
      <c r="H1896" s="3">
        <v>136522916489801</v>
      </c>
      <c r="I1896" s="4">
        <f>[1]!nefin_factors__1[[#This Row],[Risk_Free]]/H1895-1</f>
        <v>2.8167956160729535E-3</v>
      </c>
      <c r="J1896">
        <v>126285</v>
      </c>
      <c r="K1896">
        <v>126476</v>
      </c>
      <c r="L1896">
        <v>124917</v>
      </c>
      <c r="M1896">
        <v>125675</v>
      </c>
      <c r="N1896">
        <v>7488400</v>
      </c>
      <c r="O1896">
        <v>125675</v>
      </c>
      <c r="P1896">
        <v>-4.8382243479086996E-3</v>
      </c>
      <c r="Q1896">
        <v>-4.8499664445707698E-3</v>
      </c>
      <c r="R1896" s="8">
        <v>20.947473526001001</v>
      </c>
      <c r="S1896" s="8">
        <v>-1.9197983688827101E-2</v>
      </c>
      <c r="T1896" s="9">
        <v>-1.9384658020112199E-2</v>
      </c>
      <c r="U1896" s="12">
        <v>1.6136999999999999E-2</v>
      </c>
      <c r="V1896" s="16">
        <v>4.9450000000000003</v>
      </c>
      <c r="W1896" s="17">
        <f t="shared" si="29"/>
        <v>6.07041683528875E-4</v>
      </c>
    </row>
    <row r="1897" spans="1:23" x14ac:dyDescent="0.2">
      <c r="A1897" s="15">
        <v>44328</v>
      </c>
      <c r="B1897" s="5">
        <v>-268688430128705</v>
      </c>
      <c r="C1897" s="5">
        <f>[1]!nefin_factors__1[[#This Row],[Rm_minus_Rf]]/B1896-1</f>
        <v>-1.2906145339612705</v>
      </c>
      <c r="D1897" s="5">
        <v>408297810684556</v>
      </c>
      <c r="E1897" s="5">
        <f>[1]!nefin_factors__1[[#This Row],[SMB]]/D1896-1</f>
        <v>-16.047390730834017</v>
      </c>
      <c r="F1897" s="5">
        <v>501913557086261</v>
      </c>
      <c r="G1897" s="5">
        <f>[1]!nefin_factors__1[[#This Row],[HML]]/F1896-1</f>
        <v>-1.712162772196123</v>
      </c>
      <c r="H1897" s="5">
        <v>137289759743586</v>
      </c>
      <c r="I1897" s="6">
        <f>[1]!nefin_factors__1[[#This Row],[Risk_Free]]/H1896-1</f>
        <v>5.6169562847150356E-3</v>
      </c>
      <c r="J1897">
        <v>125672</v>
      </c>
      <c r="K1897">
        <v>125673</v>
      </c>
      <c r="L1897">
        <v>121748</v>
      </c>
      <c r="M1897">
        <v>121801</v>
      </c>
      <c r="N1897">
        <v>9399200</v>
      </c>
      <c r="O1897">
        <v>121801</v>
      </c>
      <c r="P1897">
        <v>-3.08255420728069E-2</v>
      </c>
      <c r="Q1897">
        <v>-3.1310644155921698E-2</v>
      </c>
      <c r="R1897" s="8">
        <v>20.318775177001999</v>
      </c>
      <c r="S1897" s="8">
        <v>-3.0013087173431902E-2</v>
      </c>
      <c r="T1897" s="9">
        <v>-3.0472699507098501E-2</v>
      </c>
      <c r="U1897" s="12">
        <v>1.6136999999999999E-2</v>
      </c>
      <c r="V1897" s="16">
        <v>5.0022000000000002</v>
      </c>
      <c r="W1897" s="17">
        <f t="shared" si="29"/>
        <v>1.1567239635996041E-2</v>
      </c>
    </row>
    <row r="1898" spans="1:23" x14ac:dyDescent="0.2">
      <c r="A1898" s="14">
        <v>44329</v>
      </c>
      <c r="B1898" s="3">
        <v>808154870836564</v>
      </c>
      <c r="C1898" s="3">
        <f>[1]!nefin_factors__1[[#This Row],[Rm_minus_Rf]]/B1897-1</f>
        <v>-4.007776964752253</v>
      </c>
      <c r="D1898" s="3">
        <v>-135573404917072</v>
      </c>
      <c r="E1898" s="3">
        <f>[1]!nefin_factors__1[[#This Row],[SMB]]/D1897-1</f>
        <v>-1.3320453878745231</v>
      </c>
      <c r="F1898" s="3">
        <v>-607420185491773</v>
      </c>
      <c r="G1898" s="3">
        <f>[1]!nefin_factors__1[[#This Row],[HML]]/F1897-1</f>
        <v>-2.2102087638716226</v>
      </c>
      <c r="H1898" s="3">
        <v>137673126035187</v>
      </c>
      <c r="I1898" s="4">
        <f>[1]!nefin_factors__1[[#This Row],[Risk_Free]]/H1897-1</f>
        <v>2.7923881017564156E-3</v>
      </c>
      <c r="J1898">
        <v>121803</v>
      </c>
      <c r="K1898">
        <v>124536</v>
      </c>
      <c r="L1898">
        <v>121797</v>
      </c>
      <c r="M1898">
        <v>122516</v>
      </c>
      <c r="N1898">
        <v>8565400</v>
      </c>
      <c r="O1898">
        <v>122516</v>
      </c>
      <c r="P1898">
        <v>5.87023095048478E-3</v>
      </c>
      <c r="Q1898">
        <v>5.8530682779257296E-3</v>
      </c>
      <c r="R1898" s="8">
        <v>19.908756256103501</v>
      </c>
      <c r="S1898" s="8">
        <v>-2.01793128437447E-2</v>
      </c>
      <c r="T1898" s="9">
        <v>-2.0385696348526501E-2</v>
      </c>
      <c r="U1898" s="12">
        <v>1.6136999999999999E-2</v>
      </c>
      <c r="V1898" s="16">
        <v>5.0054999999999996</v>
      </c>
      <c r="W1898" s="17">
        <f t="shared" si="29"/>
        <v>6.5970972771967062E-4</v>
      </c>
    </row>
    <row r="1899" spans="1:23" x14ac:dyDescent="0.2">
      <c r="A1899" s="15">
        <v>44330</v>
      </c>
      <c r="B1899" s="5">
        <v>876319860697857</v>
      </c>
      <c r="C1899" s="5">
        <f>[1]!nefin_factors__1[[#This Row],[Rm_minus_Rf]]/B1898-1</f>
        <v>8.4346444377340513E-2</v>
      </c>
      <c r="D1899" s="5">
        <v>157125097332092</v>
      </c>
      <c r="E1899" s="5">
        <f>[1]!nefin_factors__1[[#This Row],[SMB]]/D1898-1</f>
        <v>-2.1589669627918751</v>
      </c>
      <c r="F1899" s="5">
        <v>148388854046954</v>
      </c>
      <c r="G1899" s="5">
        <f>[1]!nefin_factors__1[[#This Row],[HML]]/F1898-1</f>
        <v>-1.244293583899944</v>
      </c>
      <c r="H1899" s="5">
        <v>138439747982888</v>
      </c>
      <c r="I1899" s="6">
        <f>[1]!nefin_factors__1[[#This Row],[Risk_Free]]/H1898-1</f>
        <v>5.5684211565376618E-3</v>
      </c>
      <c r="J1899">
        <v>122516</v>
      </c>
      <c r="K1899">
        <v>123765</v>
      </c>
      <c r="L1899">
        <v>120807</v>
      </c>
      <c r="M1899">
        <v>123577</v>
      </c>
      <c r="N1899">
        <v>9391300</v>
      </c>
      <c r="O1899">
        <v>123577</v>
      </c>
      <c r="P1899">
        <v>8.6600933755591695E-3</v>
      </c>
      <c r="Q1899">
        <v>8.6228098647504192E-3</v>
      </c>
      <c r="R1899" s="8">
        <v>19.6718559265137</v>
      </c>
      <c r="S1899" s="8">
        <v>-1.1899303328766E-2</v>
      </c>
      <c r="T1899" s="9">
        <v>-1.1970666720003E-2</v>
      </c>
      <c r="U1899" s="12">
        <v>1.6136999999999999E-2</v>
      </c>
      <c r="V1899" s="16">
        <v>5.0293000000000001</v>
      </c>
      <c r="W1899" s="17">
        <f t="shared" si="29"/>
        <v>4.7547697532714928E-3</v>
      </c>
    </row>
    <row r="1900" spans="1:23" x14ac:dyDescent="0.2">
      <c r="A1900" s="14">
        <v>44333</v>
      </c>
      <c r="B1900" s="3">
        <v>889128943976511</v>
      </c>
      <c r="C1900" s="3">
        <f>[1]!nefin_factors__1[[#This Row],[Rm_minus_Rf]]/B1899-1</f>
        <v>1.4616904001757414E-2</v>
      </c>
      <c r="D1900" s="3">
        <v>245098246665935</v>
      </c>
      <c r="E1900" s="3">
        <f>[1]!nefin_factors__1[[#This Row],[SMB]]/D1899-1</f>
        <v>0.55989240947235319</v>
      </c>
      <c r="F1900" s="3">
        <v>68033572918683</v>
      </c>
      <c r="G1900" s="3">
        <f>[1]!nefin_factors__1[[#This Row],[HML]]/F1899-1</f>
        <v>-0.54151830772171439</v>
      </c>
      <c r="H1900" s="3">
        <v>139589404423157</v>
      </c>
      <c r="I1900" s="4">
        <f>[1]!nefin_factors__1[[#This Row],[Risk_Free]]/H1899-1</f>
        <v>8.3043811984626625E-3</v>
      </c>
      <c r="J1900">
        <v>123577</v>
      </c>
      <c r="K1900">
        <v>123587</v>
      </c>
      <c r="L1900">
        <v>121072</v>
      </c>
      <c r="M1900">
        <v>121801</v>
      </c>
      <c r="N1900">
        <v>9164200</v>
      </c>
      <c r="O1900">
        <v>121801</v>
      </c>
      <c r="P1900">
        <v>-1.4371606366880601E-2</v>
      </c>
      <c r="Q1900">
        <v>-1.44758781426762E-2</v>
      </c>
      <c r="R1900" s="8">
        <v>19.079603195190401</v>
      </c>
      <c r="S1900" s="8">
        <v>-3.0106601712399001E-2</v>
      </c>
      <c r="T1900" s="9">
        <v>-3.0569112196586399E-2</v>
      </c>
      <c r="U1900" s="12">
        <v>1.6136999999999999E-2</v>
      </c>
      <c r="V1900" s="16">
        <v>5.0749000000000004</v>
      </c>
      <c r="W1900" s="17">
        <f t="shared" si="29"/>
        <v>9.0668681526255845E-3</v>
      </c>
    </row>
    <row r="1901" spans="1:23" x14ac:dyDescent="0.2">
      <c r="A1901" s="15">
        <v>44334</v>
      </c>
      <c r="B1901" s="5">
        <v>185238175633033</v>
      </c>
      <c r="C1901" s="5">
        <f>[1]!nefin_factors__1[[#This Row],[Rm_minus_Rf]]/B1900-1</f>
        <v>-0.79166331622882513</v>
      </c>
      <c r="D1901" s="5">
        <v>277817517382946</v>
      </c>
      <c r="E1901" s="5">
        <f>[1]!nefin_factors__1[[#This Row],[SMB]]/D1900-1</f>
        <v>0.13349451153604885</v>
      </c>
      <c r="F1901" s="5">
        <v>12069114381823</v>
      </c>
      <c r="G1901" s="5">
        <f>[1]!nefin_factors__1[[#This Row],[HML]]/F1900-1</f>
        <v>-0.82260060931610068</v>
      </c>
      <c r="H1901" s="5">
        <v>140355657811897</v>
      </c>
      <c r="I1901" s="6">
        <f>[1]!nefin_factors__1[[#This Row],[Risk_Free]]/H1900-1</f>
        <v>5.4893377610318872E-3</v>
      </c>
      <c r="J1901">
        <v>121801</v>
      </c>
      <c r="K1901">
        <v>123541</v>
      </c>
      <c r="L1901">
        <v>121128</v>
      </c>
      <c r="M1901">
        <v>121633</v>
      </c>
      <c r="N1901">
        <v>10913000</v>
      </c>
      <c r="O1901">
        <v>121633</v>
      </c>
      <c r="P1901">
        <v>-1.37929902053346E-3</v>
      </c>
      <c r="Q1901">
        <v>-1.3802511290230599E-3</v>
      </c>
      <c r="R1901" s="8">
        <v>18.651361465454102</v>
      </c>
      <c r="S1901" s="8">
        <v>-2.2445001887894601E-2</v>
      </c>
      <c r="T1901" s="9">
        <v>-2.27007246520739E-2</v>
      </c>
      <c r="U1901" s="12">
        <v>1.6136999999999999E-2</v>
      </c>
      <c r="V1901" s="16">
        <v>5.1645000000000003</v>
      </c>
      <c r="W1901" s="17">
        <f t="shared" si="29"/>
        <v>1.765552030581885E-2</v>
      </c>
    </row>
    <row r="1902" spans="1:23" x14ac:dyDescent="0.2">
      <c r="A1902" s="14">
        <v>44335</v>
      </c>
      <c r="B1902" s="3">
        <v>-249731717175935</v>
      </c>
      <c r="C1902" s="3">
        <f>[1]!nefin_factors__1[[#This Row],[Rm_minus_Rf]]/B1901-1</f>
        <v>-2.3481654973252772</v>
      </c>
      <c r="D1902" s="3">
        <v>1303192783.40205</v>
      </c>
      <c r="E1902" s="3">
        <f>[1]!nefin_factors__1[[#This Row],[SMB]]/D1901-1</f>
        <v>-0.99999530917706103</v>
      </c>
      <c r="F1902" s="3">
        <v>-197248315550084</v>
      </c>
      <c r="G1902" s="3">
        <f>[1]!nefin_factors__1[[#This Row],[HML]]/F1901-1</f>
        <v>-17.343230274389885</v>
      </c>
      <c r="H1902" s="3">
        <v>141121763876484</v>
      </c>
      <c r="I1902" s="4">
        <f>[1]!nefin_factors__1[[#This Row],[Risk_Free]]/H1901-1</f>
        <v>5.4583197893862678E-3</v>
      </c>
      <c r="J1902">
        <v>121633</v>
      </c>
      <c r="K1902">
        <v>123287</v>
      </c>
      <c r="L1902">
        <v>121568</v>
      </c>
      <c r="M1902">
        <v>122810</v>
      </c>
      <c r="N1902">
        <v>7499200</v>
      </c>
      <c r="O1902">
        <v>122810</v>
      </c>
      <c r="P1902">
        <v>9.6766502511653803E-3</v>
      </c>
      <c r="Q1902">
        <v>9.6301313285985408E-3</v>
      </c>
      <c r="R1902" s="8">
        <v>18.742475509643601</v>
      </c>
      <c r="S1902" s="8">
        <v>4.8851149208712901E-3</v>
      </c>
      <c r="T1902" s="9">
        <v>4.8732214651807798E-3</v>
      </c>
      <c r="U1902" s="12">
        <v>1.6136999999999999E-2</v>
      </c>
      <c r="V1902" s="16">
        <v>5.2328000000000001</v>
      </c>
      <c r="W1902" s="17">
        <f t="shared" si="29"/>
        <v>1.3224900764836844E-2</v>
      </c>
    </row>
    <row r="1903" spans="1:23" x14ac:dyDescent="0.2">
      <c r="A1903" s="15">
        <v>44336</v>
      </c>
      <c r="B1903" s="5">
        <v>119532863350144</v>
      </c>
      <c r="C1903" s="5">
        <f>[1]!nefin_factors__1[[#This Row],[Rm_minus_Rf]]/B1902-1</f>
        <v>-1.4786451024398057</v>
      </c>
      <c r="D1903" s="5">
        <v>29633534917911</v>
      </c>
      <c r="E1903" s="5">
        <f>[1]!nefin_factors__1[[#This Row],[SMB]]/D1902-1</f>
        <v>22738.179724853275</v>
      </c>
      <c r="F1903" s="5">
        <v>-239448725733232</v>
      </c>
      <c r="G1903" s="5">
        <f>[1]!nefin_factors__1[[#This Row],[HML]]/F1902-1</f>
        <v>0.21394560488620629</v>
      </c>
      <c r="H1903" s="5">
        <v>141887722673539</v>
      </c>
      <c r="I1903" s="6">
        <f>[1]!nefin_factors__1[[#This Row],[Risk_Free]]/H1902-1</f>
        <v>5.4276447233567726E-3</v>
      </c>
      <c r="J1903">
        <v>122809</v>
      </c>
      <c r="K1903">
        <v>123597</v>
      </c>
      <c r="L1903">
        <v>122258</v>
      </c>
      <c r="M1903">
        <v>123019</v>
      </c>
      <c r="N1903">
        <v>7171500</v>
      </c>
      <c r="O1903">
        <v>123019</v>
      </c>
      <c r="P1903">
        <v>1.7018158130446301E-3</v>
      </c>
      <c r="Q1903">
        <v>1.70036936533973E-3</v>
      </c>
      <c r="R1903" s="8">
        <v>18.4235725402832</v>
      </c>
      <c r="S1903" s="8">
        <v>-1.7014986584683901E-2</v>
      </c>
      <c r="T1903" s="9">
        <v>-1.71614047138373E-2</v>
      </c>
      <c r="U1903" s="12">
        <v>1.6136999999999999E-2</v>
      </c>
      <c r="V1903" s="16">
        <v>5.2587000000000002</v>
      </c>
      <c r="W1903" s="17">
        <f t="shared" si="29"/>
        <v>4.9495489986239871E-3</v>
      </c>
    </row>
    <row r="1904" spans="1:23" x14ac:dyDescent="0.2">
      <c r="A1904" s="14">
        <v>44337</v>
      </c>
      <c r="B1904" s="3">
        <v>-243728531868828</v>
      </c>
      <c r="C1904" s="3">
        <f>[1]!nefin_factors__1[[#This Row],[Rm_minus_Rf]]/B1903-1</f>
        <v>-3.0390085624811092</v>
      </c>
      <c r="D1904" s="3">
        <v>-141743192979966</v>
      </c>
      <c r="E1904" s="3">
        <f>[1]!nefin_factors__1[[#This Row],[SMB]]/D1903-1</f>
        <v>-5.7832023203648939</v>
      </c>
      <c r="F1904" s="3">
        <v>-301238519010429</v>
      </c>
      <c r="G1904" s="3">
        <f>[1]!nefin_factors__1[[#This Row],[HML]]/F1903-1</f>
        <v>0.25805020714971993</v>
      </c>
      <c r="H1904" s="3">
        <v>141504761679956</v>
      </c>
      <c r="I1904" s="4">
        <f>[1]!nefin_factors__1[[#This Row],[Risk_Free]]/H1903-1</f>
        <v>-2.6990424990055439E-3</v>
      </c>
      <c r="J1904">
        <v>123021</v>
      </c>
      <c r="K1904">
        <v>123513</v>
      </c>
      <c r="L1904">
        <v>122061</v>
      </c>
      <c r="M1904">
        <v>122202</v>
      </c>
      <c r="N1904">
        <v>8297600</v>
      </c>
      <c r="O1904">
        <v>122202</v>
      </c>
      <c r="P1904">
        <v>-6.6412505385346999E-3</v>
      </c>
      <c r="Q1904">
        <v>-6.6634017719576803E-3</v>
      </c>
      <c r="R1904" s="8">
        <v>18.059108734130898</v>
      </c>
      <c r="S1904" s="8">
        <v>-1.97824719041566E-2</v>
      </c>
      <c r="T1904" s="9">
        <v>-1.99807645039097E-2</v>
      </c>
      <c r="U1904" s="12">
        <v>1.6136999999999999E-2</v>
      </c>
      <c r="V1904" s="16">
        <v>5.2393000000000001</v>
      </c>
      <c r="W1904" s="17">
        <f t="shared" si="29"/>
        <v>-3.6891246886112672E-3</v>
      </c>
    </row>
    <row r="1905" spans="1:23" x14ac:dyDescent="0.2">
      <c r="A1905" s="15">
        <v>44340</v>
      </c>
      <c r="B1905" s="5">
        <v>115945038694226</v>
      </c>
      <c r="C1905" s="5">
        <f>[1]!nefin_factors__1[[#This Row],[Rm_minus_Rf]]/B1904-1</f>
        <v>-1.4757138518219375</v>
      </c>
      <c r="D1905" s="5">
        <v>-217340231014485</v>
      </c>
      <c r="E1905" s="5">
        <f>[1]!nefin_factors__1[[#This Row],[SMB]]/D1904-1</f>
        <v>0.53333804922260986</v>
      </c>
      <c r="F1905" s="5">
        <v>-135185166403566</v>
      </c>
      <c r="G1905" s="5">
        <f>[1]!nefin_factors__1[[#This Row],[HML]]/F1904-1</f>
        <v>-0.55123545671499663</v>
      </c>
      <c r="H1905" s="5">
        <v>143036384866901</v>
      </c>
      <c r="I1905" s="6">
        <f>[1]!nefin_factors__1[[#This Row],[Risk_Free]]/H1904-1</f>
        <v>1.0823827896400351E-2</v>
      </c>
      <c r="J1905">
        <v>122203</v>
      </c>
      <c r="K1905">
        <v>122756</v>
      </c>
      <c r="L1905">
        <v>120827</v>
      </c>
      <c r="M1905">
        <v>122056</v>
      </c>
      <c r="N1905">
        <v>8685200</v>
      </c>
      <c r="O1905">
        <v>122056</v>
      </c>
      <c r="P1905">
        <v>-1.1947431302270499E-3</v>
      </c>
      <c r="Q1905">
        <v>-1.1954574047737499E-3</v>
      </c>
      <c r="R1905" s="8">
        <v>17.794874191284201</v>
      </c>
      <c r="S1905" s="8">
        <v>-1.46316491437525E-2</v>
      </c>
      <c r="T1905" s="9">
        <v>-1.47397474556091E-2</v>
      </c>
      <c r="U1905" s="12">
        <v>1.6136999999999999E-2</v>
      </c>
      <c r="V1905" s="16">
        <v>5.2239000000000004</v>
      </c>
      <c r="W1905" s="17">
        <f t="shared" si="29"/>
        <v>-2.9393239554901252E-3</v>
      </c>
    </row>
    <row r="1906" spans="1:23" x14ac:dyDescent="0.2">
      <c r="A1906" s="14">
        <v>44341</v>
      </c>
      <c r="B1906" s="3">
        <v>-736835049229857</v>
      </c>
      <c r="C1906" s="3">
        <f>[1]!nefin_factors__1[[#This Row],[Rm_minus_Rf]]/B1905-1</f>
        <v>-7.3550373308603758</v>
      </c>
      <c r="D1906" s="3">
        <v>-641718662163514</v>
      </c>
      <c r="E1906" s="3">
        <f>[1]!nefin_factors__1[[#This Row],[SMB]]/D1905-1</f>
        <v>1.9525995218103249</v>
      </c>
      <c r="F1906" s="3">
        <v>14272260886712</v>
      </c>
      <c r="G1906" s="3">
        <f>[1]!nefin_factors__1[[#This Row],[HML]]/F1905-1</f>
        <v>-1.1055756431449384</v>
      </c>
      <c r="H1906" s="3">
        <v>143801975743596</v>
      </c>
      <c r="I1906" s="4">
        <f>[1]!nefin_factors__1[[#This Row],[Risk_Free]]/H1905-1</f>
        <v>5.3524204866293168E-3</v>
      </c>
      <c r="J1906">
        <v>122056</v>
      </c>
      <c r="K1906">
        <v>122095</v>
      </c>
      <c r="L1906">
        <v>120534</v>
      </c>
      <c r="M1906">
        <v>120701</v>
      </c>
      <c r="N1906">
        <v>11066000</v>
      </c>
      <c r="O1906">
        <v>120701</v>
      </c>
      <c r="P1906">
        <v>-1.11014616241725E-2</v>
      </c>
      <c r="Q1906">
        <v>-1.11635427375931E-2</v>
      </c>
      <c r="R1906" s="8">
        <v>17.630865097045898</v>
      </c>
      <c r="S1906" s="8">
        <v>-9.2166481468360893E-3</v>
      </c>
      <c r="T1906" s="9">
        <v>-9.2593842400702595E-3</v>
      </c>
      <c r="U1906" s="12">
        <v>1.6136999999999999E-2</v>
      </c>
      <c r="V1906" s="16">
        <v>5.1769999999999996</v>
      </c>
      <c r="W1906" s="17">
        <f t="shared" si="29"/>
        <v>-8.9779666532668889E-3</v>
      </c>
    </row>
    <row r="1907" spans="1:23" x14ac:dyDescent="0.2">
      <c r="A1907" s="15">
        <v>44342</v>
      </c>
      <c r="B1907" s="5">
        <v>655861264345084</v>
      </c>
      <c r="C1907" s="5">
        <f>[1]!nefin_factors__1[[#This Row],[Rm_minus_Rf]]/B1906-1</f>
        <v>-1.8901059538774558</v>
      </c>
      <c r="D1907" s="5">
        <v>853151701039794</v>
      </c>
      <c r="E1907" s="5">
        <f>[1]!nefin_factors__1[[#This Row],[SMB]]/D1906-1</f>
        <v>-2.3294793362615431</v>
      </c>
      <c r="F1907" s="5">
        <v>615282692377296</v>
      </c>
      <c r="G1907" s="5">
        <f>[1]!nefin_factors__1[[#This Row],[HML]]/F1906-1</f>
        <v>42.110387153176752</v>
      </c>
      <c r="H1907" s="5">
        <v>144184716027285</v>
      </c>
      <c r="I1907" s="6">
        <f>[1]!nefin_factors__1[[#This Row],[Risk_Free]]/H1906-1</f>
        <v>2.6615787558541548E-3</v>
      </c>
      <c r="J1907">
        <v>120701</v>
      </c>
      <c r="K1907">
        <v>121275</v>
      </c>
      <c r="L1907">
        <v>120045</v>
      </c>
      <c r="M1907">
        <v>121194</v>
      </c>
      <c r="N1907">
        <v>10642200</v>
      </c>
      <c r="O1907">
        <v>121194</v>
      </c>
      <c r="P1907">
        <v>4.0844732023761496E-3</v>
      </c>
      <c r="Q1907">
        <v>4.07615438600069E-3</v>
      </c>
      <c r="R1907" s="8">
        <v>17.138841629028299</v>
      </c>
      <c r="S1907" s="8">
        <v>-2.7906938502979001E-2</v>
      </c>
      <c r="T1907" s="9">
        <v>-2.83037368238118E-2</v>
      </c>
      <c r="U1907" s="12">
        <v>1.6136999999999999E-2</v>
      </c>
      <c r="V1907" s="16">
        <v>5.0880000000000001</v>
      </c>
      <c r="W1907" s="17">
        <f t="shared" si="29"/>
        <v>-1.7191423604403955E-2</v>
      </c>
    </row>
    <row r="1908" spans="1:23" x14ac:dyDescent="0.2">
      <c r="A1908" s="14">
        <v>44343</v>
      </c>
      <c r="B1908" s="3">
        <v>306307417727422</v>
      </c>
      <c r="C1908" s="3">
        <f>[1]!nefin_factors__1[[#This Row],[Rm_minus_Rf]]/B1907-1</f>
        <v>-0.53296918970616758</v>
      </c>
      <c r="D1908" s="3">
        <v>178711185900264</v>
      </c>
      <c r="E1908" s="3">
        <f>[1]!nefin_factors__1[[#This Row],[SMB]]/D1907-1</f>
        <v>-0.79052824288757029</v>
      </c>
      <c r="F1908" s="3">
        <v>194638857594971</v>
      </c>
      <c r="G1908" s="3">
        <f>[1]!nefin_factors__1[[#This Row],[HML]]/F1907-1</f>
        <v>-0.6836594625424357</v>
      </c>
      <c r="H1908" s="3">
        <v>144567419551045</v>
      </c>
      <c r="I1908" s="4">
        <f>[1]!nefin_factors__1[[#This Row],[Risk_Free]]/H1907-1</f>
        <v>2.6542586087112685E-3</v>
      </c>
      <c r="J1908">
        <v>121191</v>
      </c>
      <c r="K1908">
        <v>121191</v>
      </c>
      <c r="L1908">
        <v>118684</v>
      </c>
      <c r="M1908">
        <v>119180</v>
      </c>
      <c r="N1908">
        <v>9741700</v>
      </c>
      <c r="O1908">
        <v>119180</v>
      </c>
      <c r="P1908">
        <v>-1.6617984388666102E-2</v>
      </c>
      <c r="Q1908">
        <v>-1.6757612140475699E-2</v>
      </c>
      <c r="R1908" s="8">
        <v>15.6718807220459</v>
      </c>
      <c r="S1908" s="8">
        <v>-8.5592768679174203E-2</v>
      </c>
      <c r="T1908" s="9">
        <v>-8.9479258264186706E-2</v>
      </c>
      <c r="U1908" s="12">
        <v>1.6136999999999999E-2</v>
      </c>
      <c r="V1908" s="16">
        <v>5.0999999999999996</v>
      </c>
      <c r="W1908" s="17">
        <f t="shared" si="29"/>
        <v>2.3584905660376521E-3</v>
      </c>
    </row>
    <row r="1909" spans="1:23" x14ac:dyDescent="0.2">
      <c r="A1909" s="15">
        <v>44344</v>
      </c>
      <c r="B1909" s="5">
        <v>988681840141401</v>
      </c>
      <c r="C1909" s="5">
        <f>[1]!nefin_factors__1[[#This Row],[Rm_minus_Rf]]/B1908-1</f>
        <v>2.2277437075363711</v>
      </c>
      <c r="D1909" s="5">
        <v>500832686389762</v>
      </c>
      <c r="E1909" s="5">
        <f>[1]!nefin_factors__1[[#This Row],[SMB]]/D1908-1</f>
        <v>1.8024697159654521</v>
      </c>
      <c r="F1909" s="5">
        <v>-633864993569639</v>
      </c>
      <c r="G1909" s="5">
        <f>[1]!nefin_factors__1[[#This Row],[HML]]/F1908-1</f>
        <v>-4.2566210128948914</v>
      </c>
      <c r="H1909" s="5">
        <v>145332716346092</v>
      </c>
      <c r="I1909" s="6">
        <f>[1]!nefin_factors__1[[#This Row],[Risk_Free]]/H1908-1</f>
        <v>5.2937017028016342E-3</v>
      </c>
      <c r="J1909">
        <v>119179</v>
      </c>
      <c r="K1909">
        <v>119179</v>
      </c>
      <c r="L1909">
        <v>116248</v>
      </c>
      <c r="M1909">
        <v>117904</v>
      </c>
      <c r="N1909">
        <v>11218200</v>
      </c>
      <c r="O1909">
        <v>117904</v>
      </c>
      <c r="P1909">
        <v>-1.0706494378251301E-2</v>
      </c>
      <c r="Q1909">
        <v>-1.0764221294189301E-2</v>
      </c>
      <c r="R1909" s="8">
        <v>15.6445455551147</v>
      </c>
      <c r="S1909" s="8">
        <v>-1.7442173926642799E-3</v>
      </c>
      <c r="T1909" s="9">
        <v>-1.7457403109453901E-3</v>
      </c>
      <c r="U1909" s="12">
        <v>1.6136999999999999E-2</v>
      </c>
      <c r="V1909" s="16">
        <v>5.0941000000000001</v>
      </c>
      <c r="W1909" s="17">
        <f t="shared" si="29"/>
        <v>-1.1568627450979641E-3</v>
      </c>
    </row>
    <row r="1910" spans="1:23" x14ac:dyDescent="0.2">
      <c r="A1910" s="14">
        <v>44347</v>
      </c>
      <c r="B1910" s="3">
        <v>526665833139573</v>
      </c>
      <c r="C1910" s="3">
        <f>[1]!nefin_factors__1[[#This Row],[Rm_minus_Rf]]/B1909-1</f>
        <v>-0.46730504014896301</v>
      </c>
      <c r="D1910" s="3">
        <v>423402029946054</v>
      </c>
      <c r="E1910" s="3">
        <f>[1]!nefin_factors__1[[#This Row],[SMB]]/D1909-1</f>
        <v>-0.15460383986090176</v>
      </c>
      <c r="F1910" s="3">
        <v>-462540845563244</v>
      </c>
      <c r="G1910" s="3">
        <f>[1]!nefin_factors__1[[#This Row],[HML]]/F1909-1</f>
        <v>-0.27028491830977353</v>
      </c>
      <c r="H1910" s="3">
        <v>146097866185357</v>
      </c>
      <c r="I1910" s="4">
        <f>[1]!nefin_factors__1[[#This Row],[Risk_Free]]/H1909-1</f>
        <v>5.2648148228571223E-3</v>
      </c>
      <c r="J1910">
        <v>117904</v>
      </c>
      <c r="K1910">
        <v>118739</v>
      </c>
      <c r="L1910">
        <v>116489</v>
      </c>
      <c r="M1910">
        <v>116643</v>
      </c>
      <c r="N1910">
        <v>11745800</v>
      </c>
      <c r="O1910">
        <v>116643</v>
      </c>
      <c r="P1910">
        <v>-1.06951418102863E-2</v>
      </c>
      <c r="Q1910">
        <v>-1.07527459304441E-2</v>
      </c>
      <c r="R1910" s="8">
        <v>16.127458572387699</v>
      </c>
      <c r="S1910" s="8">
        <v>3.0867820070047802E-2</v>
      </c>
      <c r="T1910" s="9">
        <v>3.0400991258123299E-2</v>
      </c>
      <c r="U1910" s="12">
        <v>1.6136999999999999E-2</v>
      </c>
      <c r="V1910" s="16">
        <v>5.1978</v>
      </c>
      <c r="W1910" s="17">
        <f t="shared" si="29"/>
        <v>2.0356883453406915E-2</v>
      </c>
    </row>
    <row r="1911" spans="1:23" x14ac:dyDescent="0.2">
      <c r="A1911" s="15">
        <v>44348</v>
      </c>
      <c r="B1911" s="5">
        <v>166638372247915</v>
      </c>
      <c r="C1911" s="5">
        <f>[1]!nefin_factors__1[[#This Row],[Rm_minus_Rf]]/B1910-1</f>
        <v>-0.68359752662414741</v>
      </c>
      <c r="D1911" s="5">
        <v>177659936159778</v>
      </c>
      <c r="E1911" s="5">
        <f>[1]!nefin_factors__1[[#This Row],[SMB]]/D1910-1</f>
        <v>-0.58039895041973755</v>
      </c>
      <c r="F1911" s="5">
        <v>260576832541104</v>
      </c>
      <c r="G1911" s="5">
        <f>[1]!nefin_factors__1[[#This Row],[HML]]/F1910-1</f>
        <v>-1.5633596147034217</v>
      </c>
      <c r="H1911" s="5">
        <v>146480386014058</v>
      </c>
      <c r="I1911" s="6">
        <f>[1]!nefin_factors__1[[#This Row],[Risk_Free]]/H1910-1</f>
        <v>2.6182437751396392E-3</v>
      </c>
      <c r="J1911">
        <v>116641</v>
      </c>
      <c r="K1911">
        <v>117453</v>
      </c>
      <c r="L1911">
        <v>114801</v>
      </c>
      <c r="M1911">
        <v>117165</v>
      </c>
      <c r="N1911">
        <v>10525900</v>
      </c>
      <c r="O1911">
        <v>117165</v>
      </c>
      <c r="P1911">
        <v>4.4751935392608501E-3</v>
      </c>
      <c r="Q1911">
        <v>4.4652096361710303E-3</v>
      </c>
      <c r="R1911" s="8">
        <v>17.403076171875</v>
      </c>
      <c r="S1911" s="8">
        <v>7.9096008448059404E-2</v>
      </c>
      <c r="T1911" s="9">
        <v>7.6123661416813301E-2</v>
      </c>
      <c r="U1911" s="12">
        <v>1.6136999999999999E-2</v>
      </c>
      <c r="V1911" s="16">
        <v>5.2465000000000002</v>
      </c>
      <c r="W1911" s="17">
        <f t="shared" si="29"/>
        <v>9.369348570549052E-3</v>
      </c>
    </row>
    <row r="1912" spans="1:23" x14ac:dyDescent="0.2">
      <c r="A1912" s="14">
        <v>44349</v>
      </c>
      <c r="B1912" s="3">
        <v>112419867546993</v>
      </c>
      <c r="C1912" s="3">
        <f>[1]!nefin_factors__1[[#This Row],[Rm_minus_Rf]]/B1911-1</f>
        <v>-0.32536626450154482</v>
      </c>
      <c r="D1912" s="3">
        <v>54660094495576</v>
      </c>
      <c r="E1912" s="3">
        <f>[1]!nefin_factors__1[[#This Row],[SMB]]/D1911-1</f>
        <v>-0.69233302861024559</v>
      </c>
      <c r="F1912" s="3">
        <v>181648568866124</v>
      </c>
      <c r="G1912" s="3">
        <f>[1]!nefin_factors__1[[#This Row],[HML]]/F1911-1</f>
        <v>-0.30289823890053491</v>
      </c>
      <c r="H1912" s="3">
        <v>148010098222295</v>
      </c>
      <c r="I1912" s="4">
        <f>[1]!nefin_factors__1[[#This Row],[Risk_Free]]/H1911-1</f>
        <v>1.0443119723142935E-2</v>
      </c>
      <c r="J1912">
        <v>117163</v>
      </c>
      <c r="K1912">
        <v>118308</v>
      </c>
      <c r="L1912">
        <v>116040</v>
      </c>
      <c r="M1912">
        <v>118053</v>
      </c>
      <c r="N1912">
        <v>8929300</v>
      </c>
      <c r="O1912">
        <v>118053</v>
      </c>
      <c r="P1912">
        <v>7.5790551785943601E-3</v>
      </c>
      <c r="Q1912">
        <v>7.5504784388577802E-3</v>
      </c>
      <c r="R1912" s="8">
        <v>18.068220138549801</v>
      </c>
      <c r="S1912" s="8">
        <v>3.8219907797090398E-2</v>
      </c>
      <c r="T1912" s="9">
        <v>3.7507619527755102E-2</v>
      </c>
      <c r="U1912" s="12">
        <v>1.6136999999999999E-2</v>
      </c>
      <c r="V1912" s="16">
        <v>5.2515999999999998</v>
      </c>
      <c r="W1912" s="17">
        <f t="shared" si="29"/>
        <v>9.7207662251008742E-4</v>
      </c>
    </row>
    <row r="1913" spans="1:23" x14ac:dyDescent="0.2">
      <c r="A1913" s="15">
        <v>44351</v>
      </c>
      <c r="B1913" s="5">
        <v>46405671154522</v>
      </c>
      <c r="C1913" s="5">
        <f>[1]!nefin_factors__1[[#This Row],[Rm_minus_Rf]]/B1912-1</f>
        <v>-0.58721112053326507</v>
      </c>
      <c r="D1913" s="5">
        <v>179383600205106</v>
      </c>
      <c r="E1913" s="5">
        <f>[1]!nefin_factors__1[[#This Row],[SMB]]/D1912-1</f>
        <v>2.2818018677158469</v>
      </c>
      <c r="F1913" s="5">
        <v>127744612970504</v>
      </c>
      <c r="G1913" s="5">
        <f>[1]!nefin_factors__1[[#This Row],[HML]]/F1912-1</f>
        <v>-0.29674858564587714</v>
      </c>
      <c r="H1913" s="5">
        <v>149156997113487</v>
      </c>
      <c r="I1913" s="6">
        <f>[1]!nefin_factors__1[[#This Row],[Risk_Free]]/H1912-1</f>
        <v>7.7487881230204891E-3</v>
      </c>
      <c r="J1913">
        <v>118053</v>
      </c>
      <c r="K1913">
        <v>118445</v>
      </c>
      <c r="L1913">
        <v>117062</v>
      </c>
      <c r="M1913">
        <v>117472</v>
      </c>
      <c r="N1913">
        <v>7853000</v>
      </c>
      <c r="O1913">
        <v>117472</v>
      </c>
      <c r="P1913">
        <v>-4.9215183011020996E-3</v>
      </c>
      <c r="Q1913">
        <v>-4.9336688548042903E-3</v>
      </c>
      <c r="R1913" s="8">
        <v>18.860927581787099</v>
      </c>
      <c r="S1913" s="8">
        <v>4.3873023306042702E-2</v>
      </c>
      <c r="T1913" s="9">
        <v>4.2937856877721399E-2</v>
      </c>
      <c r="U1913" s="12">
        <v>1.6136999999999999E-2</v>
      </c>
      <c r="V1913" s="16">
        <v>5.1978</v>
      </c>
      <c r="W1913" s="17">
        <f t="shared" si="29"/>
        <v>-1.0244496915225776E-2</v>
      </c>
    </row>
    <row r="1914" spans="1:23" x14ac:dyDescent="0.2">
      <c r="A1914" s="14">
        <v>44354</v>
      </c>
      <c r="B1914" s="3">
        <v>432964835153271</v>
      </c>
      <c r="C1914" s="3">
        <f>[1]!nefin_factors__1[[#This Row],[Rm_minus_Rf]]/B1913-1</f>
        <v>8.3299983467878533</v>
      </c>
      <c r="D1914" s="3">
        <v>-487843876715982</v>
      </c>
      <c r="E1914" s="3">
        <f>[1]!nefin_factors__1[[#This Row],[SMB]]/D1913-1</f>
        <v>-3.7195567273607208</v>
      </c>
      <c r="F1914" s="3">
        <v>-124899841856723</v>
      </c>
      <c r="G1914" s="3">
        <f>[1]!nefin_factors__1[[#This Row],[HML]]/F1913-1</f>
        <v>-1.9777307939048838</v>
      </c>
      <c r="H1914" s="3">
        <v>151067761991808</v>
      </c>
      <c r="I1914" s="4">
        <f>[1]!nefin_factors__1[[#This Row],[Risk_Free]]/H1913-1</f>
        <v>1.281042737047855E-2</v>
      </c>
      <c r="J1914">
        <v>117474</v>
      </c>
      <c r="K1914">
        <v>120463</v>
      </c>
      <c r="L1914">
        <v>117474</v>
      </c>
      <c r="M1914">
        <v>120211</v>
      </c>
      <c r="N1914">
        <v>9181000</v>
      </c>
      <c r="O1914">
        <v>120211</v>
      </c>
      <c r="P1914">
        <v>2.33161944974121E-2</v>
      </c>
      <c r="Q1914">
        <v>2.3048524742614401E-2</v>
      </c>
      <c r="R1914" s="8">
        <v>20.063652038574201</v>
      </c>
      <c r="S1914" s="8">
        <v>6.3768043834095997E-2</v>
      </c>
      <c r="T1914" s="9">
        <v>6.1817363237821603E-2</v>
      </c>
      <c r="U1914" s="12">
        <v>1.6136999999999999E-2</v>
      </c>
      <c r="V1914" s="16">
        <v>5.1700999999999997</v>
      </c>
      <c r="W1914" s="17">
        <f t="shared" si="29"/>
        <v>-5.3291777290392917E-3</v>
      </c>
    </row>
    <row r="1915" spans="1:23" x14ac:dyDescent="0.2">
      <c r="A1915" s="15">
        <v>44355</v>
      </c>
      <c r="B1915" s="5">
        <v>-761980412148969</v>
      </c>
      <c r="C1915" s="5">
        <f>[1]!nefin_factors__1[[#This Row],[Rm_minus_Rf]]/B1914-1</f>
        <v>-2.7599129312181332</v>
      </c>
      <c r="D1915" s="5">
        <v>97691878753283</v>
      </c>
      <c r="E1915" s="5">
        <f>[1]!nefin_factors__1[[#This Row],[SMB]]/D1914-1</f>
        <v>-1.2002523418166389</v>
      </c>
      <c r="F1915" s="5">
        <v>-521519638272299</v>
      </c>
      <c r="G1915" s="5">
        <f>[1]!nefin_factors__1[[#This Row],[HML]]/F1914-1</f>
        <v>3.1755027910327742</v>
      </c>
      <c r="H1915" s="5">
        <v>152595714455472</v>
      </c>
      <c r="I1915" s="6">
        <f>[1]!nefin_factors__1[[#This Row],[Risk_Free]]/H1914-1</f>
        <v>1.0114351622862117E-2</v>
      </c>
      <c r="J1915">
        <v>120210</v>
      </c>
      <c r="K1915">
        <v>120818</v>
      </c>
      <c r="L1915">
        <v>119226</v>
      </c>
      <c r="M1915">
        <v>120818</v>
      </c>
      <c r="N1915">
        <v>7520100</v>
      </c>
      <c r="O1915">
        <v>120818</v>
      </c>
      <c r="P1915">
        <v>5.0494547088035802E-3</v>
      </c>
      <c r="Q1915">
        <v>5.0367489658086099E-3</v>
      </c>
      <c r="R1915" s="8">
        <v>20.865470886230501</v>
      </c>
      <c r="S1915" s="8">
        <v>3.9963753663324997E-2</v>
      </c>
      <c r="T1915" s="9">
        <v>3.9185860299124797E-2</v>
      </c>
      <c r="U1915" s="12">
        <v>1.6136999999999999E-2</v>
      </c>
      <c r="V1915" s="16">
        <v>5.1863000000000001</v>
      </c>
      <c r="W1915" s="17">
        <f t="shared" si="29"/>
        <v>3.1334016750159677E-3</v>
      </c>
    </row>
    <row r="1916" spans="1:23" x14ac:dyDescent="0.2">
      <c r="A1916" s="14">
        <v>44356</v>
      </c>
      <c r="B1916" s="3">
        <v>125984892428158</v>
      </c>
      <c r="C1916" s="3">
        <f>[1]!nefin_factors__1[[#This Row],[Rm_minus_Rf]]/B1915-1</f>
        <v>-1.1653387546706746</v>
      </c>
      <c r="D1916" s="3">
        <v>-336884533000008</v>
      </c>
      <c r="E1916" s="3">
        <f>[1]!nefin_factors__1[[#This Row],[SMB]]/D1915-1</f>
        <v>-4.4484394946564247</v>
      </c>
      <c r="F1916" s="3">
        <v>321591872401777</v>
      </c>
      <c r="G1916" s="3">
        <f>[1]!nefin_factors__1[[#This Row],[HML]]/F1915-1</f>
        <v>-1.6166438400424443</v>
      </c>
      <c r="H1916" s="3">
        <v>154123081238744</v>
      </c>
      <c r="I1916" s="4">
        <f>[1]!nefin_factors__1[[#This Row],[Risk_Free]]/H1915-1</f>
        <v>1.0009237734639687E-2</v>
      </c>
      <c r="J1916">
        <v>120817</v>
      </c>
      <c r="K1916">
        <v>120833</v>
      </c>
      <c r="L1916">
        <v>118719</v>
      </c>
      <c r="M1916">
        <v>118724</v>
      </c>
      <c r="N1916">
        <v>8426900</v>
      </c>
      <c r="O1916">
        <v>118724</v>
      </c>
      <c r="P1916">
        <v>-1.7331854524988002E-2</v>
      </c>
      <c r="Q1916">
        <v>-1.7483809448991701E-2</v>
      </c>
      <c r="R1916" s="8">
        <v>20.218549728393601</v>
      </c>
      <c r="S1916" s="8">
        <v>-3.1004388128323099E-2</v>
      </c>
      <c r="T1916" s="9">
        <v>-3.1495195613825903E-2</v>
      </c>
      <c r="U1916" s="12">
        <v>1.6136999999999999E-2</v>
      </c>
      <c r="V1916" s="16">
        <v>5.1669</v>
      </c>
      <c r="W1916" s="17">
        <f t="shared" si="29"/>
        <v>-3.7406243371961301E-3</v>
      </c>
    </row>
    <row r="1917" spans="1:23" x14ac:dyDescent="0.2">
      <c r="A1917" s="15">
        <v>44357</v>
      </c>
      <c r="B1917" s="5">
        <v>229031025752434</v>
      </c>
      <c r="C1917" s="5">
        <f>[1]!nefin_factors__1[[#This Row],[Rm_minus_Rf]]/B1916-1</f>
        <v>0.81792452522065173</v>
      </c>
      <c r="D1917" s="5">
        <v>-713751525943404</v>
      </c>
      <c r="E1917" s="5">
        <f>[1]!nefin_factors__1[[#This Row],[SMB]]/D1916-1</f>
        <v>1.1186829789641517</v>
      </c>
      <c r="F1917" s="5">
        <v>235456990718631</v>
      </c>
      <c r="G1917" s="5">
        <f>[1]!nefin_factors__1[[#This Row],[HML]]/F1916-1</f>
        <v>-0.26783911247462877</v>
      </c>
      <c r="H1917" s="5">
        <v>156413034246627</v>
      </c>
      <c r="I1917" s="6">
        <f>[1]!nefin_factors__1[[#This Row],[Risk_Free]]/H1916-1</f>
        <v>1.4857949824762073E-2</v>
      </c>
      <c r="J1917">
        <v>118725</v>
      </c>
      <c r="K1917">
        <v>120678</v>
      </c>
      <c r="L1917">
        <v>118721</v>
      </c>
      <c r="M1917">
        <v>120678</v>
      </c>
      <c r="N1917">
        <v>7323600</v>
      </c>
      <c r="O1917">
        <v>120678</v>
      </c>
      <c r="P1917">
        <v>1.6458340352413899E-2</v>
      </c>
      <c r="Q1917">
        <v>1.63243698252836E-2</v>
      </c>
      <c r="R1917" s="8">
        <v>19.9543132781982</v>
      </c>
      <c r="S1917" s="8">
        <v>-1.30690110687928E-2</v>
      </c>
      <c r="T1917" s="9">
        <v>-1.3155162022346701E-2</v>
      </c>
      <c r="U1917" s="12">
        <v>1.6136999999999999E-2</v>
      </c>
      <c r="V1917" s="16">
        <v>5.1527000000000003</v>
      </c>
      <c r="W1917" s="17">
        <f t="shared" si="29"/>
        <v>-2.7482629816717452E-3</v>
      </c>
    </row>
    <row r="1918" spans="1:23" x14ac:dyDescent="0.2">
      <c r="A1918" s="14">
        <v>44358</v>
      </c>
      <c r="B1918" s="3">
        <v>-566582394556409</v>
      </c>
      <c r="C1918" s="3">
        <f>[1]!nefin_factors__1[[#This Row],[Rm_minus_Rf]]/B1917-1</f>
        <v>-3.4738237655576132</v>
      </c>
      <c r="D1918" s="3">
        <v>-325691254754532</v>
      </c>
      <c r="E1918" s="3">
        <f>[1]!nefin_factors__1[[#This Row],[SMB]]/D1917-1</f>
        <v>-0.54369098640588087</v>
      </c>
      <c r="F1918" s="3">
        <v>185817447107478</v>
      </c>
      <c r="G1918" s="3">
        <f>[1]!nefin_factors__1[[#This Row],[HML]]/F1917-1</f>
        <v>-0.210822127046004</v>
      </c>
      <c r="H1918" s="3">
        <v>157557517435736</v>
      </c>
      <c r="I1918" s="4">
        <f>[1]!nefin_factors__1[[#This Row],[Risk_Free]]/H1917-1</f>
        <v>7.3170576520138475E-3</v>
      </c>
      <c r="J1918">
        <v>120677</v>
      </c>
      <c r="K1918">
        <v>120684</v>
      </c>
      <c r="L1918">
        <v>119354</v>
      </c>
      <c r="M1918">
        <v>119740</v>
      </c>
      <c r="N1918">
        <v>6391900</v>
      </c>
      <c r="O1918">
        <v>119740</v>
      </c>
      <c r="P1918">
        <v>-7.7727506256318702E-3</v>
      </c>
      <c r="Q1918">
        <v>-7.8031159019329903E-3</v>
      </c>
      <c r="R1918" s="8">
        <v>20.109209060668899</v>
      </c>
      <c r="S1918" s="8">
        <v>7.7625213311620601E-3</v>
      </c>
      <c r="T1918" s="9">
        <v>7.7325479750723304E-3</v>
      </c>
      <c r="U1918" s="12">
        <v>1.6136999999999999E-2</v>
      </c>
      <c r="V1918" s="16">
        <v>5.0682</v>
      </c>
      <c r="W1918" s="17">
        <f t="shared" si="29"/>
        <v>-1.6399169367516064E-2</v>
      </c>
    </row>
    <row r="1919" spans="1:23" x14ac:dyDescent="0.2">
      <c r="A1919" s="15">
        <v>44361</v>
      </c>
      <c r="B1919" s="5">
        <v>692741039680532</v>
      </c>
      <c r="C1919" s="5">
        <f>[1]!nefin_factors__1[[#This Row],[Rm_minus_Rf]]/B1918-1</f>
        <v>-2.2226660170457566</v>
      </c>
      <c r="D1919" s="5">
        <v>936104954199212</v>
      </c>
      <c r="E1919" s="5">
        <f>[1]!nefin_factors__1[[#This Row],[SMB]]/D1918-1</f>
        <v>-3.8742096710724963</v>
      </c>
      <c r="F1919" s="5">
        <v>189281413249146</v>
      </c>
      <c r="G1919" s="5">
        <f>[1]!nefin_factors__1[[#This Row],[HML]]/F1918-1</f>
        <v>1.8641770165233273E-2</v>
      </c>
      <c r="H1919" s="5">
        <v>15946425923552</v>
      </c>
      <c r="I1919" s="6">
        <f>[1]!nefin_factors__1[[#This Row],[Risk_Free]]/H1918-1</f>
        <v>-0.89878981223440402</v>
      </c>
      <c r="J1919">
        <v>119738</v>
      </c>
      <c r="K1919">
        <v>120157</v>
      </c>
      <c r="L1919">
        <v>117911</v>
      </c>
      <c r="M1919">
        <v>118781</v>
      </c>
      <c r="N1919">
        <v>11535600</v>
      </c>
      <c r="O1919">
        <v>118781</v>
      </c>
      <c r="P1919">
        <v>-8.0090195423417904E-3</v>
      </c>
      <c r="Q1919">
        <v>-8.0412640191857704E-3</v>
      </c>
      <c r="R1919" s="8">
        <v>19.3985080718994</v>
      </c>
      <c r="S1919" s="8">
        <v>-3.5342065748352601E-2</v>
      </c>
      <c r="T1919" s="9">
        <v>-3.5981712761385197E-2</v>
      </c>
      <c r="U1919" s="12">
        <v>1.6136999999999999E-2</v>
      </c>
      <c r="V1919" s="16">
        <v>5.1215999999999999</v>
      </c>
      <c r="W1919" s="17">
        <f t="shared" si="29"/>
        <v>1.0536285071623075E-2</v>
      </c>
    </row>
    <row r="1920" spans="1:23" x14ac:dyDescent="0.2">
      <c r="A1920" s="14">
        <v>44362</v>
      </c>
      <c r="B1920" s="3">
        <v>-23098023932681</v>
      </c>
      <c r="C1920" s="3">
        <f>[1]!nefin_factors__1[[#This Row],[Rm_minus_Rf]]/B1919-1</f>
        <v>-1.0333429414595288</v>
      </c>
      <c r="D1920" s="3">
        <v>-237599937356813</v>
      </c>
      <c r="E1920" s="3">
        <f>[1]!nefin_factors__1[[#This Row],[SMB]]/D1919-1</f>
        <v>-1.2538176262084493</v>
      </c>
      <c r="F1920" s="3">
        <v>-383732015405633</v>
      </c>
      <c r="G1920" s="3">
        <f>[1]!nefin_factors__1[[#This Row],[HML]]/F1919-1</f>
        <v>-3.027309543069276</v>
      </c>
      <c r="H1920" s="3">
        <v>160607866513951</v>
      </c>
      <c r="I1920" s="4">
        <f>[1]!nefin_factors__1[[#This Row],[Risk_Free]]/H1919-1</f>
        <v>9.0717155859195984</v>
      </c>
      <c r="J1920">
        <v>118793</v>
      </c>
      <c r="K1920">
        <v>119942</v>
      </c>
      <c r="L1920">
        <v>118067</v>
      </c>
      <c r="M1920">
        <v>119396</v>
      </c>
      <c r="N1920">
        <v>9523000</v>
      </c>
      <c r="O1920">
        <v>119396</v>
      </c>
      <c r="P1920">
        <v>5.1775957434270197E-3</v>
      </c>
      <c r="Q1920">
        <v>5.1642380817949604E-3</v>
      </c>
      <c r="R1920" s="8">
        <v>19.1524963378906</v>
      </c>
      <c r="S1920" s="8">
        <v>-1.2681992506689801E-2</v>
      </c>
      <c r="T1920" s="9">
        <v>-1.2763095400799399E-2</v>
      </c>
      <c r="U1920" s="12">
        <v>1.6136999999999999E-2</v>
      </c>
      <c r="V1920" s="16">
        <v>5.1379000000000001</v>
      </c>
      <c r="W1920" s="17">
        <f t="shared" si="29"/>
        <v>3.1825991877538762E-3</v>
      </c>
    </row>
    <row r="1921" spans="1:23" x14ac:dyDescent="0.2">
      <c r="A1921" s="15">
        <v>44363</v>
      </c>
      <c r="B1921" s="5">
        <v>-574566838378447</v>
      </c>
      <c r="C1921" s="5">
        <f>[1]!nefin_factors__1[[#This Row],[Rm_minus_Rf]]/B1920-1</f>
        <v>23.875151227352493</v>
      </c>
      <c r="D1921" s="5">
        <v>674680541756266</v>
      </c>
      <c r="E1921" s="5">
        <f>[1]!nefin_factors__1[[#This Row],[SMB]]/D1920-1</f>
        <v>-3.8395653183320171</v>
      </c>
      <c r="F1921" s="5">
        <v>-87532738580101</v>
      </c>
      <c r="G1921" s="5">
        <f>[1]!nefin_factors__1[[#This Row],[HML]]/F1920-1</f>
        <v>-0.77189096800387524</v>
      </c>
      <c r="H1921" s="5">
        <v>16175114567174</v>
      </c>
      <c r="I1921" s="6">
        <f>[1]!nefin_factors__1[[#This Row],[Risk_Free]]/H1920-1</f>
        <v>-0.89928815494371217</v>
      </c>
      <c r="J1921">
        <v>119394</v>
      </c>
      <c r="K1921">
        <v>119397</v>
      </c>
      <c r="L1921">
        <v>116534</v>
      </c>
      <c r="M1921">
        <v>116677</v>
      </c>
      <c r="N1921">
        <v>9862800</v>
      </c>
      <c r="O1921">
        <v>116677</v>
      </c>
      <c r="P1921">
        <v>-2.27729572179972E-2</v>
      </c>
      <c r="Q1921">
        <v>-2.3036266238111398E-2</v>
      </c>
      <c r="R1921" s="8">
        <v>18.5420227050781</v>
      </c>
      <c r="S1921" s="8">
        <v>-3.1874363636073898E-2</v>
      </c>
      <c r="T1921" s="9">
        <v>-3.2393410495350501E-2</v>
      </c>
      <c r="U1921" s="12">
        <v>1.6136999999999999E-2</v>
      </c>
      <c r="V1921" s="16">
        <v>5.2464000000000004</v>
      </c>
      <c r="W1921" s="17">
        <f t="shared" si="29"/>
        <v>2.1117577220265193E-2</v>
      </c>
    </row>
    <row r="1922" spans="1:23" x14ac:dyDescent="0.2">
      <c r="A1922" s="14">
        <v>44364</v>
      </c>
      <c r="B1922" s="3">
        <v>-101755118636624</v>
      </c>
      <c r="C1922" s="3">
        <f>[1]!nefin_factors__1[[#This Row],[Rm_minus_Rf]]/B1921-1</f>
        <v>-0.82290116338109742</v>
      </c>
      <c r="D1922" s="3">
        <v>-114683513025286</v>
      </c>
      <c r="E1922" s="3">
        <f>[1]!nefin_factors__1[[#This Row],[SMB]]/D1921-1</f>
        <v>-1.169981948385161</v>
      </c>
      <c r="F1922" s="3">
        <v>-139727641915423</v>
      </c>
      <c r="G1922" s="3">
        <f>[1]!nefin_factors__1[[#This Row],[HML]]/F1921-1</f>
        <v>0.59629007594179817</v>
      </c>
      <c r="H1922" s="3">
        <v>161370089065249</v>
      </c>
      <c r="I1922" s="4">
        <f>[1]!nefin_factors__1[[#This Row],[Risk_Free]]/H1921-1</f>
        <v>8.9764417986093079</v>
      </c>
      <c r="J1922">
        <v>116679</v>
      </c>
      <c r="K1922">
        <v>117396</v>
      </c>
      <c r="L1922">
        <v>115583</v>
      </c>
      <c r="M1922">
        <v>116933</v>
      </c>
      <c r="N1922">
        <v>12517500</v>
      </c>
      <c r="O1922">
        <v>116933</v>
      </c>
      <c r="P1922">
        <v>2.1940913804776598E-3</v>
      </c>
      <c r="Q1922">
        <v>2.19168787701348E-3</v>
      </c>
      <c r="R1922" s="8">
        <v>18.268674850463899</v>
      </c>
      <c r="S1922" s="8">
        <v>-1.4742073125570901E-2</v>
      </c>
      <c r="T1922" s="9">
        <v>-1.48518173931531E-2</v>
      </c>
      <c r="U1922" s="12">
        <v>1.6136999999999999E-2</v>
      </c>
      <c r="V1922" s="16">
        <v>5.2091000000000003</v>
      </c>
      <c r="W1922" s="17">
        <f t="shared" si="29"/>
        <v>-7.1096370844769829E-3</v>
      </c>
    </row>
    <row r="1923" spans="1:23" x14ac:dyDescent="0.2">
      <c r="A1923" s="15">
        <v>44365</v>
      </c>
      <c r="B1923" s="5">
        <v>292638949946392</v>
      </c>
      <c r="C1923" s="5">
        <f>[1]!nefin_factors__1[[#This Row],[Rm_minus_Rf]]/B1922-1</f>
        <v>-3.8759138003802054</v>
      </c>
      <c r="D1923" s="5">
        <v>165967780494734</v>
      </c>
      <c r="E1923" s="5">
        <f>[1]!nefin_factors__1[[#This Row],[SMB]]/D1922-1</f>
        <v>-2.4471808206480437</v>
      </c>
      <c r="F1923" s="5">
        <v>686970097792886</v>
      </c>
      <c r="G1923" s="5">
        <f>[1]!nefin_factors__1[[#This Row],[HML]]/F1922-1</f>
        <v>-5.9164938903692965</v>
      </c>
      <c r="H1923" s="5">
        <v>161370089065249</v>
      </c>
      <c r="I1923" s="6">
        <f>[1]!nefin_factors__1[[#This Row],[Risk_Free]]/H1922-1</f>
        <v>0</v>
      </c>
      <c r="J1923">
        <v>116926</v>
      </c>
      <c r="K1923">
        <v>117981</v>
      </c>
      <c r="L1923">
        <v>116156</v>
      </c>
      <c r="M1923">
        <v>117869</v>
      </c>
      <c r="N1923">
        <v>5111300</v>
      </c>
      <c r="O1923">
        <v>117869</v>
      </c>
      <c r="P1923">
        <v>8.0045838215045996E-3</v>
      </c>
      <c r="Q1923">
        <v>7.9727170808061402E-3</v>
      </c>
      <c r="R1923" s="8">
        <v>18.997600555419901</v>
      </c>
      <c r="S1923" s="8">
        <v>3.9900305354525899E-2</v>
      </c>
      <c r="T1923" s="9">
        <v>3.9124848322362502E-2</v>
      </c>
      <c r="U1923" s="12">
        <v>1.993E-2</v>
      </c>
      <c r="V1923" s="16">
        <v>5.1463999999999999</v>
      </c>
      <c r="W1923" s="17">
        <f t="shared" si="29"/>
        <v>-1.2036628208327849E-2</v>
      </c>
    </row>
    <row r="1924" spans="1:23" x14ac:dyDescent="0.2">
      <c r="A1924" s="14">
        <v>44368</v>
      </c>
      <c r="B1924" s="3">
        <v>581556446461056</v>
      </c>
      <c r="C1924" s="3">
        <f>[1]!nefin_factors__1[[#This Row],[Rm_minus_Rf]]/B1923-1</f>
        <v>0.98728312334222856</v>
      </c>
      <c r="D1924" s="3">
        <v>625878729766609</v>
      </c>
      <c r="E1924" s="3">
        <f>[1]!nefin_factors__1[[#This Row],[SMB]]/D1923-1</f>
        <v>2.7710857366467434</v>
      </c>
      <c r="F1924" s="3">
        <v>993160594612931</v>
      </c>
      <c r="G1924" s="3">
        <f>[1]!nefin_factors__1[[#This Row],[HML]]/F1923-1</f>
        <v>0.4457115350490235</v>
      </c>
      <c r="H1924" s="3">
        <v>161370089065249</v>
      </c>
      <c r="I1924" s="4">
        <f>[1]!nefin_factors__1[[#This Row],[Risk_Free]]/H1923-1</f>
        <v>0</v>
      </c>
      <c r="J1924">
        <v>117866</v>
      </c>
      <c r="K1924">
        <v>117866</v>
      </c>
      <c r="L1924">
        <v>113172</v>
      </c>
      <c r="M1924">
        <v>113413</v>
      </c>
      <c r="N1924">
        <v>12254400</v>
      </c>
      <c r="O1924">
        <v>113413</v>
      </c>
      <c r="P1924">
        <v>-3.7804681468409901E-2</v>
      </c>
      <c r="Q1924">
        <v>-3.85378151083847E-2</v>
      </c>
      <c r="R1924" s="8">
        <v>17.83131980896</v>
      </c>
      <c r="S1924" s="8">
        <v>-6.1390950033804501E-2</v>
      </c>
      <c r="T1924" s="9">
        <v>-6.3356233684289401E-2</v>
      </c>
      <c r="U1924" s="12">
        <v>1.993E-2</v>
      </c>
      <c r="V1924" s="16">
        <v>5.2409999999999997</v>
      </c>
      <c r="W1924" s="17">
        <f t="shared" ref="W1924:W1987" si="30">V1924/V1923-1</f>
        <v>1.8381781439452682E-2</v>
      </c>
    </row>
    <row r="1925" spans="1:23" x14ac:dyDescent="0.2">
      <c r="A1925" s="15">
        <v>44369</v>
      </c>
      <c r="B1925" s="5">
        <v>-479836056309293</v>
      </c>
      <c r="C1925" s="5">
        <f>[1]!nefin_factors__1[[#This Row],[Rm_minus_Rf]]/B1924-1</f>
        <v>-1.8250893945535953</v>
      </c>
      <c r="D1925" s="5">
        <v>-135609619785274</v>
      </c>
      <c r="E1925" s="5">
        <f>[1]!nefin_factors__1[[#This Row],[SMB]]/D1924-1</f>
        <v>-1.2166707595828397</v>
      </c>
      <c r="F1925" s="5">
        <v>-666910617445731</v>
      </c>
      <c r="G1925" s="5">
        <f>[1]!nefin_factors__1[[#This Row],[HML]]/F1924-1</f>
        <v>-1.6715033007382347</v>
      </c>
      <c r="H1925" s="5">
        <v>161370089065249</v>
      </c>
      <c r="I1925" s="6">
        <f>[1]!nefin_factors__1[[#This Row],[Risk_Free]]/H1924-1</f>
        <v>0</v>
      </c>
      <c r="J1925">
        <v>113413</v>
      </c>
      <c r="K1925">
        <v>116354</v>
      </c>
      <c r="L1925">
        <v>112435</v>
      </c>
      <c r="M1925">
        <v>115361</v>
      </c>
      <c r="N1925">
        <v>13890600</v>
      </c>
      <c r="O1925">
        <v>115361</v>
      </c>
      <c r="P1925">
        <v>1.71761614629715E-2</v>
      </c>
      <c r="Q1925">
        <v>1.7030318843878799E-2</v>
      </c>
      <c r="R1925" s="8">
        <v>18.4144592285156</v>
      </c>
      <c r="S1925" s="8">
        <v>3.2703099142591001E-2</v>
      </c>
      <c r="T1925" s="9">
        <v>3.2179732700295997E-2</v>
      </c>
      <c r="U1925" s="12">
        <v>1.993E-2</v>
      </c>
      <c r="V1925" s="16">
        <v>5.2774000000000001</v>
      </c>
      <c r="W1925" s="17">
        <f t="shared" si="30"/>
        <v>6.9452394581188681E-3</v>
      </c>
    </row>
    <row r="1926" spans="1:23" x14ac:dyDescent="0.2">
      <c r="A1926" s="14">
        <v>44370</v>
      </c>
      <c r="B1926" s="3">
        <v>-298243502668841</v>
      </c>
      <c r="C1926" s="3">
        <f>[1]!nefin_factors__1[[#This Row],[Rm_minus_Rf]]/B1925-1</f>
        <v>-0.37844707844005987</v>
      </c>
      <c r="D1926" s="3">
        <v>218314709439319</v>
      </c>
      <c r="E1926" s="3">
        <f>[1]!nefin_factors__1[[#This Row],[SMB]]/D1925-1</f>
        <v>-2.6098762741537165</v>
      </c>
      <c r="F1926" s="3">
        <v>63155429964343</v>
      </c>
      <c r="G1926" s="3">
        <f>[1]!nefin_factors__1[[#This Row],[HML]]/F1925-1</f>
        <v>-1.0946984922900589</v>
      </c>
      <c r="H1926" s="3">
        <v>161370089065249</v>
      </c>
      <c r="I1926" s="4">
        <f>[1]!nefin_factors__1[[#This Row],[Risk_Free]]/H1925-1</f>
        <v>0</v>
      </c>
      <c r="J1926">
        <v>115370</v>
      </c>
      <c r="K1926">
        <v>116896</v>
      </c>
      <c r="L1926">
        <v>114286</v>
      </c>
      <c r="M1926">
        <v>114286</v>
      </c>
      <c r="N1926">
        <v>11155700</v>
      </c>
      <c r="O1926">
        <v>114286</v>
      </c>
      <c r="P1926">
        <v>-9.3185738681182996E-3</v>
      </c>
      <c r="Q1926">
        <v>-9.3622634055285994E-3</v>
      </c>
      <c r="R1926" s="8">
        <v>18.514686584472699</v>
      </c>
      <c r="S1926" s="8">
        <v>5.4428617595148098E-3</v>
      </c>
      <c r="T1926" s="9">
        <v>5.4281029167885502E-3</v>
      </c>
      <c r="U1926" s="12">
        <v>1.993E-2</v>
      </c>
      <c r="V1926" s="16">
        <v>5.2217000000000002</v>
      </c>
      <c r="W1926" s="17">
        <f t="shared" si="30"/>
        <v>-1.0554439686209061E-2</v>
      </c>
    </row>
    <row r="1927" spans="1:23" x14ac:dyDescent="0.2">
      <c r="A1927" s="15">
        <v>44371</v>
      </c>
      <c r="B1927" s="5">
        <v>717876583492096</v>
      </c>
      <c r="C1927" s="5">
        <f>[1]!nefin_factors__1[[#This Row],[Rm_minus_Rf]]/B1926-1</f>
        <v>-3.4070149963642313</v>
      </c>
      <c r="D1927" s="5">
        <v>62926499549828</v>
      </c>
      <c r="E1927" s="5">
        <f>[1]!nefin_factors__1[[#This Row],[SMB]]/D1926-1</f>
        <v>-0.7117624382184905</v>
      </c>
      <c r="F1927" s="5">
        <v>952781326266009</v>
      </c>
      <c r="G1927" s="5">
        <f>[1]!nefin_factors__1[[#This Row],[HML]]/F1926-1</f>
        <v>14.086293083649988</v>
      </c>
      <c r="H1927" s="5">
        <v>161370089065249</v>
      </c>
      <c r="I1927" s="6">
        <f>[1]!nefin_factors__1[[#This Row],[Risk_Free]]/H1926-1</f>
        <v>0</v>
      </c>
      <c r="J1927">
        <v>114300</v>
      </c>
      <c r="K1927">
        <v>117046</v>
      </c>
      <c r="L1927">
        <v>114300</v>
      </c>
      <c r="M1927">
        <v>116404</v>
      </c>
      <c r="N1927">
        <v>9253400</v>
      </c>
      <c r="O1927">
        <v>116404</v>
      </c>
      <c r="P1927">
        <v>1.85324536688658E-2</v>
      </c>
      <c r="Q1927">
        <v>1.8362820358579099E-2</v>
      </c>
      <c r="R1927" s="8">
        <v>20.236772537231399</v>
      </c>
      <c r="S1927" s="8">
        <v>9.3011887881646202E-2</v>
      </c>
      <c r="T1927" s="9">
        <v>8.8937085513704398E-2</v>
      </c>
      <c r="U1927" s="12">
        <v>1.993E-2</v>
      </c>
      <c r="V1927" s="16">
        <v>5.2012999999999998</v>
      </c>
      <c r="W1927" s="17">
        <f t="shared" si="30"/>
        <v>-3.9067736560890465E-3</v>
      </c>
    </row>
    <row r="1928" spans="1:23" x14ac:dyDescent="0.2">
      <c r="A1928" s="14">
        <v>44372</v>
      </c>
      <c r="B1928" s="3">
        <v>-187608164349461</v>
      </c>
      <c r="C1928" s="3">
        <f>[1]!nefin_factors__1[[#This Row],[Rm_minus_Rf]]/B1927-1</f>
        <v>-1.2613376291462872</v>
      </c>
      <c r="D1928" s="3">
        <v>-134701444839781</v>
      </c>
      <c r="E1928" s="3">
        <f>[1]!nefin_factors__1[[#This Row],[SMB]]/D1927-1</f>
        <v>-3.1406155721901934</v>
      </c>
      <c r="F1928" s="3">
        <v>511012060183993</v>
      </c>
      <c r="G1928" s="3">
        <f>[1]!nefin_factors__1[[#This Row],[HML]]/F1927-1</f>
        <v>-0.46366280898191903</v>
      </c>
      <c r="H1928" s="3">
        <v>161370089065249</v>
      </c>
      <c r="I1928" s="4">
        <f>[1]!nefin_factors__1[[#This Row],[Risk_Free]]/H1927-1</f>
        <v>0</v>
      </c>
      <c r="J1928">
        <v>116405</v>
      </c>
      <c r="K1928">
        <v>117270</v>
      </c>
      <c r="L1928">
        <v>115809</v>
      </c>
      <c r="M1928">
        <v>116181</v>
      </c>
      <c r="N1928">
        <v>9034100</v>
      </c>
      <c r="O1928">
        <v>116181</v>
      </c>
      <c r="P1928">
        <v>-1.91574172708842E-3</v>
      </c>
      <c r="Q1928">
        <v>-1.91757910727648E-3</v>
      </c>
      <c r="R1928" s="8">
        <v>19.6445217132568</v>
      </c>
      <c r="S1928" s="8">
        <v>-2.9266071103235002E-2</v>
      </c>
      <c r="T1928" s="9">
        <v>-2.9702865854540399E-2</v>
      </c>
      <c r="U1928" s="12">
        <v>1.993E-2</v>
      </c>
      <c r="V1928" s="16">
        <v>5.2351000000000001</v>
      </c>
      <c r="W1928" s="17">
        <f t="shared" si="30"/>
        <v>6.4983754061485044E-3</v>
      </c>
    </row>
    <row r="1929" spans="1:23" x14ac:dyDescent="0.2">
      <c r="A1929" s="15">
        <v>44375</v>
      </c>
      <c r="B1929" s="5">
        <v>217116947291866</v>
      </c>
      <c r="C1929" s="5">
        <f>[1]!nefin_factors__1[[#This Row],[Rm_minus_Rf]]/B1928-1</f>
        <v>-2.1572894391069166</v>
      </c>
      <c r="D1929" s="5">
        <v>481478692455425</v>
      </c>
      <c r="E1929" s="5">
        <f>[1]!nefin_factors__1[[#This Row],[SMB]]/D1928-1</f>
        <v>-4.5744137193785406</v>
      </c>
      <c r="F1929" s="5">
        <v>-144577931200513</v>
      </c>
      <c r="G1929" s="5">
        <f>[1]!nefin_factors__1[[#This Row],[HML]]/F1928-1</f>
        <v>-1.2829246948662167</v>
      </c>
      <c r="H1929" s="5">
        <v>161370089065249</v>
      </c>
      <c r="I1929" s="6">
        <f>[1]!nefin_factors__1[[#This Row],[Risk_Free]]/H1928-1</f>
        <v>0</v>
      </c>
      <c r="J1929">
        <v>116191</v>
      </c>
      <c r="K1929">
        <v>116312</v>
      </c>
      <c r="L1929">
        <v>114741</v>
      </c>
      <c r="M1929">
        <v>115063</v>
      </c>
      <c r="N1929">
        <v>9456800</v>
      </c>
      <c r="O1929">
        <v>115063</v>
      </c>
      <c r="P1929">
        <v>-9.6229159673269001E-3</v>
      </c>
      <c r="Q1929">
        <v>-9.6695154125150898E-3</v>
      </c>
      <c r="R1929" s="8">
        <v>19.8905334472656</v>
      </c>
      <c r="S1929" s="8">
        <v>1.2523172495605899E-2</v>
      </c>
      <c r="T1929" s="9">
        <v>1.2445406152080301E-2</v>
      </c>
      <c r="U1929" s="12">
        <v>1.993E-2</v>
      </c>
      <c r="V1929" s="16">
        <v>5.2473999999999998</v>
      </c>
      <c r="W1929" s="17">
        <f t="shared" si="30"/>
        <v>2.3495253194780741E-3</v>
      </c>
    </row>
    <row r="1930" spans="1:23" x14ac:dyDescent="0.2">
      <c r="A1930" s="14">
        <v>44376</v>
      </c>
      <c r="B1930" s="3">
        <v>-111231081328844</v>
      </c>
      <c r="C1930" s="3">
        <f>[1]!nefin_factors__1[[#This Row],[Rm_minus_Rf]]/B1929-1</f>
        <v>-1.5123095304915017</v>
      </c>
      <c r="D1930" s="3">
        <v>-340963121719618</v>
      </c>
      <c r="E1930" s="3">
        <f>[1]!nefin_factors__1[[#This Row],[SMB]]/D1929-1</f>
        <v>-1.708158277951592</v>
      </c>
      <c r="F1930" s="3">
        <v>-169739701374776</v>
      </c>
      <c r="G1930" s="3">
        <f>[1]!nefin_factors__1[[#This Row],[HML]]/F1929-1</f>
        <v>0.17403603693406366</v>
      </c>
      <c r="H1930" s="3">
        <v>161370089065249</v>
      </c>
      <c r="I1930" s="4">
        <f>[1]!nefin_factors__1[[#This Row],[Risk_Free]]/H1929-1</f>
        <v>0</v>
      </c>
      <c r="J1930">
        <v>115062</v>
      </c>
      <c r="K1930">
        <v>115062</v>
      </c>
      <c r="L1930">
        <v>113395</v>
      </c>
      <c r="M1930">
        <v>113794</v>
      </c>
      <c r="N1930">
        <v>10685500</v>
      </c>
      <c r="O1930">
        <v>113794</v>
      </c>
      <c r="P1930">
        <v>-1.10287407767918E-2</v>
      </c>
      <c r="Q1930">
        <v>-1.1090008223337699E-2</v>
      </c>
      <c r="R1930" s="8">
        <v>19.453178405761701</v>
      </c>
      <c r="S1930" s="8">
        <v>-2.1988100151433002E-2</v>
      </c>
      <c r="T1930" s="9">
        <v>-2.2233441487021499E-2</v>
      </c>
      <c r="U1930" s="12">
        <v>1.993E-2</v>
      </c>
      <c r="V1930" s="16">
        <v>5.2495000000000003</v>
      </c>
      <c r="W1930" s="17">
        <f t="shared" si="30"/>
        <v>4.0019819339098817E-4</v>
      </c>
    </row>
    <row r="1931" spans="1:23" x14ac:dyDescent="0.2">
      <c r="A1931" s="15">
        <v>44377</v>
      </c>
      <c r="B1931" s="5">
        <v>-492365486631722</v>
      </c>
      <c r="C1931" s="5">
        <f>[1]!nefin_factors__1[[#This Row],[Rm_minus_Rf]]/B1930-1</f>
        <v>3.4265099354387356</v>
      </c>
      <c r="D1931" s="5">
        <v>112145596094968</v>
      </c>
      <c r="E1931" s="5">
        <f>[1]!nefin_factors__1[[#This Row],[SMB]]/D1930-1</f>
        <v>-1.3289082864134145</v>
      </c>
      <c r="F1931" s="5">
        <v>-30898395038979</v>
      </c>
      <c r="G1931" s="5">
        <f>[1]!nefin_factors__1[[#This Row],[HML]]/F1930-1</f>
        <v>-0.81796601037516248</v>
      </c>
      <c r="H1931" s="5">
        <v>161370089065249</v>
      </c>
      <c r="I1931" s="6">
        <f>[1]!nefin_factors__1[[#This Row],[Risk_Free]]/H1930-1</f>
        <v>0</v>
      </c>
      <c r="J1931">
        <v>113794</v>
      </c>
      <c r="K1931">
        <v>113794</v>
      </c>
      <c r="L1931">
        <v>111157</v>
      </c>
      <c r="M1931">
        <v>111439</v>
      </c>
      <c r="N1931">
        <v>14827600</v>
      </c>
      <c r="O1931">
        <v>111439</v>
      </c>
      <c r="P1931">
        <v>-2.06952914916428E-2</v>
      </c>
      <c r="Q1931">
        <v>-2.0912440232271901E-2</v>
      </c>
      <c r="R1931" s="8">
        <v>18.6058025360107</v>
      </c>
      <c r="S1931" s="8">
        <v>-4.3559764480440702E-2</v>
      </c>
      <c r="T1931" s="9">
        <v>-4.4536974521729798E-2</v>
      </c>
      <c r="U1931" s="12">
        <v>1.993E-2</v>
      </c>
      <c r="V1931" s="16">
        <v>5.2584999999999997</v>
      </c>
      <c r="W1931" s="17">
        <f t="shared" si="30"/>
        <v>1.7144489951423925E-3</v>
      </c>
    </row>
    <row r="1932" spans="1:23" x14ac:dyDescent="0.2">
      <c r="A1932" s="14">
        <v>44378</v>
      </c>
      <c r="B1932" s="3">
        <v>-81440382374867</v>
      </c>
      <c r="C1932" s="3">
        <f>[1]!nefin_factors__1[[#This Row],[Rm_minus_Rf]]/B1931-1</f>
        <v>-0.83459364113434997</v>
      </c>
      <c r="D1932" s="3">
        <v>-465962432669307</v>
      </c>
      <c r="E1932" s="3">
        <f>[1]!nefin_factors__1[[#This Row],[SMB]]/D1931-1</f>
        <v>-5.1549775371893967</v>
      </c>
      <c r="F1932" s="3">
        <v>-139508877727488</v>
      </c>
      <c r="G1932" s="3">
        <f>[1]!nefin_factors__1[[#This Row],[HML]]/F1931-1</f>
        <v>3.5150849275988127</v>
      </c>
      <c r="H1932" s="3">
        <v>161370089065249</v>
      </c>
      <c r="I1932" s="4">
        <f>[1]!nefin_factors__1[[#This Row],[Risk_Free]]/H1931-1</f>
        <v>0</v>
      </c>
      <c r="J1932">
        <v>111435</v>
      </c>
      <c r="K1932">
        <v>111435</v>
      </c>
      <c r="L1932">
        <v>107520</v>
      </c>
      <c r="M1932">
        <v>108844</v>
      </c>
      <c r="N1932">
        <v>11500200</v>
      </c>
      <c r="O1932">
        <v>108844</v>
      </c>
      <c r="P1932">
        <v>-2.3286282181283001E-2</v>
      </c>
      <c r="Q1932">
        <v>-2.3561691558516298E-2</v>
      </c>
      <c r="R1932" s="8">
        <v>18.769811630248999</v>
      </c>
      <c r="S1932" s="8">
        <v>8.8149432909894205E-3</v>
      </c>
      <c r="T1932" s="9">
        <v>8.7763184960048396E-3</v>
      </c>
      <c r="U1932" s="12">
        <v>1.993E-2</v>
      </c>
      <c r="V1932" s="16">
        <v>5.3025000000000002</v>
      </c>
      <c r="W1932" s="17">
        <f t="shared" si="30"/>
        <v>8.3674051535609362E-3</v>
      </c>
    </row>
    <row r="1933" spans="1:23" x14ac:dyDescent="0.2">
      <c r="A1933" s="15">
        <v>44379</v>
      </c>
      <c r="B1933" s="5">
        <v>155325965459769</v>
      </c>
      <c r="C1933" s="5">
        <f>[1]!nefin_factors__1[[#This Row],[Rm_minus_Rf]]/B1932-1</f>
        <v>-2.9072352183319752</v>
      </c>
      <c r="D1933" s="5">
        <v>320893429480826</v>
      </c>
      <c r="E1933" s="5">
        <f>[1]!nefin_factors__1[[#This Row],[SMB]]/D1932-1</f>
        <v>-1.6886680276831751</v>
      </c>
      <c r="F1933" s="5">
        <v>-15645818173779</v>
      </c>
      <c r="G1933" s="5">
        <f>[1]!nefin_factors__1[[#This Row],[HML]]/F1932-1</f>
        <v>-0.88785073445762341</v>
      </c>
      <c r="H1933" s="5">
        <v>16175114567174</v>
      </c>
      <c r="I1933" s="6">
        <f>[1]!nefin_factors__1[[#This Row],[Risk_Free]]/H1932-1</f>
        <v>-0.89976386168669897</v>
      </c>
      <c r="J1933">
        <v>108859</v>
      </c>
      <c r="K1933">
        <v>110923</v>
      </c>
      <c r="L1933">
        <v>108859</v>
      </c>
      <c r="M1933">
        <v>110250</v>
      </c>
      <c r="N1933">
        <v>11247700</v>
      </c>
      <c r="O1933">
        <v>110250</v>
      </c>
      <c r="P1933">
        <v>1.2917570100327E-2</v>
      </c>
      <c r="Q1933">
        <v>1.28348498928046E-2</v>
      </c>
      <c r="R1933" s="8">
        <v>19.990760803222699</v>
      </c>
      <c r="S1933" s="8">
        <v>6.5048557600118698E-2</v>
      </c>
      <c r="T1933" s="9">
        <v>6.3020392112735898E-2</v>
      </c>
      <c r="U1933" s="12">
        <v>1.993E-2</v>
      </c>
      <c r="V1933" s="16">
        <v>5.4180000000000001</v>
      </c>
      <c r="W1933" s="17">
        <f t="shared" si="30"/>
        <v>2.1782178217821802E-2</v>
      </c>
    </row>
    <row r="1934" spans="1:23" x14ac:dyDescent="0.2">
      <c r="A1934" s="14">
        <v>44382</v>
      </c>
      <c r="B1934" s="3">
        <v>-429297792074039</v>
      </c>
      <c r="C1934" s="3">
        <f>[1]!nefin_factors__1[[#This Row],[Rm_minus_Rf]]/B1933-1</f>
        <v>-3.7638507882652208</v>
      </c>
      <c r="D1934" s="3">
        <v>104516645204179</v>
      </c>
      <c r="E1934" s="3">
        <f>[1]!nefin_factors__1[[#This Row],[SMB]]/D1933-1</f>
        <v>-0.67429484183182975</v>
      </c>
      <c r="F1934" s="3">
        <v>332195085952559</v>
      </c>
      <c r="G1934" s="3">
        <f>[1]!nefin_factors__1[[#This Row],[HML]]/F1933-1</f>
        <v>-22.232196505344056</v>
      </c>
      <c r="H1934" s="3">
        <v>164417522076077</v>
      </c>
      <c r="I1934" s="4">
        <f>[1]!nefin_factors__1[[#This Row],[Risk_Free]]/H1933-1</f>
        <v>9.1648443597270202</v>
      </c>
      <c r="J1934">
        <v>110252</v>
      </c>
      <c r="K1934">
        <v>113321</v>
      </c>
      <c r="L1934">
        <v>110251</v>
      </c>
      <c r="M1934">
        <v>112282</v>
      </c>
      <c r="N1934">
        <v>12158600</v>
      </c>
      <c r="O1934">
        <v>112282</v>
      </c>
      <c r="P1934">
        <v>1.84308390022676E-2</v>
      </c>
      <c r="Q1934">
        <v>1.82630496194125E-2</v>
      </c>
      <c r="R1934" s="8">
        <v>20.036317825317401</v>
      </c>
      <c r="S1934" s="8">
        <v>2.2789038667994101E-3</v>
      </c>
      <c r="T1934" s="9">
        <v>2.2763111037403601E-3</v>
      </c>
      <c r="U1934" s="12">
        <v>1.993E-2</v>
      </c>
      <c r="V1934" s="16">
        <v>5.4273999999999996</v>
      </c>
      <c r="W1934" s="17">
        <f t="shared" si="30"/>
        <v>1.7349575489109537E-3</v>
      </c>
    </row>
    <row r="1935" spans="1:23" x14ac:dyDescent="0.2">
      <c r="A1935" s="15">
        <v>44383</v>
      </c>
      <c r="B1935" s="5">
        <v>-140406393043118</v>
      </c>
      <c r="C1935" s="5">
        <f>[1]!nefin_factors__1[[#This Row],[Rm_minus_Rf]]/B1934-1</f>
        <v>-0.6729394009580586</v>
      </c>
      <c r="D1935" s="5">
        <v>-973012720312208</v>
      </c>
      <c r="E1935" s="5">
        <f>[1]!nefin_factors__1[[#This Row],[SMB]]/D1934-1</f>
        <v>-10.309643630556399</v>
      </c>
      <c r="F1935" s="5">
        <v>-461883024565206</v>
      </c>
      <c r="G1935" s="5">
        <f>[1]!nefin_factors__1[[#This Row],[HML]]/F1934-1</f>
        <v>-2.3903969206551352</v>
      </c>
      <c r="H1935" s="5">
        <v>165559708860785</v>
      </c>
      <c r="I1935" s="6">
        <f>[1]!nefin_factors__1[[#This Row],[Risk_Free]]/H1934-1</f>
        <v>6.9468677686281843E-3</v>
      </c>
      <c r="J1935">
        <v>112282</v>
      </c>
      <c r="K1935">
        <v>114330</v>
      </c>
      <c r="L1935">
        <v>112281</v>
      </c>
      <c r="M1935">
        <v>114064</v>
      </c>
      <c r="N1935">
        <v>11476300</v>
      </c>
      <c r="O1935">
        <v>114064</v>
      </c>
      <c r="P1935">
        <v>1.5870753994406999E-2</v>
      </c>
      <c r="Q1935">
        <v>1.5746130428904801E-2</v>
      </c>
      <c r="R1935" s="8">
        <v>21.4212741851807</v>
      </c>
      <c r="S1935" s="8">
        <v>6.9122299413382396E-2</v>
      </c>
      <c r="T1935" s="9">
        <v>6.6838030937255197E-2</v>
      </c>
      <c r="U1935" s="12">
        <v>1.993E-2</v>
      </c>
      <c r="V1935" s="16">
        <v>5.3685999999999998</v>
      </c>
      <c r="W1935" s="17">
        <f t="shared" si="30"/>
        <v>-1.0833916792570952E-2</v>
      </c>
    </row>
    <row r="1936" spans="1:23" x14ac:dyDescent="0.2">
      <c r="A1936" s="14">
        <v>44384</v>
      </c>
      <c r="B1936" s="3">
        <v>136420548588822</v>
      </c>
      <c r="C1936" s="3">
        <f>[1]!nefin_factors__1[[#This Row],[Rm_minus_Rf]]/B1935-1</f>
        <v>-1.9716120871143525</v>
      </c>
      <c r="D1936" s="3">
        <v>-301468800124477</v>
      </c>
      <c r="E1936" s="3">
        <f>[1]!nefin_factors__1[[#This Row],[SMB]]/D1935-1</f>
        <v>-0.69016972354919925</v>
      </c>
      <c r="F1936" s="3">
        <v>-139801540102607</v>
      </c>
      <c r="G1936" s="3">
        <f>[1]!nefin_factors__1[[#This Row],[HML]]/F1935-1</f>
        <v>-0.69732262787919241</v>
      </c>
      <c r="H1936" s="3">
        <v>167082115466233</v>
      </c>
      <c r="I1936" s="4">
        <f>[1]!nefin_factors__1[[#This Row],[Risk_Free]]/H1935-1</f>
        <v>9.1955139080859283E-3</v>
      </c>
      <c r="J1936">
        <v>114062</v>
      </c>
      <c r="K1936">
        <v>114062</v>
      </c>
      <c r="L1936">
        <v>112505</v>
      </c>
      <c r="M1936">
        <v>113283</v>
      </c>
      <c r="N1936">
        <v>9121200</v>
      </c>
      <c r="O1936">
        <v>113283</v>
      </c>
      <c r="P1936">
        <v>-6.8470332444943204E-3</v>
      </c>
      <c r="Q1936">
        <v>-6.8705817296853596E-3</v>
      </c>
      <c r="R1936" s="8">
        <v>21.585283279418899</v>
      </c>
      <c r="S1936" s="8">
        <v>7.6563650145398104E-3</v>
      </c>
      <c r="T1936" s="9">
        <v>7.6272038032580997E-3</v>
      </c>
      <c r="U1936" s="12">
        <v>1.993E-2</v>
      </c>
      <c r="V1936" s="16">
        <v>5.3017000000000003</v>
      </c>
      <c r="W1936" s="17">
        <f t="shared" si="30"/>
        <v>-1.2461349327571369E-2</v>
      </c>
    </row>
    <row r="1937" spans="1:23" x14ac:dyDescent="0.2">
      <c r="A1937" s="15">
        <v>44385</v>
      </c>
      <c r="B1937" s="5">
        <v>-12597968736626</v>
      </c>
      <c r="C1937" s="5">
        <f>[1]!nefin_factors__1[[#This Row],[Rm_minus_Rf]]/B1936-1</f>
        <v>-1.0923465626472217</v>
      </c>
      <c r="D1937" s="5">
        <v>-211971917903056</v>
      </c>
      <c r="E1937" s="5">
        <f>[1]!nefin_factors__1[[#This Row],[SMB]]/D1936-1</f>
        <v>-0.29686946770102773</v>
      </c>
      <c r="F1937" s="5">
        <v>7993829776.5549898</v>
      </c>
      <c r="G1937" s="5">
        <f>[1]!nefin_factors__1[[#This Row],[HML]]/F1936-1</f>
        <v>-1.0000571798405846</v>
      </c>
      <c r="H1937" s="5">
        <v>167082115466233</v>
      </c>
      <c r="I1937" s="6">
        <f>[1]!nefin_factors__1[[#This Row],[Risk_Free]]/H1936-1</f>
        <v>0</v>
      </c>
      <c r="J1937">
        <v>113283</v>
      </c>
      <c r="K1937">
        <v>114432</v>
      </c>
      <c r="L1937">
        <v>112360</v>
      </c>
      <c r="M1937">
        <v>113583</v>
      </c>
      <c r="N1937">
        <v>10739700</v>
      </c>
      <c r="O1937">
        <v>113583</v>
      </c>
      <c r="P1937">
        <v>2.6482349514049802E-3</v>
      </c>
      <c r="Q1937">
        <v>2.6447345557775201E-3</v>
      </c>
      <c r="R1937" s="8">
        <v>21.639951705932599</v>
      </c>
      <c r="S1937" s="8">
        <v>2.5326712559661201E-3</v>
      </c>
      <c r="T1937" s="9">
        <v>2.5294694490641499E-3</v>
      </c>
      <c r="U1937" s="12">
        <v>1.993E-2</v>
      </c>
      <c r="V1937" s="16">
        <v>5.2465000000000002</v>
      </c>
      <c r="W1937" s="17">
        <f t="shared" si="30"/>
        <v>-1.0411754720184074E-2</v>
      </c>
    </row>
    <row r="1938" spans="1:23" x14ac:dyDescent="0.2">
      <c r="A1938" s="14">
        <v>44389</v>
      </c>
      <c r="B1938" s="3">
        <v>170721808721767</v>
      </c>
      <c r="C1938" s="3">
        <f>[1]!nefin_factors__1[[#This Row],[Rm_minus_Rf]]/B1937-1</f>
        <v>-14.551534560125434</v>
      </c>
      <c r="D1938" s="3">
        <v>-340821692183321</v>
      </c>
      <c r="E1938" s="3">
        <f>[1]!nefin_factors__1[[#This Row],[SMB]]/D1937-1</f>
        <v>0.60786247326966025</v>
      </c>
      <c r="F1938" s="3">
        <v>622300662680318</v>
      </c>
      <c r="G1938" s="3">
        <f>[1]!nefin_factors__1[[#This Row],[HML]]/F1937-1</f>
        <v>77846.624990146316</v>
      </c>
      <c r="H1938" s="3">
        <v>171265736976345</v>
      </c>
      <c r="I1938" s="4">
        <f>[1]!nefin_factors__1[[#This Row],[Risk_Free]]/H1937-1</f>
        <v>2.5039313743651315E-2</v>
      </c>
      <c r="J1938">
        <v>113584</v>
      </c>
      <c r="K1938">
        <v>113584</v>
      </c>
      <c r="L1938">
        <v>109981</v>
      </c>
      <c r="M1938">
        <v>110124</v>
      </c>
      <c r="N1938">
        <v>13190800</v>
      </c>
      <c r="O1938">
        <v>110124</v>
      </c>
      <c r="P1938">
        <v>-3.04535009640527E-2</v>
      </c>
      <c r="Q1938">
        <v>-3.0926843576488301E-2</v>
      </c>
      <c r="R1938" s="8">
        <v>20.5647888183594</v>
      </c>
      <c r="S1938" s="8">
        <v>-4.9684162986301197E-2</v>
      </c>
      <c r="T1938" s="9">
        <v>-5.0960889625715503E-2</v>
      </c>
      <c r="U1938" s="12">
        <v>1.993E-2</v>
      </c>
      <c r="V1938" s="16">
        <v>5.2428999999999997</v>
      </c>
      <c r="W1938" s="17">
        <f t="shared" si="30"/>
        <v>-6.8617173353668903E-4</v>
      </c>
    </row>
    <row r="1939" spans="1:23" x14ac:dyDescent="0.2">
      <c r="A1939" s="15">
        <v>44390</v>
      </c>
      <c r="B1939" s="5">
        <v>322599797007374</v>
      </c>
      <c r="C1939" s="5">
        <f>[1]!nefin_factors__1[[#This Row],[Rm_minus_Rf]]/B1938-1</f>
        <v>0.88962265232984605</v>
      </c>
      <c r="D1939" s="5">
        <v>125008457264776</v>
      </c>
      <c r="E1939" s="5">
        <f>[1]!nefin_factors__1[[#This Row],[SMB]]/D1938-1</f>
        <v>-1.3667855072955173</v>
      </c>
      <c r="F1939" s="5">
        <v>-442222133013169</v>
      </c>
      <c r="G1939" s="5">
        <f>[1]!nefin_factors__1[[#This Row],[HML]]/F1938-1</f>
        <v>-1.7106245574421681</v>
      </c>
      <c r="H1939" s="5">
        <v>172785965515621</v>
      </c>
      <c r="I1939" s="6">
        <f>[1]!nefin_factors__1[[#This Row],[Risk_Free]]/H1938-1</f>
        <v>8.8764312472258133E-3</v>
      </c>
      <c r="J1939">
        <v>110125</v>
      </c>
      <c r="K1939">
        <v>112028</v>
      </c>
      <c r="L1939">
        <v>110125</v>
      </c>
      <c r="M1939">
        <v>111107</v>
      </c>
      <c r="N1939">
        <v>11372600</v>
      </c>
      <c r="O1939">
        <v>111107</v>
      </c>
      <c r="P1939">
        <v>8.9263012603972795E-3</v>
      </c>
      <c r="Q1939">
        <v>8.88669733652429E-3</v>
      </c>
      <c r="R1939" s="8">
        <v>20.40989112854</v>
      </c>
      <c r="S1939" s="8">
        <v>-7.5321799405521101E-3</v>
      </c>
      <c r="T1939" s="9">
        <v>-7.5606900603384999E-3</v>
      </c>
      <c r="U1939" s="12">
        <v>1.993E-2</v>
      </c>
      <c r="V1939" s="16">
        <v>5.22</v>
      </c>
      <c r="W1939" s="17">
        <f t="shared" si="30"/>
        <v>-4.3678117072611933E-3</v>
      </c>
    </row>
    <row r="1940" spans="1:23" x14ac:dyDescent="0.2">
      <c r="A1940" s="14">
        <v>44391</v>
      </c>
      <c r="B1940" s="3">
        <v>269458218399736</v>
      </c>
      <c r="C1940" s="3">
        <f>[1]!nefin_factors__1[[#This Row],[Rm_minus_Rf]]/B1939-1</f>
        <v>-0.1647291135971275</v>
      </c>
      <c r="D1940" s="3">
        <v>-128636124990514</v>
      </c>
      <c r="E1940" s="3">
        <f>[1]!nefin_factors__1[[#This Row],[SMB]]/D1939-1</f>
        <v>-2.0290193784093695</v>
      </c>
      <c r="F1940" s="3">
        <v>-489984740033297</v>
      </c>
      <c r="G1940" s="3">
        <f>[1]!nefin_factors__1[[#This Row],[HML]]/F1939-1</f>
        <v>0.10800591705957352</v>
      </c>
      <c r="H1940" s="3">
        <v>173545862346414</v>
      </c>
      <c r="I1940" s="4">
        <f>[1]!nefin_factors__1[[#This Row],[Risk_Free]]/H1939-1</f>
        <v>4.3979082937977143E-3</v>
      </c>
      <c r="J1940">
        <v>111117</v>
      </c>
      <c r="K1940">
        <v>112371</v>
      </c>
      <c r="L1940">
        <v>110743</v>
      </c>
      <c r="M1940">
        <v>110979</v>
      </c>
      <c r="N1940">
        <v>13160600</v>
      </c>
      <c r="O1940">
        <v>110979</v>
      </c>
      <c r="P1940">
        <v>-1.1520426255771099E-3</v>
      </c>
      <c r="Q1940">
        <v>-1.1527067367879599E-3</v>
      </c>
      <c r="R1940" s="8">
        <v>19.608074188232401</v>
      </c>
      <c r="S1940" s="8">
        <v>-3.9285703939223898E-2</v>
      </c>
      <c r="T1940" s="9">
        <v>-4.0078212797829499E-2</v>
      </c>
      <c r="U1940" s="12">
        <v>1.993E-2</v>
      </c>
      <c r="V1940" s="16">
        <v>5.1951999999999998</v>
      </c>
      <c r="W1940" s="17">
        <f t="shared" si="30"/>
        <v>-4.750957854406157E-3</v>
      </c>
    </row>
    <row r="1941" spans="1:23" x14ac:dyDescent="0.2">
      <c r="A1941" s="15">
        <v>44392</v>
      </c>
      <c r="B1941" s="5">
        <v>-630381155981036</v>
      </c>
      <c r="C1941" s="5">
        <f>[1]!nefin_factors__1[[#This Row],[Rm_minus_Rf]]/B1940-1</f>
        <v>-3.339439337663392</v>
      </c>
      <c r="D1941" s="5">
        <v>266229870579679</v>
      </c>
      <c r="E1941" s="5">
        <f>[1]!nefin_factors__1[[#This Row],[SMB]]/D1940-1</f>
        <v>-3.0696353423216967</v>
      </c>
      <c r="F1941" s="5">
        <v>-664903446253914</v>
      </c>
      <c r="G1941" s="5">
        <f>[1]!nefin_factors__1[[#This Row],[HML]]/F1940-1</f>
        <v>0.3569880690748255</v>
      </c>
      <c r="H1941" s="5">
        <v>174685435949451</v>
      </c>
      <c r="I1941" s="6">
        <f>[1]!nefin_factors__1[[#This Row],[Risk_Free]]/H1940-1</f>
        <v>6.5664118269919136E-3</v>
      </c>
      <c r="J1941">
        <v>110980</v>
      </c>
      <c r="K1941">
        <v>113020</v>
      </c>
      <c r="L1941">
        <v>110980</v>
      </c>
      <c r="M1941">
        <v>112900</v>
      </c>
      <c r="N1941">
        <v>10779100</v>
      </c>
      <c r="O1941">
        <v>112900</v>
      </c>
      <c r="P1941">
        <v>1.7309581091918401E-2</v>
      </c>
      <c r="Q1941">
        <v>1.7161476931003599E-2</v>
      </c>
      <c r="R1941" s="8">
        <v>21.0841464996338</v>
      </c>
      <c r="S1941" s="8">
        <v>7.5278800826203293E-2</v>
      </c>
      <c r="T1941" s="9">
        <v>7.2579977560101303E-2</v>
      </c>
      <c r="U1941" s="12">
        <v>1.993E-2</v>
      </c>
      <c r="V1941" s="16">
        <v>5.1433</v>
      </c>
      <c r="W1941" s="17">
        <f t="shared" si="30"/>
        <v>-9.9899907607021721E-3</v>
      </c>
    </row>
    <row r="1942" spans="1:23" x14ac:dyDescent="0.2">
      <c r="A1942" s="14">
        <v>44393</v>
      </c>
      <c r="B1942" s="3">
        <v>-105269954132157</v>
      </c>
      <c r="C1942" s="3">
        <f>[1]!nefin_factors__1[[#This Row],[Rm_minus_Rf]]/B1941-1</f>
        <v>-0.83300586774626895</v>
      </c>
      <c r="D1942" s="3">
        <v>-763260590198147</v>
      </c>
      <c r="E1942" s="3">
        <f>[1]!nefin_factors__1[[#This Row],[SMB]]/D1941-1</f>
        <v>-3.8669231913618551</v>
      </c>
      <c r="F1942" s="3">
        <v>-595286086443161</v>
      </c>
      <c r="G1942" s="3">
        <f>[1]!nefin_factors__1[[#This Row],[HML]]/F1941-1</f>
        <v>-0.1047029613141266</v>
      </c>
      <c r="H1942" s="3">
        <v>175065221406756</v>
      </c>
      <c r="I1942" s="4">
        <f>[1]!nefin_factors__1[[#This Row],[Risk_Free]]/H1941-1</f>
        <v>2.1741105962314045E-3</v>
      </c>
      <c r="J1942">
        <v>112900</v>
      </c>
      <c r="K1942">
        <v>112900</v>
      </c>
      <c r="L1942">
        <v>109979</v>
      </c>
      <c r="M1942">
        <v>110393</v>
      </c>
      <c r="N1942">
        <v>11814200</v>
      </c>
      <c r="O1942">
        <v>110393</v>
      </c>
      <c r="P1942">
        <v>-2.2205491585473899E-2</v>
      </c>
      <c r="Q1942">
        <v>-2.2455745119955399E-2</v>
      </c>
      <c r="R1942" s="8">
        <v>19.598962783813501</v>
      </c>
      <c r="S1942" s="8">
        <v>-7.0440779561369002E-2</v>
      </c>
      <c r="T1942" s="9">
        <v>-7.3044761705328407E-2</v>
      </c>
      <c r="U1942" s="12">
        <v>1.993E-2</v>
      </c>
      <c r="V1942" s="16">
        <v>5.1576000000000004</v>
      </c>
      <c r="W1942" s="17">
        <f t="shared" si="30"/>
        <v>2.7803161394437392E-3</v>
      </c>
    </row>
    <row r="1943" spans="1:23" x14ac:dyDescent="0.2">
      <c r="A1943" s="15">
        <v>44396</v>
      </c>
      <c r="B1943" s="5">
        <v>-134638157592205</v>
      </c>
      <c r="C1943" s="5">
        <f>[1]!nefin_factors__1[[#This Row],[Rm_minus_Rf]]/B1942-1</f>
        <v>0.27897992073957645</v>
      </c>
      <c r="D1943" s="5">
        <v>-319080253233135</v>
      </c>
      <c r="E1943" s="5">
        <f>[1]!nefin_factors__1[[#This Row],[SMB]]/D1942-1</f>
        <v>-0.58195109595492167</v>
      </c>
      <c r="F1943" s="5">
        <v>4147624356037</v>
      </c>
      <c r="G1943" s="5">
        <f>[1]!nefin_factors__1[[#This Row],[HML]]/F1942-1</f>
        <v>-1.0069674471661501</v>
      </c>
      <c r="H1943" s="5">
        <v>176963605925673</v>
      </c>
      <c r="I1943" s="6">
        <f>[1]!nefin_factors__1[[#This Row],[Risk_Free]]/H1942-1</f>
        <v>1.084387009402743E-2</v>
      </c>
      <c r="J1943">
        <v>110397</v>
      </c>
      <c r="K1943">
        <v>111691</v>
      </c>
      <c r="L1943">
        <v>110087</v>
      </c>
      <c r="M1943">
        <v>110458</v>
      </c>
      <c r="N1943">
        <v>10379000</v>
      </c>
      <c r="O1943">
        <v>110458</v>
      </c>
      <c r="P1943">
        <v>5.8880544962081104E-4</v>
      </c>
      <c r="Q1943">
        <v>5.8863217170670903E-4</v>
      </c>
      <c r="R1943" s="8">
        <v>18.441795349121101</v>
      </c>
      <c r="S1943" s="8">
        <v>-5.9042279301028698E-2</v>
      </c>
      <c r="T1943" s="9">
        <v>-6.0857070587900297E-2</v>
      </c>
      <c r="U1943" s="12">
        <v>1.993E-2</v>
      </c>
      <c r="V1943" s="16">
        <v>5.1734999999999998</v>
      </c>
      <c r="W1943" s="17">
        <f t="shared" si="30"/>
        <v>3.0828292228941567E-3</v>
      </c>
    </row>
    <row r="1944" spans="1:23" x14ac:dyDescent="0.2">
      <c r="A1944" s="14">
        <v>44397</v>
      </c>
      <c r="B1944" s="3">
        <v>75528288594501</v>
      </c>
      <c r="C1944" s="3">
        <f>[1]!nefin_factors__1[[#This Row],[Rm_minus_Rf]]/B1943-1</f>
        <v>-1.5609723866191243</v>
      </c>
      <c r="D1944" s="3">
        <v>691617977246923</v>
      </c>
      <c r="E1944" s="3">
        <f>[1]!nefin_factors__1[[#This Row],[SMB]]/D1943-1</f>
        <v>-3.1675361299829308</v>
      </c>
      <c r="F1944" s="3">
        <v>869757018676735</v>
      </c>
      <c r="G1944" s="3">
        <f>[1]!nefin_factors__1[[#This Row],[HML]]/F1943-1</f>
        <v>208.70004610248174</v>
      </c>
      <c r="H1944" s="3">
        <v>178102202671893</v>
      </c>
      <c r="I1944" s="4">
        <f>[1]!nefin_factors__1[[#This Row],[Risk_Free]]/H1943-1</f>
        <v>6.4340729285219389E-3</v>
      </c>
      <c r="J1944">
        <v>110454</v>
      </c>
      <c r="K1944">
        <v>110614</v>
      </c>
      <c r="L1944">
        <v>108180</v>
      </c>
      <c r="M1944">
        <v>110560</v>
      </c>
      <c r="N1944">
        <v>13279200</v>
      </c>
      <c r="O1944">
        <v>110560</v>
      </c>
      <c r="P1944">
        <v>9.2342790925048501E-4</v>
      </c>
      <c r="Q1944">
        <v>9.2300181199191805E-4</v>
      </c>
      <c r="R1944" s="8">
        <v>18.952041625976602</v>
      </c>
      <c r="S1944" s="8">
        <v>2.7667928593502401E-2</v>
      </c>
      <c r="T1944" s="9">
        <v>2.7292088188606501E-2</v>
      </c>
      <c r="U1944" s="12">
        <v>1.993E-2</v>
      </c>
      <c r="V1944" s="16">
        <v>5.1684999999999999</v>
      </c>
      <c r="W1944" s="17">
        <f t="shared" si="30"/>
        <v>-9.6646370928765712E-4</v>
      </c>
    </row>
    <row r="1945" spans="1:23" x14ac:dyDescent="0.2">
      <c r="A1945" s="15">
        <v>44398</v>
      </c>
      <c r="B1945" s="5">
        <v>29616820432948</v>
      </c>
      <c r="C1945" s="5">
        <f>[1]!nefin_factors__1[[#This Row],[Rm_minus_Rf]]/B1944-1</f>
        <v>-0.60787115683296022</v>
      </c>
      <c r="D1945" s="5">
        <v>-221201989426888</v>
      </c>
      <c r="E1945" s="5">
        <f>[1]!nefin_factors__1[[#This Row],[SMB]]/D1944-1</f>
        <v>-1.3198326196022432</v>
      </c>
      <c r="F1945" s="5">
        <v>270365444311771</v>
      </c>
      <c r="G1945" s="5">
        <f>[1]!nefin_factors__1[[#This Row],[HML]]/F1944-1</f>
        <v>-0.68914830405955196</v>
      </c>
      <c r="H1945" s="5">
        <v>178861086465476</v>
      </c>
      <c r="I1945" s="6">
        <f>[1]!nefin_factors__1[[#This Row],[Risk_Free]]/H1944-1</f>
        <v>4.2609455817963493E-3</v>
      </c>
      <c r="J1945">
        <v>110563</v>
      </c>
      <c r="K1945">
        <v>111522</v>
      </c>
      <c r="L1945">
        <v>110563</v>
      </c>
      <c r="M1945">
        <v>110585</v>
      </c>
      <c r="N1945">
        <v>10646000</v>
      </c>
      <c r="O1945">
        <v>110585</v>
      </c>
      <c r="P1945">
        <v>2.2612156295220799E-4</v>
      </c>
      <c r="Q1945">
        <v>2.2609600132487699E-4</v>
      </c>
      <c r="R1945" s="8">
        <v>18.059108734130898</v>
      </c>
      <c r="S1945" s="8">
        <v>-4.7115393131144698E-2</v>
      </c>
      <c r="T1945" s="9">
        <v>-4.82614667422522E-2</v>
      </c>
      <c r="U1945" s="12">
        <v>1.993E-2</v>
      </c>
      <c r="V1945" s="16">
        <v>5.1772999999999998</v>
      </c>
      <c r="W1945" s="17">
        <f t="shared" si="30"/>
        <v>1.7026216503821523E-3</v>
      </c>
    </row>
    <row r="1946" spans="1:23" x14ac:dyDescent="0.2">
      <c r="A1946" s="14">
        <v>44399</v>
      </c>
      <c r="B1946" s="3">
        <v>135661430231832</v>
      </c>
      <c r="C1946" s="3">
        <f>[1]!nefin_factors__1[[#This Row],[Rm_minus_Rf]]/B1945-1</f>
        <v>3.5805534911813801</v>
      </c>
      <c r="D1946" s="3">
        <v>299026446143315</v>
      </c>
      <c r="E1946" s="3">
        <f>[1]!nefin_factors__1[[#This Row],[SMB]]/D1945-1</f>
        <v>-2.3518253019245545</v>
      </c>
      <c r="F1946" s="3">
        <v>-687862110972655</v>
      </c>
      <c r="G1946" s="3">
        <f>[1]!nefin_factors__1[[#This Row],[HML]]/F1945-1</f>
        <v>-3.5441938881044619</v>
      </c>
      <c r="H1946" s="3">
        <v>181136871074905</v>
      </c>
      <c r="I1946" s="4">
        <f>[1]!nefin_factors__1[[#This Row],[Risk_Free]]/H1945-1</f>
        <v>1.2723754811073906E-2</v>
      </c>
      <c r="J1946">
        <v>110586</v>
      </c>
      <c r="K1946">
        <v>114172</v>
      </c>
      <c r="L1946">
        <v>110586</v>
      </c>
      <c r="M1946">
        <v>112833</v>
      </c>
      <c r="N1946">
        <v>12871400</v>
      </c>
      <c r="O1946">
        <v>112833</v>
      </c>
      <c r="P1946">
        <v>2.03282542840348E-2</v>
      </c>
      <c r="Q1946">
        <v>2.0124393449422701E-2</v>
      </c>
      <c r="R1946" s="8">
        <v>18.496463775634801</v>
      </c>
      <c r="S1946" s="8">
        <v>2.42179748703393E-2</v>
      </c>
      <c r="T1946" s="9">
        <v>2.3929370048861399E-2</v>
      </c>
      <c r="U1946" s="12">
        <v>1.993E-2</v>
      </c>
      <c r="V1946" s="16">
        <v>5.2523999999999997</v>
      </c>
      <c r="W1946" s="17">
        <f t="shared" si="30"/>
        <v>1.4505630347864784E-2</v>
      </c>
    </row>
    <row r="1947" spans="1:23" x14ac:dyDescent="0.2">
      <c r="A1947" s="15">
        <v>44400</v>
      </c>
      <c r="B1947" s="5">
        <v>-87545433641322</v>
      </c>
      <c r="C1947" s="5">
        <f>[1]!nefin_factors__1[[#This Row],[Rm_minus_Rf]]/B1946-1</f>
        <v>-1.6453229447140245</v>
      </c>
      <c r="D1947" s="5">
        <v>-629099120820781</v>
      </c>
      <c r="E1947" s="5">
        <f>[1]!nefin_factors__1[[#This Row],[SMB]]/D1946-1</f>
        <v>-3.1038243571248256</v>
      </c>
      <c r="F1947" s="5">
        <v>-186810447964344</v>
      </c>
      <c r="G1947" s="5">
        <f>[1]!nefin_factors__1[[#This Row],[HML]]/F1946-1</f>
        <v>-0.72841875575878268</v>
      </c>
      <c r="H1947" s="5">
        <v>18416923014275</v>
      </c>
      <c r="I1947" s="6">
        <f>[1]!nefin_factors__1[[#This Row],[Risk_Free]]/H1946-1</f>
        <v>-0.89832592942019462</v>
      </c>
      <c r="J1947">
        <v>112834</v>
      </c>
      <c r="K1947">
        <v>113982</v>
      </c>
      <c r="L1947">
        <v>112052</v>
      </c>
      <c r="M1947">
        <v>112180</v>
      </c>
      <c r="N1947">
        <v>10283700</v>
      </c>
      <c r="O1947">
        <v>112180</v>
      </c>
      <c r="P1947">
        <v>-5.78731399501919E-3</v>
      </c>
      <c r="Q1947">
        <v>-5.8041253899165602E-3</v>
      </c>
      <c r="R1947" s="8">
        <v>17.8039855957031</v>
      </c>
      <c r="S1947" s="8">
        <v>-3.7438409218730498E-2</v>
      </c>
      <c r="T1947" s="9">
        <v>-3.8157224445399297E-2</v>
      </c>
      <c r="U1947" s="12">
        <v>1.993E-2</v>
      </c>
      <c r="V1947" s="16">
        <v>5.2824999999999998</v>
      </c>
      <c r="W1947" s="17">
        <f t="shared" si="30"/>
        <v>5.7307135785544805E-3</v>
      </c>
    </row>
    <row r="1948" spans="1:23" x14ac:dyDescent="0.2">
      <c r="A1948" s="14">
        <v>44403</v>
      </c>
      <c r="B1948" s="3">
        <v>624888016654915</v>
      </c>
      <c r="C1948" s="3">
        <f>[1]!nefin_factors__1[[#This Row],[Rm_minus_Rf]]/B1947-1</f>
        <v>-8.1378710535047709</v>
      </c>
      <c r="D1948" s="3">
        <v>-116025611623971</v>
      </c>
      <c r="E1948" s="3">
        <f>[1]!nefin_factors__1[[#This Row],[SMB]]/D1947-1</f>
        <v>-0.81556863174026817</v>
      </c>
      <c r="F1948" s="3">
        <v>145986621427646</v>
      </c>
      <c r="G1948" s="3">
        <f>[1]!nefin_factors__1[[#This Row],[HML]]/F1947-1</f>
        <v>-1.7814692540939148</v>
      </c>
      <c r="H1948" s="3">
        <v>186441986059771</v>
      </c>
      <c r="I1948" s="4">
        <f>[1]!nefin_factors__1[[#This Row],[Risk_Free]]/H1947-1</f>
        <v>9.1234058433789063</v>
      </c>
      <c r="J1948">
        <v>112180</v>
      </c>
      <c r="K1948">
        <v>114159</v>
      </c>
      <c r="L1948">
        <v>111807</v>
      </c>
      <c r="M1948">
        <v>113456</v>
      </c>
      <c r="N1948">
        <v>11732700</v>
      </c>
      <c r="O1948">
        <v>113456</v>
      </c>
      <c r="P1948">
        <v>1.1374576573364201E-2</v>
      </c>
      <c r="Q1948">
        <v>1.13103724814499E-2</v>
      </c>
      <c r="R1948" s="8">
        <v>18.341567993164102</v>
      </c>
      <c r="S1948" s="8">
        <v>3.0194497438297E-2</v>
      </c>
      <c r="T1948" s="9">
        <v>2.97476168793048E-2</v>
      </c>
      <c r="U1948" s="12">
        <v>1.993E-2</v>
      </c>
      <c r="V1948" s="16">
        <v>5.2157999999999998</v>
      </c>
      <c r="W1948" s="17">
        <f t="shared" si="30"/>
        <v>-1.2626597255087524E-2</v>
      </c>
    </row>
    <row r="1949" spans="1:23" x14ac:dyDescent="0.2">
      <c r="A1949" s="15">
        <v>44404</v>
      </c>
      <c r="B1949" s="5">
        <v>-108867413769724</v>
      </c>
      <c r="C1949" s="5">
        <f>[1]!nefin_factors__1[[#This Row],[Rm_minus_Rf]]/B1948-1</f>
        <v>-1.1742190774476708</v>
      </c>
      <c r="D1949" s="5">
        <v>-516954310146719</v>
      </c>
      <c r="E1949" s="5">
        <f>[1]!nefin_factors__1[[#This Row],[SMB]]/D1948-1</f>
        <v>3.4555189402674582</v>
      </c>
      <c r="F1949" s="5">
        <v>628226815750663</v>
      </c>
      <c r="G1949" s="5">
        <f>[1]!nefin_factors__1[[#This Row],[HML]]/F1948-1</f>
        <v>3.3033177260152247</v>
      </c>
      <c r="H1949" s="5">
        <v>188713446437117</v>
      </c>
      <c r="I1949" s="6">
        <f>[1]!nefin_factors__1[[#This Row],[Risk_Free]]/H1948-1</f>
        <v>1.2183201999456328E-2</v>
      </c>
      <c r="J1949">
        <v>113457</v>
      </c>
      <c r="K1949">
        <v>113881</v>
      </c>
      <c r="L1949">
        <v>112708</v>
      </c>
      <c r="M1949">
        <v>113185</v>
      </c>
      <c r="N1949">
        <v>8956200</v>
      </c>
      <c r="O1949">
        <v>113185</v>
      </c>
      <c r="P1949">
        <v>-2.3885911719080401E-3</v>
      </c>
      <c r="Q1949">
        <v>-2.3914484065517298E-3</v>
      </c>
      <c r="R1949" s="8">
        <v>18.186670303344702</v>
      </c>
      <c r="S1949" s="8">
        <v>-8.4451716383826501E-3</v>
      </c>
      <c r="T1949" s="9">
        <v>-8.4810341531860803E-3</v>
      </c>
      <c r="U1949" s="12">
        <v>1.993E-2</v>
      </c>
      <c r="V1949" s="16">
        <v>5.2190000000000003</v>
      </c>
      <c r="W1949" s="17">
        <f t="shared" si="30"/>
        <v>6.1352045707274705E-4</v>
      </c>
    </row>
    <row r="1950" spans="1:23" x14ac:dyDescent="0.2">
      <c r="A1950" s="14">
        <v>44405</v>
      </c>
      <c r="B1950" s="3">
        <v>149528777562521</v>
      </c>
      <c r="C1950" s="3">
        <f>[1]!nefin_factors__1[[#This Row],[Rm_minus_Rf]]/B1949-1</f>
        <v>-2.373494348628542</v>
      </c>
      <c r="D1950" s="3">
        <v>136159399257371</v>
      </c>
      <c r="E1950" s="3">
        <f>[1]!nefin_factors__1[[#This Row],[SMB]]/D1949-1</f>
        <v>-1.2633876854972483</v>
      </c>
      <c r="F1950" s="3">
        <v>329163191220045</v>
      </c>
      <c r="G1950" s="3">
        <f>[1]!nefin_factors__1[[#This Row],[HML]]/F1949-1</f>
        <v>-0.47604402905544452</v>
      </c>
      <c r="H1950" s="3">
        <v>190227034341461</v>
      </c>
      <c r="I1950" s="4">
        <f>[1]!nefin_factors__1[[#This Row],[Risk_Free]]/H1949-1</f>
        <v>8.0205620368889452E-3</v>
      </c>
      <c r="J1950">
        <v>113189</v>
      </c>
      <c r="K1950">
        <v>114776</v>
      </c>
      <c r="L1950">
        <v>113049</v>
      </c>
      <c r="M1950">
        <v>114648</v>
      </c>
      <c r="N1950">
        <v>11174900</v>
      </c>
      <c r="O1950">
        <v>114648</v>
      </c>
      <c r="P1950">
        <v>1.2925741043424499E-2</v>
      </c>
      <c r="Q1950">
        <v>1.2842916600681299E-2</v>
      </c>
      <c r="R1950" s="8">
        <v>18.469129562377901</v>
      </c>
      <c r="S1950" s="8">
        <v>1.55311145097987E-2</v>
      </c>
      <c r="T1950" s="9">
        <v>1.5411741164979301E-2</v>
      </c>
      <c r="U1950" s="12">
        <v>1.993E-2</v>
      </c>
      <c r="V1950" s="16">
        <v>5.226</v>
      </c>
      <c r="W1950" s="17">
        <f t="shared" si="30"/>
        <v>1.3412531136232086E-3</v>
      </c>
    </row>
    <row r="1951" spans="1:23" x14ac:dyDescent="0.2">
      <c r="A1951" s="15">
        <v>44406</v>
      </c>
      <c r="B1951" s="5">
        <v>-509294076866543</v>
      </c>
      <c r="C1951" s="5">
        <f>[1]!nefin_factors__1[[#This Row],[Rm_minus_Rf]]/B1950-1</f>
        <v>-4.4059937168522421</v>
      </c>
      <c r="D1951" s="5">
        <v>-333113274083898</v>
      </c>
      <c r="E1951" s="5">
        <f>[1]!nefin_factors__1[[#This Row],[SMB]]/D1950-1</f>
        <v>-3.4464948868806418</v>
      </c>
      <c r="F1951" s="5">
        <v>283284901659879</v>
      </c>
      <c r="G1951" s="5">
        <f>[1]!nefin_factors__1[[#This Row],[HML]]/F1950-1</f>
        <v>-0.13937855381131137</v>
      </c>
      <c r="H1951" s="5">
        <v>19136184809887</v>
      </c>
      <c r="I1951" s="6">
        <f>[1]!nefin_factors__1[[#This Row],[Risk_Free]]/H1950-1</f>
        <v>-0.89940344243848536</v>
      </c>
      <c r="J1951">
        <v>114647</v>
      </c>
      <c r="K1951">
        <v>114927</v>
      </c>
      <c r="L1951">
        <v>112841</v>
      </c>
      <c r="M1951">
        <v>114428</v>
      </c>
      <c r="N1951">
        <v>11201300</v>
      </c>
      <c r="O1951">
        <v>114428</v>
      </c>
      <c r="P1951">
        <v>-1.9189170330054001E-3</v>
      </c>
      <c r="Q1951">
        <v>-1.9207605129961201E-3</v>
      </c>
      <c r="R1951" s="8">
        <v>18.195783615112301</v>
      </c>
      <c r="S1951" s="8">
        <v>-1.4800153214715501E-2</v>
      </c>
      <c r="T1951" s="9">
        <v>-1.4910768252123899E-2</v>
      </c>
      <c r="U1951" s="12">
        <v>1.993E-2</v>
      </c>
      <c r="V1951" s="16">
        <v>5.2576000000000001</v>
      </c>
      <c r="W1951" s="17">
        <f t="shared" si="30"/>
        <v>6.0466896287791894E-3</v>
      </c>
    </row>
    <row r="1952" spans="1:23" x14ac:dyDescent="0.2">
      <c r="A1952" s="14">
        <v>44407</v>
      </c>
      <c r="B1952" s="3">
        <v>-295232298980598</v>
      </c>
      <c r="C1952" s="3">
        <f>[1]!nefin_factors__1[[#This Row],[Rm_minus_Rf]]/B1951-1</f>
        <v>-0.42031075484515878</v>
      </c>
      <c r="D1952" s="3">
        <v>189054350143724</v>
      </c>
      <c r="E1952" s="3">
        <f>[1]!nefin_factors__1[[#This Row],[SMB]]/D1951-1</f>
        <v>-1.5675377262093395</v>
      </c>
      <c r="F1952" s="3">
        <v>23795847425829</v>
      </c>
      <c r="G1952" s="3">
        <f>[1]!nefin_factors__1[[#This Row],[HML]]/F1951-1</f>
        <v>-0.91600029762828994</v>
      </c>
      <c r="H1952" s="3">
        <v>194008490744579</v>
      </c>
      <c r="I1952" s="4">
        <f>[1]!nefin_factors__1[[#This Row],[Risk_Free]]/H1951-1</f>
        <v>9.1383056587299247</v>
      </c>
      <c r="J1952">
        <v>114422</v>
      </c>
      <c r="K1952">
        <v>114422</v>
      </c>
      <c r="L1952">
        <v>109947</v>
      </c>
      <c r="M1952">
        <v>110673</v>
      </c>
      <c r="N1952">
        <v>14129200</v>
      </c>
      <c r="O1952">
        <v>110673</v>
      </c>
      <c r="P1952">
        <v>-3.2815394833432397E-2</v>
      </c>
      <c r="Q1952">
        <v>-3.3365896716244799E-2</v>
      </c>
      <c r="R1952" s="8">
        <v>17.184400558471701</v>
      </c>
      <c r="S1952" s="8">
        <v>-5.55833745901788E-2</v>
      </c>
      <c r="T1952" s="9">
        <v>-5.7187869722193502E-2</v>
      </c>
      <c r="U1952" s="12">
        <v>1.993E-2</v>
      </c>
      <c r="V1952" s="16">
        <v>5.2594000000000003</v>
      </c>
      <c r="W1952" s="17">
        <f t="shared" si="30"/>
        <v>3.4236153377964484E-4</v>
      </c>
    </row>
    <row r="1953" spans="1:23" x14ac:dyDescent="0.2">
      <c r="A1953" s="15">
        <v>44410</v>
      </c>
      <c r="B1953" s="5">
        <v>736278254662287</v>
      </c>
      <c r="C1953" s="5">
        <f>[1]!nefin_factors__1[[#This Row],[Rm_minus_Rf]]/B1952-1</f>
        <v>-3.4938946626252214</v>
      </c>
      <c r="D1953" s="5">
        <v>286342476935404</v>
      </c>
      <c r="E1953" s="5">
        <f>[1]!nefin_factors__1[[#This Row],[SMB]]/D1952-1</f>
        <v>0.51460401052776117</v>
      </c>
      <c r="F1953" s="5">
        <v>-640847960588178</v>
      </c>
      <c r="G1953" s="5">
        <f>[1]!nefin_factors__1[[#This Row],[HML]]/F1952-1</f>
        <v>-27.931083777776077</v>
      </c>
      <c r="H1953" s="5">
        <v>194764351600485</v>
      </c>
      <c r="I1953" s="6">
        <f>[1]!nefin_factors__1[[#This Row],[Risk_Free]]/H1952-1</f>
        <v>3.8960194628858691E-3</v>
      </c>
      <c r="J1953">
        <v>110677</v>
      </c>
      <c r="K1953">
        <v>112023</v>
      </c>
      <c r="L1953">
        <v>110176</v>
      </c>
      <c r="M1953">
        <v>110786</v>
      </c>
      <c r="N1953">
        <v>11735800</v>
      </c>
      <c r="O1953">
        <v>110786</v>
      </c>
      <c r="P1953">
        <v>1.02102590514397E-3</v>
      </c>
      <c r="Q1953">
        <v>1.0205050127274299E-3</v>
      </c>
      <c r="R1953" s="8">
        <v>16.938388824462901</v>
      </c>
      <c r="S1953" s="8">
        <v>-1.43159915978278E-2</v>
      </c>
      <c r="T1953" s="9">
        <v>-1.4419454037587501E-2</v>
      </c>
      <c r="U1953" s="12">
        <v>1.993E-2</v>
      </c>
      <c r="V1953" s="16">
        <v>5.3102999999999998</v>
      </c>
      <c r="W1953" s="17">
        <f t="shared" si="30"/>
        <v>9.6779100277597507E-3</v>
      </c>
    </row>
    <row r="1954" spans="1:23" x14ac:dyDescent="0.2">
      <c r="A1954" s="14">
        <v>44411</v>
      </c>
      <c r="B1954" s="3">
        <v>803994056208258</v>
      </c>
      <c r="C1954" s="3">
        <f>[1]!nefin_factors__1[[#This Row],[Rm_minus_Rf]]/B1953-1</f>
        <v>9.1970394503950947E-2</v>
      </c>
      <c r="D1954" s="3">
        <v>-810678980659612</v>
      </c>
      <c r="E1954" s="3">
        <f>[1]!nefin_factors__1[[#This Row],[SMB]]/D1953-1</f>
        <v>-3.8311516661305305</v>
      </c>
      <c r="F1954" s="3">
        <v>-128442221452159</v>
      </c>
      <c r="G1954" s="3">
        <f>[1]!nefin_factors__1[[#This Row],[HML]]/F1953-1</f>
        <v>-0.79957458031968587</v>
      </c>
      <c r="H1954" s="3">
        <v>197786362093</v>
      </c>
      <c r="I1954" s="4">
        <f>[1]!nefin_factors__1[[#This Row],[Risk_Free]]/H1953-1</f>
        <v>-0.99898448375964244</v>
      </c>
      <c r="J1954">
        <v>110767</v>
      </c>
      <c r="K1954">
        <v>110767</v>
      </c>
      <c r="L1954">
        <v>105714</v>
      </c>
      <c r="M1954">
        <v>107735</v>
      </c>
      <c r="N1954">
        <v>16507700</v>
      </c>
      <c r="O1954">
        <v>107735</v>
      </c>
      <c r="P1954">
        <v>-2.75395808134602E-2</v>
      </c>
      <c r="Q1954">
        <v>-2.7925904383060501E-2</v>
      </c>
      <c r="R1954" s="8">
        <v>16.081901550293001</v>
      </c>
      <c r="S1954" s="8">
        <v>-5.0564860864036797E-2</v>
      </c>
      <c r="T1954" s="9">
        <v>-5.1888061609710302E-2</v>
      </c>
      <c r="U1954" s="12">
        <v>1.993E-2</v>
      </c>
      <c r="V1954" s="16">
        <v>5.3331999999999997</v>
      </c>
      <c r="W1954" s="17">
        <f t="shared" si="30"/>
        <v>4.3123740654953391E-3</v>
      </c>
    </row>
    <row r="1955" spans="1:23" x14ac:dyDescent="0.2">
      <c r="A1955" s="15">
        <v>44412</v>
      </c>
      <c r="B1955" s="5">
        <v>-131472966757464</v>
      </c>
      <c r="C1955" s="5">
        <f>[1]!nefin_factors__1[[#This Row],[Rm_minus_Rf]]/B1954-1</f>
        <v>-1.1635247993965376</v>
      </c>
      <c r="D1955" s="5">
        <v>-506099364436493</v>
      </c>
      <c r="E1955" s="5">
        <f>[1]!nefin_factors__1[[#This Row],[SMB]]/D1954-1</f>
        <v>-0.37570928010899785</v>
      </c>
      <c r="F1955" s="5">
        <v>404274004514443</v>
      </c>
      <c r="G1955" s="5">
        <f>[1]!nefin_factors__1[[#This Row],[HML]]/F1954-1</f>
        <v>-4.1475164470354731</v>
      </c>
      <c r="H1955" s="5">
        <v>199673955498803</v>
      </c>
      <c r="I1955" s="6">
        <f>[1]!nefin_factors__1[[#This Row],[Risk_Free]]/H1954-1</f>
        <v>1008.5435973735916</v>
      </c>
      <c r="J1955">
        <v>107714</v>
      </c>
      <c r="K1955">
        <v>107749</v>
      </c>
      <c r="L1955">
        <v>102854</v>
      </c>
      <c r="M1955">
        <v>106296</v>
      </c>
      <c r="N1955">
        <v>21165700</v>
      </c>
      <c r="O1955">
        <v>106296</v>
      </c>
      <c r="P1955">
        <v>-1.3356847821042401E-2</v>
      </c>
      <c r="Q1955">
        <v>-1.34468528671898E-2</v>
      </c>
      <c r="R1955" s="8">
        <v>15.5807647705078</v>
      </c>
      <c r="S1955" s="8">
        <v>-3.1161537596654899E-2</v>
      </c>
      <c r="T1955" s="9">
        <v>-3.1657386454375602E-2</v>
      </c>
      <c r="U1955" s="12">
        <v>1.993E-2</v>
      </c>
      <c r="V1955" s="16">
        <v>5.3044000000000002</v>
      </c>
      <c r="W1955" s="17">
        <f t="shared" si="30"/>
        <v>-5.4001350033749951E-3</v>
      </c>
    </row>
    <row r="1956" spans="1:23" x14ac:dyDescent="0.2">
      <c r="A1956" s="14">
        <v>44413</v>
      </c>
      <c r="B1956" s="3">
        <v>-436655870530357</v>
      </c>
      <c r="C1956" s="3">
        <f>[1]!nefin_factors__1[[#This Row],[Rm_minus_Rf]]/B1955-1</f>
        <v>2.3212597334620284</v>
      </c>
      <c r="D1956" s="3">
        <v>-349781176471631</v>
      </c>
      <c r="E1956" s="3">
        <f>[1]!nefin_factors__1[[#This Row],[SMB]]/D1955-1</f>
        <v>-0.30886857196296147</v>
      </c>
      <c r="F1956" s="3">
        <v>-530994727838962</v>
      </c>
      <c r="G1956" s="3">
        <f>[1]!nefin_factors__1[[#This Row],[HML]]/F1955-1</f>
        <v>-2.3134525641259525</v>
      </c>
      <c r="H1956" s="3">
        <v>200806082505833</v>
      </c>
      <c r="I1956" s="4">
        <f>[1]!nefin_factors__1[[#This Row],[Risk_Free]]/H1955-1</f>
        <v>5.6698781981949775E-3</v>
      </c>
      <c r="J1956">
        <v>106298</v>
      </c>
      <c r="K1956">
        <v>109372</v>
      </c>
      <c r="L1956">
        <v>106296</v>
      </c>
      <c r="M1956">
        <v>108715</v>
      </c>
      <c r="N1956">
        <v>11512100</v>
      </c>
      <c r="O1956">
        <v>108715</v>
      </c>
      <c r="P1956">
        <v>2.2757206291864202E-2</v>
      </c>
      <c r="Q1956">
        <v>2.2502123798015299E-2</v>
      </c>
      <c r="R1956" s="8">
        <v>16.537479400634801</v>
      </c>
      <c r="S1956" s="8">
        <v>6.1403573201867401E-2</v>
      </c>
      <c r="T1956" s="9">
        <v>5.95921579048296E-2</v>
      </c>
      <c r="U1956" s="12">
        <v>1.993E-2</v>
      </c>
      <c r="V1956" s="16">
        <v>5.2782999999999998</v>
      </c>
      <c r="W1956" s="17">
        <f t="shared" si="30"/>
        <v>-4.920443405474817E-3</v>
      </c>
    </row>
    <row r="1957" spans="1:23" x14ac:dyDescent="0.2">
      <c r="A1957" s="15">
        <v>44414</v>
      </c>
      <c r="B1957" s="5">
        <v>105469490572632</v>
      </c>
      <c r="C1957" s="5">
        <f>[1]!nefin_factors__1[[#This Row],[Rm_minus_Rf]]/B1956-1</f>
        <v>-1.24153915632585</v>
      </c>
      <c r="D1957" s="5">
        <v>-421738958402054</v>
      </c>
      <c r="E1957" s="5">
        <f>[1]!nefin_factors__1[[#This Row],[SMB]]/D1956-1</f>
        <v>0.20572228230314482</v>
      </c>
      <c r="F1957" s="5">
        <v>324200687511115</v>
      </c>
      <c r="G1957" s="5">
        <f>[1]!nefin_factors__1[[#This Row],[HML]]/F1956-1</f>
        <v>-1.6105534961345931</v>
      </c>
      <c r="H1957" s="5">
        <v>200806082505833</v>
      </c>
      <c r="I1957" s="6">
        <f>[1]!nefin_factors__1[[#This Row],[Risk_Free]]/H1956-1</f>
        <v>0</v>
      </c>
      <c r="J1957">
        <v>108713</v>
      </c>
      <c r="K1957">
        <v>108713</v>
      </c>
      <c r="L1957">
        <v>106321</v>
      </c>
      <c r="M1957">
        <v>106420</v>
      </c>
      <c r="N1957">
        <v>10762200</v>
      </c>
      <c r="O1957">
        <v>106420</v>
      </c>
      <c r="P1957">
        <v>-2.1110242376856901E-2</v>
      </c>
      <c r="Q1957">
        <v>-2.1336249918798799E-2</v>
      </c>
      <c r="R1957" s="8">
        <v>15.407646179199199</v>
      </c>
      <c r="S1957" s="8">
        <v>-6.8319554272108701E-2</v>
      </c>
      <c r="T1957" s="9">
        <v>-7.0765392480369199E-2</v>
      </c>
      <c r="U1957" s="12">
        <v>2.3687E-2</v>
      </c>
      <c r="V1957" s="16">
        <v>5.2891000000000004</v>
      </c>
      <c r="W1957" s="17">
        <f t="shared" si="30"/>
        <v>2.0461133319440439E-3</v>
      </c>
    </row>
    <row r="1958" spans="1:23" x14ac:dyDescent="0.2">
      <c r="A1958" s="14">
        <v>44417</v>
      </c>
      <c r="B1958" s="3">
        <v>927668282045709</v>
      </c>
      <c r="C1958" s="3">
        <f>[1]!nefin_factors__1[[#This Row],[Rm_minus_Rf]]/B1957-1</f>
        <v>7.7956078768282886</v>
      </c>
      <c r="D1958" s="3">
        <v>358480118655704</v>
      </c>
      <c r="E1958" s="3">
        <f>[1]!nefin_factors__1[[#This Row],[SMB]]/D1957-1</f>
        <v>-1.8500047517876121</v>
      </c>
      <c r="F1958" s="3">
        <v>-140389836777532</v>
      </c>
      <c r="G1958" s="3">
        <f>[1]!nefin_factors__1[[#This Row],[HML]]/F1957-1</f>
        <v>-1.4330337417088876</v>
      </c>
      <c r="H1958" s="3">
        <v>201560655191502</v>
      </c>
      <c r="I1958" s="4">
        <f>[1]!nefin_factors__1[[#This Row],[Risk_Free]]/H1957-1</f>
        <v>3.7577182735342163E-3</v>
      </c>
      <c r="J1958">
        <v>106433</v>
      </c>
      <c r="K1958">
        <v>108224</v>
      </c>
      <c r="L1958">
        <v>106045</v>
      </c>
      <c r="M1958">
        <v>106363</v>
      </c>
      <c r="N1958">
        <v>10831300</v>
      </c>
      <c r="O1958">
        <v>106363</v>
      </c>
      <c r="P1958">
        <v>-5.3561360646492396E-4</v>
      </c>
      <c r="Q1958">
        <v>-5.3575709867251296E-4</v>
      </c>
      <c r="R1958" s="8">
        <v>15.116076469421399</v>
      </c>
      <c r="S1958" s="8">
        <v>-1.8923702321997801E-2</v>
      </c>
      <c r="T1958" s="9">
        <v>-1.9105047030316898E-2</v>
      </c>
      <c r="U1958" s="12">
        <v>2.3687E-2</v>
      </c>
      <c r="V1958" s="16">
        <v>5.3434999999999997</v>
      </c>
      <c r="W1958" s="17">
        <f t="shared" si="30"/>
        <v>1.0285303737875839E-2</v>
      </c>
    </row>
    <row r="1959" spans="1:23" x14ac:dyDescent="0.2">
      <c r="A1959" s="15">
        <v>44418</v>
      </c>
      <c r="B1959" s="5">
        <v>-733107130929011</v>
      </c>
      <c r="C1959" s="5">
        <f>[1]!nefin_factors__1[[#This Row],[Rm_minus_Rf]]/B1958-1</f>
        <v>-1.790268617692039</v>
      </c>
      <c r="D1959" s="5">
        <v>-867118232708913</v>
      </c>
      <c r="E1959" s="5">
        <f>[1]!nefin_factors__1[[#This Row],[SMB]]/D1958-1</f>
        <v>-3.4188739837528384</v>
      </c>
      <c r="F1959" s="5">
        <v>378767222003253</v>
      </c>
      <c r="G1959" s="5">
        <f>[1]!nefin_factors__1[[#This Row],[HML]]/F1958-1</f>
        <v>-3.6979675359510846</v>
      </c>
      <c r="H1959" s="5">
        <v>202315085018778</v>
      </c>
      <c r="I1959" s="6">
        <f>[1]!nefin_factors__1[[#This Row],[Risk_Free]]/H1958-1</f>
        <v>3.7429419276258091E-3</v>
      </c>
      <c r="J1959">
        <v>106369</v>
      </c>
      <c r="K1959">
        <v>107210</v>
      </c>
      <c r="L1959">
        <v>105282</v>
      </c>
      <c r="M1959">
        <v>105705</v>
      </c>
      <c r="N1959">
        <v>11502900</v>
      </c>
      <c r="O1959">
        <v>105705</v>
      </c>
      <c r="P1959">
        <v>-6.1863617987457696E-3</v>
      </c>
      <c r="Q1959">
        <v>-6.2055766224551603E-3</v>
      </c>
      <c r="R1959" s="8">
        <v>15.0614061355591</v>
      </c>
      <c r="S1959" s="8">
        <v>-3.6167013294023899E-3</v>
      </c>
      <c r="T1959" s="9">
        <v>-3.6232574060095801E-3</v>
      </c>
      <c r="U1959" s="12">
        <v>2.3687E-2</v>
      </c>
      <c r="V1959" s="16">
        <v>5.3478000000000003</v>
      </c>
      <c r="W1959" s="17">
        <f t="shared" si="30"/>
        <v>8.0471601010589922E-4</v>
      </c>
    </row>
    <row r="1960" spans="1:23" x14ac:dyDescent="0.2">
      <c r="A1960" s="14">
        <v>44419</v>
      </c>
      <c r="B1960" s="3">
        <v>-261899054799442</v>
      </c>
      <c r="C1960" s="3">
        <f>[1]!nefin_factors__1[[#This Row],[Rm_minus_Rf]]/B1959-1</f>
        <v>-0.64275473017489659</v>
      </c>
      <c r="D1960" s="3">
        <v>5607771041121</v>
      </c>
      <c r="E1960" s="3">
        <f>[1]!nefin_factors__1[[#This Row],[SMB]]/D1959-1</f>
        <v>-1.0064671354258139</v>
      </c>
      <c r="F1960" s="3">
        <v>812196643746234</v>
      </c>
      <c r="G1960" s="3">
        <f>[1]!nefin_factors__1[[#This Row],[HML]]/F1959-1</f>
        <v>1.1443160774330638</v>
      </c>
      <c r="H1960" s="3">
        <v>202315085018778</v>
      </c>
      <c r="I1960" s="4">
        <f>[1]!nefin_factors__1[[#This Row],[Risk_Free]]/H1959-1</f>
        <v>0</v>
      </c>
      <c r="J1960">
        <v>105707</v>
      </c>
      <c r="K1960">
        <v>105954</v>
      </c>
      <c r="L1960">
        <v>103430</v>
      </c>
      <c r="M1960">
        <v>103501</v>
      </c>
      <c r="N1960">
        <v>12595800</v>
      </c>
      <c r="O1960">
        <v>103501</v>
      </c>
      <c r="P1960">
        <v>-2.0850480109739299E-2</v>
      </c>
      <c r="Q1960">
        <v>-2.1070920952598101E-2</v>
      </c>
      <c r="R1960" s="8">
        <v>14.5511589050293</v>
      </c>
      <c r="S1960" s="8">
        <v>-3.3877795070217397E-2</v>
      </c>
      <c r="T1960" s="9">
        <v>-3.4464946632354498E-2</v>
      </c>
      <c r="U1960" s="12">
        <v>2.3687E-2</v>
      </c>
      <c r="V1960" s="16">
        <v>5.4206000000000003</v>
      </c>
      <c r="W1960" s="17">
        <f t="shared" si="30"/>
        <v>1.36130745353229E-2</v>
      </c>
    </row>
    <row r="1961" spans="1:23" x14ac:dyDescent="0.2">
      <c r="A1961" s="15">
        <v>44420</v>
      </c>
      <c r="B1961" s="5">
        <v>-960174077189502</v>
      </c>
      <c r="C1961" s="5">
        <f>[1]!nefin_factors__1[[#This Row],[Rm_minus_Rf]]/B1960-1</f>
        <v>2.6661990931001549</v>
      </c>
      <c r="D1961" s="5">
        <v>20996681951662</v>
      </c>
      <c r="E1961" s="5">
        <f>[1]!nefin_factors__1[[#This Row],[SMB]]/D1960-1</f>
        <v>2.7442117015292298</v>
      </c>
      <c r="F1961" s="5">
        <v>-361434461986609</v>
      </c>
      <c r="G1961" s="5">
        <f>[1]!nefin_factors__1[[#This Row],[HML]]/F1960-1</f>
        <v>-1.4450085638368348</v>
      </c>
      <c r="H1961" s="5">
        <v>202692246377367</v>
      </c>
      <c r="I1961" s="6">
        <f>[1]!nefin_factors__1[[#This Row],[Risk_Free]]/H1960-1</f>
        <v>1.8642275663922625E-3</v>
      </c>
      <c r="J1961">
        <v>103514</v>
      </c>
      <c r="K1961">
        <v>106136</v>
      </c>
      <c r="L1961">
        <v>103514</v>
      </c>
      <c r="M1961">
        <v>105551</v>
      </c>
      <c r="N1961">
        <v>10734800</v>
      </c>
      <c r="O1961">
        <v>105551</v>
      </c>
      <c r="P1961">
        <v>1.9806571917179602E-2</v>
      </c>
      <c r="Q1961">
        <v>1.9612973937804298E-2</v>
      </c>
      <c r="R1961" s="8">
        <v>15.316530227661101</v>
      </c>
      <c r="S1961" s="8">
        <v>5.2598650569838798E-2</v>
      </c>
      <c r="T1961" s="9">
        <v>5.1262011939606701E-2</v>
      </c>
      <c r="U1961" s="12">
        <v>2.3687E-2</v>
      </c>
      <c r="V1961" s="16">
        <v>5.4173</v>
      </c>
      <c r="W1961" s="17">
        <f t="shared" si="30"/>
        <v>-6.0878869497849042E-4</v>
      </c>
    </row>
    <row r="1962" spans="1:23" x14ac:dyDescent="0.2">
      <c r="A1962" s="14">
        <v>44421</v>
      </c>
      <c r="B1962" s="3">
        <v>181770079545424</v>
      </c>
      <c r="C1962" s="3">
        <f>[1]!nefin_factors__1[[#This Row],[Rm_minus_Rf]]/B1961-1</f>
        <v>-1.1893095052904137</v>
      </c>
      <c r="D1962" s="3">
        <v>-990527115162906</v>
      </c>
      <c r="E1962" s="3">
        <f>[1]!nefin_factors__1[[#This Row],[SMB]]/D1961-1</f>
        <v>-48.175411688535888</v>
      </c>
      <c r="F1962" s="3">
        <v>660044973048932</v>
      </c>
      <c r="G1962" s="3">
        <f>[1]!nefin_factors__1[[#This Row],[HML]]/F1961-1</f>
        <v>-2.8261816247986511</v>
      </c>
      <c r="H1962" s="3">
        <v>20344646201842</v>
      </c>
      <c r="I1962" s="4">
        <f>[1]!nefin_factors__1[[#This Row],[Risk_Free]]/H1961-1</f>
        <v>-0.89962790108919666</v>
      </c>
      <c r="J1962">
        <v>105547</v>
      </c>
      <c r="K1962">
        <v>106754</v>
      </c>
      <c r="L1962">
        <v>104205</v>
      </c>
      <c r="M1962">
        <v>105617</v>
      </c>
      <c r="N1962">
        <v>14696900</v>
      </c>
      <c r="O1962">
        <v>105617</v>
      </c>
      <c r="P1962">
        <v>6.2529014410106498E-4</v>
      </c>
      <c r="Q1962">
        <v>6.2509473167430998E-4</v>
      </c>
      <c r="R1962" s="8">
        <v>15.2163028717041</v>
      </c>
      <c r="S1962" s="8">
        <v>-6.5437376786567896E-3</v>
      </c>
      <c r="T1962" s="9">
        <v>-6.5652417929179504E-3</v>
      </c>
      <c r="U1962" s="12">
        <v>2.3687E-2</v>
      </c>
      <c r="V1962" s="16">
        <v>5.4394</v>
      </c>
      <c r="W1962" s="17">
        <f t="shared" si="30"/>
        <v>4.0795230096173363E-3</v>
      </c>
    </row>
    <row r="1963" spans="1:23" x14ac:dyDescent="0.2">
      <c r="A1963" s="15">
        <v>44424</v>
      </c>
      <c r="B1963" s="5">
        <v>-1659854159304</v>
      </c>
      <c r="C1963" s="5">
        <f>[1]!nefin_factors__1[[#This Row],[Rm_minus_Rf]]/B1962-1</f>
        <v>-1.0091316137587385</v>
      </c>
      <c r="D1963" s="5">
        <v>-251478043571927</v>
      </c>
      <c r="E1963" s="5">
        <f>[1]!nefin_factors__1[[#This Row],[SMB]]/D1962-1</f>
        <v>-0.74611695154799684</v>
      </c>
      <c r="F1963" s="5">
        <v>-580798342429811</v>
      </c>
      <c r="G1963" s="5">
        <f>[1]!nefin_factors__1[[#This Row],[HML]]/F1962-1</f>
        <v>-1.8799375287216282</v>
      </c>
      <c r="H1963" s="5">
        <v>204577517891158</v>
      </c>
      <c r="I1963" s="6">
        <f>[1]!nefin_factors__1[[#This Row],[Risk_Free]]/H1962-1</f>
        <v>9.0555947673661485</v>
      </c>
      <c r="J1963">
        <v>105617</v>
      </c>
      <c r="K1963">
        <v>105627</v>
      </c>
      <c r="L1963">
        <v>102835</v>
      </c>
      <c r="M1963">
        <v>103412</v>
      </c>
      <c r="N1963">
        <v>12084000</v>
      </c>
      <c r="O1963">
        <v>103412</v>
      </c>
      <c r="P1963">
        <v>-2.08773208858423E-2</v>
      </c>
      <c r="Q1963">
        <v>-2.1098333664802599E-2</v>
      </c>
      <c r="R1963" s="8">
        <v>14.6604976654053</v>
      </c>
      <c r="S1963" s="8">
        <v>-3.6526954739603101E-2</v>
      </c>
      <c r="T1963" s="9">
        <v>-3.7210767377483599E-2</v>
      </c>
      <c r="U1963" s="12">
        <v>2.3687E-2</v>
      </c>
      <c r="V1963" s="16">
        <v>5.3910999999999998</v>
      </c>
      <c r="W1963" s="17">
        <f t="shared" si="30"/>
        <v>-8.8796558443946516E-3</v>
      </c>
    </row>
    <row r="1964" spans="1:23" x14ac:dyDescent="0.2">
      <c r="A1964" s="14">
        <v>44425</v>
      </c>
      <c r="B1964" s="3">
        <v>-112476107831394</v>
      </c>
      <c r="C1964" s="3">
        <f>[1]!nefin_factors__1[[#This Row],[Rm_minus_Rf]]/B1963-1</f>
        <v>66.76264480884079</v>
      </c>
      <c r="D1964" s="3">
        <v>-643802397661974</v>
      </c>
      <c r="E1964" s="3">
        <f>[1]!nefin_factors__1[[#This Row],[SMB]]/D1963-1</f>
        <v>1.5600739870470464</v>
      </c>
      <c r="F1964" s="3">
        <v>-542315577090776</v>
      </c>
      <c r="G1964" s="3">
        <f>[1]!nefin_factors__1[[#This Row],[HML]]/F1963-1</f>
        <v>-6.6258393882530076E-2</v>
      </c>
      <c r="H1964" s="3">
        <v>205331376825768</v>
      </c>
      <c r="I1964" s="4">
        <f>[1]!nefin_factors__1[[#This Row],[Risk_Free]]/H1963-1</f>
        <v>3.6849549372823809E-3</v>
      </c>
      <c r="J1964">
        <v>103412</v>
      </c>
      <c r="K1964">
        <v>105555</v>
      </c>
      <c r="L1964">
        <v>103412</v>
      </c>
      <c r="M1964">
        <v>104824</v>
      </c>
      <c r="N1964">
        <v>12595000</v>
      </c>
      <c r="O1964">
        <v>104824</v>
      </c>
      <c r="P1964">
        <v>1.36541213785635E-2</v>
      </c>
      <c r="Q1964">
        <v>1.3561743803111001E-2</v>
      </c>
      <c r="R1964" s="8">
        <v>15.444091796875</v>
      </c>
      <c r="S1964" s="8">
        <v>5.3449354132008201E-2</v>
      </c>
      <c r="T1964" s="9">
        <v>5.2069879192905601E-2</v>
      </c>
      <c r="U1964" s="12">
        <v>2.3687E-2</v>
      </c>
      <c r="V1964" s="16">
        <v>5.4203999999999999</v>
      </c>
      <c r="W1964" s="17">
        <f t="shared" si="30"/>
        <v>5.4348834189683615E-3</v>
      </c>
    </row>
    <row r="1965" spans="1:23" x14ac:dyDescent="0.2">
      <c r="A1965" s="15">
        <v>44426</v>
      </c>
      <c r="B1965" s="5">
        <v>-8788750585164</v>
      </c>
      <c r="C1965" s="5">
        <f>[1]!nefin_factors__1[[#This Row],[Rm_minus_Rf]]/B1964-1</f>
        <v>-0.92186117785709054</v>
      </c>
      <c r="D1965" s="5">
        <v>229119391604831</v>
      </c>
      <c r="E1965" s="5">
        <f>[1]!nefin_factors__1[[#This Row],[SMB]]/D1964-1</f>
        <v>-1.3558846509999007</v>
      </c>
      <c r="F1965" s="5">
        <v>116718393635365</v>
      </c>
      <c r="G1965" s="5">
        <f>[1]!nefin_factors__1[[#This Row],[HML]]/F1964-1</f>
        <v>-1.2152222775187369</v>
      </c>
      <c r="H1965" s="5">
        <v>205708252819292</v>
      </c>
      <c r="I1965" s="6">
        <f>[1]!nefin_factors__1[[#This Row],[Risk_Free]]/H1964-1</f>
        <v>1.8354525224062446E-3</v>
      </c>
      <c r="J1965">
        <v>104824</v>
      </c>
      <c r="K1965">
        <v>105679</v>
      </c>
      <c r="L1965">
        <v>104182</v>
      </c>
      <c r="M1965">
        <v>104781</v>
      </c>
      <c r="N1965">
        <v>9358000</v>
      </c>
      <c r="O1965">
        <v>104781</v>
      </c>
      <c r="P1965">
        <v>-4.1021140196906302E-4</v>
      </c>
      <c r="Q1965">
        <v>-4.1029556168251899E-4</v>
      </c>
      <c r="R1965" s="8">
        <v>15.234525680541999</v>
      </c>
      <c r="S1965" s="8">
        <v>-1.35693389478178E-2</v>
      </c>
      <c r="T1965" s="9">
        <v>-1.36622438233435E-2</v>
      </c>
      <c r="U1965" s="12">
        <v>2.3687E-2</v>
      </c>
      <c r="V1965" s="16">
        <v>5.4611000000000001</v>
      </c>
      <c r="W1965" s="17">
        <f t="shared" si="30"/>
        <v>7.5086709467935275E-3</v>
      </c>
    </row>
    <row r="1966" spans="1:23" x14ac:dyDescent="0.2">
      <c r="A1966" s="14">
        <v>44427</v>
      </c>
      <c r="B1966" s="3">
        <v>519787095575495</v>
      </c>
      <c r="C1966" s="3">
        <f>[1]!nefin_factors__1[[#This Row],[Rm_minus_Rf]]/B1965-1</f>
        <v>-60.142319552557389</v>
      </c>
      <c r="D1966" s="3">
        <v>-232881285046123</v>
      </c>
      <c r="E1966" s="3">
        <f>[1]!nefin_factors__1[[#This Row],[SMB]]/D1965-1</f>
        <v>-2.0164189220953426</v>
      </c>
      <c r="F1966" s="3">
        <v>-138553290805729</v>
      </c>
      <c r="G1966" s="3">
        <f>[1]!nefin_factors__1[[#This Row],[HML]]/F1965-1</f>
        <v>-2.1870733180117048</v>
      </c>
      <c r="H1966" s="3">
        <v>206461897892529</v>
      </c>
      <c r="I1966" s="4">
        <f>[1]!nefin_factors__1[[#This Row],[Risk_Free]]/H1965-1</f>
        <v>3.6636598819350663E-3</v>
      </c>
      <c r="J1966">
        <v>104783</v>
      </c>
      <c r="K1966">
        <v>106674</v>
      </c>
      <c r="L1966">
        <v>104783</v>
      </c>
      <c r="M1966">
        <v>105535</v>
      </c>
      <c r="N1966">
        <v>11021200</v>
      </c>
      <c r="O1966">
        <v>105535</v>
      </c>
      <c r="P1966">
        <v>7.1959610998177902E-3</v>
      </c>
      <c r="Q1966">
        <v>7.1701937119794303E-3</v>
      </c>
      <c r="R1966" s="8">
        <v>15.5807647705078</v>
      </c>
      <c r="S1966" s="8">
        <v>2.2727264190971701E-2</v>
      </c>
      <c r="T1966" s="9">
        <v>2.24728475054531E-2</v>
      </c>
      <c r="U1966" s="12">
        <v>2.3687E-2</v>
      </c>
      <c r="V1966" s="16">
        <v>5.5096999999999996</v>
      </c>
      <c r="W1966" s="17">
        <f t="shared" si="30"/>
        <v>8.8993060006226088E-3</v>
      </c>
    </row>
    <row r="1967" spans="1:23" x14ac:dyDescent="0.2">
      <c r="A1967" s="15">
        <v>44428</v>
      </c>
      <c r="B1967" s="5">
        <v>794017022965871</v>
      </c>
      <c r="C1967" s="5">
        <f>[1]!nefin_factors__1[[#This Row],[Rm_minus_Rf]]/B1966-1</f>
        <v>0.52758125341060191</v>
      </c>
      <c r="D1967" s="5">
        <v>31198583123941</v>
      </c>
      <c r="E1967" s="5">
        <f>[1]!nefin_factors__1[[#This Row],[SMB]]/D1966-1</f>
        <v>-1.1339677557935237</v>
      </c>
      <c r="F1967" s="5">
        <v>418241529771114</v>
      </c>
      <c r="G1967" s="5">
        <f>[1]!nefin_factors__1[[#This Row],[HML]]/F1966-1</f>
        <v>-4.0186329558750558</v>
      </c>
      <c r="H1967" s="5">
        <v>206461897892529</v>
      </c>
      <c r="I1967" s="6">
        <f>[1]!nefin_factors__1[[#This Row],[Risk_Free]]/H1966-1</f>
        <v>0</v>
      </c>
      <c r="J1967">
        <v>105535</v>
      </c>
      <c r="K1967">
        <v>107407</v>
      </c>
      <c r="L1967">
        <v>105140</v>
      </c>
      <c r="M1967">
        <v>105968</v>
      </c>
      <c r="N1967">
        <v>12277400</v>
      </c>
      <c r="O1967">
        <v>105968</v>
      </c>
      <c r="P1967">
        <v>4.1029042497748901E-3</v>
      </c>
      <c r="Q1967">
        <v>4.09451029004251E-3</v>
      </c>
      <c r="R1967" s="8">
        <v>15.8905582427979</v>
      </c>
      <c r="S1967" s="8">
        <v>1.9883072291575501E-2</v>
      </c>
      <c r="T1967" s="9">
        <v>1.96879857168256E-2</v>
      </c>
      <c r="U1967" s="12">
        <v>2.3687E-2</v>
      </c>
      <c r="V1967" s="16">
        <v>5.5140000000000002</v>
      </c>
      <c r="W1967" s="17">
        <f t="shared" si="30"/>
        <v>7.8044176633951245E-4</v>
      </c>
    </row>
    <row r="1968" spans="1:23" x14ac:dyDescent="0.2">
      <c r="A1968" s="14">
        <v>44431</v>
      </c>
      <c r="B1968" s="3">
        <v>-427074013426928</v>
      </c>
      <c r="C1968" s="3">
        <f>[1]!nefin_factors__1[[#This Row],[Rm_minus_Rf]]/B1967-1</f>
        <v>-1.5378650596579022</v>
      </c>
      <c r="D1968" s="3">
        <v>572458489038504</v>
      </c>
      <c r="E1968" s="3">
        <f>[1]!nefin_factors__1[[#This Row],[SMB]]/D1967-1</f>
        <v>17.348861766072122</v>
      </c>
      <c r="F1968" s="3">
        <v>121608690901939</v>
      </c>
      <c r="G1968" s="3">
        <f>[1]!nefin_factors__1[[#This Row],[HML]]/F1967-1</f>
        <v>-0.70923812618873527</v>
      </c>
      <c r="H1968" s="3">
        <v>207215400458871</v>
      </c>
      <c r="I1968" s="4">
        <f>[1]!nefin_factors__1[[#This Row],[Risk_Free]]/H1967-1</f>
        <v>3.6495962404365923E-3</v>
      </c>
      <c r="J1968">
        <v>105988</v>
      </c>
      <c r="K1968">
        <v>108669</v>
      </c>
      <c r="L1968">
        <v>105988</v>
      </c>
      <c r="M1968">
        <v>107725</v>
      </c>
      <c r="N1968">
        <v>12661400</v>
      </c>
      <c r="O1968">
        <v>107725</v>
      </c>
      <c r="P1968">
        <v>1.6580477125169898E-2</v>
      </c>
      <c r="Q1968">
        <v>1.6444521759278099E-2</v>
      </c>
      <c r="R1968" s="8">
        <v>16.674152374267599</v>
      </c>
      <c r="S1968" s="8">
        <v>4.93119322491316E-2</v>
      </c>
      <c r="T1968" s="9">
        <v>4.8134646744949001E-2</v>
      </c>
      <c r="U1968" s="12">
        <v>2.3687E-2</v>
      </c>
      <c r="V1968" s="16">
        <v>5.5084</v>
      </c>
      <c r="W1968" s="17">
        <f t="shared" si="30"/>
        <v>-1.0155966630396307E-3</v>
      </c>
    </row>
    <row r="1969" spans="1:23" x14ac:dyDescent="0.2">
      <c r="A1969" s="15">
        <v>44432</v>
      </c>
      <c r="B1969" s="5">
        <v>221647553570448</v>
      </c>
      <c r="C1969" s="5">
        <f>[1]!nefin_factors__1[[#This Row],[Rm_minus_Rf]]/B1968-1</f>
        <v>-1.5189909631632776</v>
      </c>
      <c r="D1969" s="5">
        <v>121948300372085</v>
      </c>
      <c r="E1969" s="5">
        <f>[1]!nefin_factors__1[[#This Row],[SMB]]/D1968-1</f>
        <v>-0.78697442223818137</v>
      </c>
      <c r="F1969" s="5">
        <v>719139398990527</v>
      </c>
      <c r="G1969" s="5">
        <f>[1]!nefin_factors__1[[#This Row],[HML]]/F1968-1</f>
        <v>4.9135526717446201</v>
      </c>
      <c r="H1969" s="5">
        <v>207968760572497</v>
      </c>
      <c r="I1969" s="6">
        <f>[1]!nefin_factors__1[[#This Row],[Risk_Free]]/H1968-1</f>
        <v>3.6356376599311346E-3</v>
      </c>
      <c r="J1969">
        <v>107576</v>
      </c>
      <c r="K1969">
        <v>107915</v>
      </c>
      <c r="L1969">
        <v>105842</v>
      </c>
      <c r="M1969">
        <v>106312</v>
      </c>
      <c r="N1969">
        <v>13248100</v>
      </c>
      <c r="O1969">
        <v>106312</v>
      </c>
      <c r="P1969">
        <v>-1.31167324205153E-2</v>
      </c>
      <c r="Q1969">
        <v>-1.32035164726951E-2</v>
      </c>
      <c r="R1969" s="8">
        <v>15.116076469421399</v>
      </c>
      <c r="S1969" s="8">
        <v>-9.3442585258528305E-2</v>
      </c>
      <c r="T1969" s="9">
        <v>-9.8100914067631106E-2</v>
      </c>
      <c r="U1969" s="12">
        <v>2.3687E-2</v>
      </c>
      <c r="V1969" s="16">
        <v>5.5160999999999998</v>
      </c>
      <c r="W1969" s="17">
        <f t="shared" si="30"/>
        <v>1.3978650787886959E-3</v>
      </c>
    </row>
    <row r="1970" spans="1:23" x14ac:dyDescent="0.2">
      <c r="A1970" s="14">
        <v>44433</v>
      </c>
      <c r="B1970" s="3">
        <v>372823341657456</v>
      </c>
      <c r="C1970" s="3">
        <f>[1]!nefin_factors__1[[#This Row],[Rm_minus_Rf]]/B1969-1</f>
        <v>0.6820548463168965</v>
      </c>
      <c r="D1970" s="3">
        <v>393559028762213</v>
      </c>
      <c r="E1970" s="3">
        <f>[1]!nefin_factors__1[[#This Row],[SMB]]/D1969-1</f>
        <v>2.2272612866386616</v>
      </c>
      <c r="F1970" s="3">
        <v>-118594232554835</v>
      </c>
      <c r="G1970" s="3">
        <f>[1]!nefin_factors__1[[#This Row],[HML]]/F1969-1</f>
        <v>-1.1649113269573446</v>
      </c>
      <c r="H1970" s="3">
        <v>208345387226361</v>
      </c>
      <c r="I1970" s="4">
        <f>[1]!nefin_factors__1[[#This Row],[Risk_Free]]/H1969-1</f>
        <v>1.8109770564926908E-3</v>
      </c>
      <c r="J1970">
        <v>106336</v>
      </c>
      <c r="K1970">
        <v>106971</v>
      </c>
      <c r="L1970">
        <v>104113</v>
      </c>
      <c r="M1970">
        <v>104508</v>
      </c>
      <c r="N1970">
        <v>11579400</v>
      </c>
      <c r="O1970">
        <v>104508</v>
      </c>
      <c r="P1970">
        <v>-1.6968921664534599E-2</v>
      </c>
      <c r="Q1970">
        <v>-1.71145435306038E-2</v>
      </c>
      <c r="R1970" s="8">
        <v>14.1229162216187</v>
      </c>
      <c r="S1970" s="8">
        <v>-6.5702250832867695E-2</v>
      </c>
      <c r="T1970" s="9">
        <v>-6.7960102297621797E-2</v>
      </c>
      <c r="U1970" s="12">
        <v>2.3687E-2</v>
      </c>
      <c r="V1970" s="16">
        <v>5.5471000000000004</v>
      </c>
      <c r="W1970" s="17">
        <f t="shared" si="30"/>
        <v>5.6199126194231841E-3</v>
      </c>
    </row>
    <row r="1971" spans="1:23" x14ac:dyDescent="0.2">
      <c r="A1971" s="15">
        <v>44434</v>
      </c>
      <c r="B1971" s="5">
        <v>-166342889622851</v>
      </c>
      <c r="C1971" s="5">
        <f>[1]!nefin_factors__1[[#This Row],[Rm_minus_Rf]]/B1970-1</f>
        <v>-1.4461708027274862</v>
      </c>
      <c r="D1971" s="5">
        <v>-623098726979645</v>
      </c>
      <c r="E1971" s="5">
        <f>[1]!nefin_factors__1[[#This Row],[SMB]]/D1970-1</f>
        <v>-2.5832408392188588</v>
      </c>
      <c r="F1971" s="5">
        <v>-454942128888078</v>
      </c>
      <c r="G1971" s="5">
        <f>[1]!nefin_factors__1[[#This Row],[HML]]/F1970-1</f>
        <v>2.8361235541342551</v>
      </c>
      <c r="H1971" s="5">
        <v>20909853376172</v>
      </c>
      <c r="I1971" s="6">
        <f>[1]!nefin_factors__1[[#This Row],[Risk_Free]]/H1970-1</f>
        <v>-0.89963851057833077</v>
      </c>
      <c r="J1971">
        <v>104405</v>
      </c>
      <c r="K1971">
        <v>105535</v>
      </c>
      <c r="L1971">
        <v>102551</v>
      </c>
      <c r="M1971">
        <v>102945</v>
      </c>
      <c r="N1971">
        <v>12832200</v>
      </c>
      <c r="O1971">
        <v>102945</v>
      </c>
      <c r="P1971">
        <v>-1.4955792857963E-2</v>
      </c>
      <c r="Q1971">
        <v>-1.50687584698951E-2</v>
      </c>
      <c r="R1971" s="8">
        <v>13.8313455581665</v>
      </c>
      <c r="S1971" s="8">
        <v>-2.0645216531542301E-2</v>
      </c>
      <c r="T1971" s="9">
        <v>-2.08613083634436E-2</v>
      </c>
      <c r="U1971" s="12">
        <v>2.3687E-2</v>
      </c>
      <c r="V1971" s="16">
        <v>5.4988000000000001</v>
      </c>
      <c r="W1971" s="17">
        <f t="shared" si="30"/>
        <v>-8.7072524382110217E-3</v>
      </c>
    </row>
    <row r="1972" spans="1:23" x14ac:dyDescent="0.2">
      <c r="A1972" s="14">
        <v>44435</v>
      </c>
      <c r="B1972" s="3">
        <v>149478334950035</v>
      </c>
      <c r="C1972" s="3">
        <f>[1]!nefin_factors__1[[#This Row],[Rm_minus_Rf]]/B1971-1</f>
        <v>-1.8986157165415789</v>
      </c>
      <c r="D1972" s="3">
        <v>811926937270151</v>
      </c>
      <c r="E1972" s="3">
        <f>[1]!nefin_factors__1[[#This Row],[SMB]]/D1971-1</f>
        <v>-2.3030470166514632</v>
      </c>
      <c r="F1972" s="3">
        <v>49371429359003</v>
      </c>
      <c r="G1972" s="3">
        <f>[1]!nefin_factors__1[[#This Row],[HML]]/F1971-1</f>
        <v>-1.1085224388422139</v>
      </c>
      <c r="H1972" s="3">
        <v>20909853376172</v>
      </c>
      <c r="I1972" s="4">
        <f>[1]!nefin_factors__1[[#This Row],[Risk_Free]]/H1971-1</f>
        <v>0</v>
      </c>
      <c r="J1972">
        <v>102948</v>
      </c>
      <c r="K1972">
        <v>103757</v>
      </c>
      <c r="L1972">
        <v>102014</v>
      </c>
      <c r="M1972">
        <v>102524</v>
      </c>
      <c r="N1972">
        <v>10905700</v>
      </c>
      <c r="O1972">
        <v>102524</v>
      </c>
      <c r="P1972">
        <v>-4.0895623876827701E-3</v>
      </c>
      <c r="Q1972">
        <v>-4.0979475167577904E-3</v>
      </c>
      <c r="R1972" s="8">
        <v>13.767564773559601</v>
      </c>
      <c r="S1972" s="8">
        <v>-4.6113217502020704E-3</v>
      </c>
      <c r="T1972" s="9">
        <v>-4.6219866932968199E-3</v>
      </c>
      <c r="U1972" s="12">
        <v>2.3687E-2</v>
      </c>
      <c r="V1972" s="16">
        <v>5.4509999999999996</v>
      </c>
      <c r="W1972" s="17">
        <f t="shared" si="30"/>
        <v>-8.6928057030626338E-3</v>
      </c>
    </row>
    <row r="1973" spans="1:23" x14ac:dyDescent="0.2">
      <c r="A1973" s="15">
        <v>44438</v>
      </c>
      <c r="B1973" s="5">
        <v>-61487934206746</v>
      </c>
      <c r="C1973" s="5">
        <f>[1]!nefin_factors__1[[#This Row],[Rm_minus_Rf]]/B1972-1</f>
        <v>-1.4113501413251566</v>
      </c>
      <c r="D1973" s="5">
        <v>-216024531058054</v>
      </c>
      <c r="E1973" s="5">
        <f>[1]!nefin_factors__1[[#This Row],[SMB]]/D1972-1</f>
        <v>-1.2660640029808206</v>
      </c>
      <c r="F1973" s="5">
        <v>-233927844936616</v>
      </c>
      <c r="G1973" s="5">
        <f>[1]!nefin_factors__1[[#This Row],[HML]]/F1972-1</f>
        <v>-5.7381217836659353</v>
      </c>
      <c r="H1973" s="5">
        <v>209475053656982</v>
      </c>
      <c r="I1973" s="6">
        <f>[1]!nefin_factors__1[[#This Row],[Risk_Free]]/H1972-1</f>
        <v>9.0180068166183833</v>
      </c>
      <c r="J1973">
        <v>102426</v>
      </c>
      <c r="K1973">
        <v>103975</v>
      </c>
      <c r="L1973">
        <v>102143</v>
      </c>
      <c r="M1973">
        <v>103035</v>
      </c>
      <c r="N1973">
        <v>11101500</v>
      </c>
      <c r="O1973">
        <v>103035</v>
      </c>
      <c r="P1973">
        <v>4.9841988217393897E-3</v>
      </c>
      <c r="Q1973">
        <v>4.9718188220048099E-3</v>
      </c>
      <c r="R1973" s="8">
        <v>13.922462463378899</v>
      </c>
      <c r="S1973" s="8">
        <v>1.12509141861323E-2</v>
      </c>
      <c r="T1973" s="9">
        <v>1.11880934061086E-2</v>
      </c>
      <c r="U1973" s="12">
        <v>2.3687E-2</v>
      </c>
      <c r="V1973" s="16">
        <v>5.5193000000000003</v>
      </c>
      <c r="W1973" s="17">
        <f t="shared" si="30"/>
        <v>1.2529811043845207E-2</v>
      </c>
    </row>
    <row r="1974" spans="1:23" x14ac:dyDescent="0.2">
      <c r="A1974" s="14">
        <v>44439</v>
      </c>
      <c r="B1974" s="3">
        <v>-93003929088284</v>
      </c>
      <c r="C1974" s="3">
        <f>[1]!nefin_factors__1[[#This Row],[Rm_minus_Rf]]/B1973-1</f>
        <v>0.51255576054269691</v>
      </c>
      <c r="D1974" s="3">
        <v>-909353842750902</v>
      </c>
      <c r="E1974" s="3">
        <f>[1]!nefin_factors__1[[#This Row],[SMB]]/D1973-1</f>
        <v>3.2094934232562879</v>
      </c>
      <c r="F1974" s="3">
        <v>469580812990165</v>
      </c>
      <c r="G1974" s="3">
        <f>[1]!nefin_factors__1[[#This Row],[HML]]/F1973-1</f>
        <v>-3.0073745950055688</v>
      </c>
      <c r="H1974" s="3">
        <v>210227986735534</v>
      </c>
      <c r="I1974" s="4">
        <f>[1]!nefin_factors__1[[#This Row],[Risk_Free]]/H1973-1</f>
        <v>3.5943806453675453E-3</v>
      </c>
      <c r="J1974">
        <v>103036</v>
      </c>
      <c r="K1974">
        <v>104613</v>
      </c>
      <c r="L1974">
        <v>102122</v>
      </c>
      <c r="M1974">
        <v>102122</v>
      </c>
      <c r="N1974">
        <v>10410000</v>
      </c>
      <c r="O1974">
        <v>102122</v>
      </c>
      <c r="P1974">
        <v>-8.8610666278449192E-3</v>
      </c>
      <c r="Q1974">
        <v>-8.9005593502577904E-3</v>
      </c>
      <c r="R1974" s="8">
        <v>13.5124406814575</v>
      </c>
      <c r="S1974" s="8">
        <v>-2.94503779773077E-2</v>
      </c>
      <c r="T1974" s="9">
        <v>-2.98927473116198E-2</v>
      </c>
      <c r="U1974" s="12">
        <v>2.3687E-2</v>
      </c>
      <c r="V1974" s="16">
        <v>5.5521000000000003</v>
      </c>
      <c r="W1974" s="17">
        <f t="shared" si="30"/>
        <v>5.9427825992426353E-3</v>
      </c>
    </row>
    <row r="1975" spans="1:23" x14ac:dyDescent="0.2">
      <c r="A1975" s="15">
        <v>44440</v>
      </c>
      <c r="B1975" s="5">
        <v>472847757924274</v>
      </c>
      <c r="C1975" s="5">
        <f>[1]!nefin_factors__1[[#This Row],[Rm_minus_Rf]]/B1974-1</f>
        <v>-6.0841696964804912</v>
      </c>
      <c r="D1975" s="5">
        <v>-199333530636415</v>
      </c>
      <c r="E1975" s="5">
        <f>[1]!nefin_factors__1[[#This Row],[SMB]]/D1974-1</f>
        <v>-0.78079651587174503</v>
      </c>
      <c r="F1975" s="5">
        <v>-748676128246535</v>
      </c>
      <c r="G1975" s="5">
        <f>[1]!nefin_factors__1[[#This Row],[HML]]/F1974-1</f>
        <v>-2.5943499128066279</v>
      </c>
      <c r="H1975" s="5">
        <v>21060439993259</v>
      </c>
      <c r="I1975" s="6">
        <f>[1]!nefin_factors__1[[#This Row],[Risk_Free]]/H1974-1</f>
        <v>-0.89982095000627604</v>
      </c>
      <c r="J1975">
        <v>102124</v>
      </c>
      <c r="K1975">
        <v>103692</v>
      </c>
      <c r="L1975">
        <v>101736</v>
      </c>
      <c r="M1975">
        <v>103663</v>
      </c>
      <c r="N1975">
        <v>13032400</v>
      </c>
      <c r="O1975">
        <v>103663</v>
      </c>
      <c r="P1975">
        <v>1.50897945594486E-2</v>
      </c>
      <c r="Q1975">
        <v>1.49770761269828E-2</v>
      </c>
      <c r="R1975" s="8">
        <v>14.0226888656616</v>
      </c>
      <c r="S1975" s="8">
        <v>3.77613634895946E-2</v>
      </c>
      <c r="T1975" s="9">
        <v>3.7065858013530198E-2</v>
      </c>
      <c r="U1975" s="12">
        <v>2.3687E-2</v>
      </c>
      <c r="V1975" s="16">
        <v>5.5571000000000002</v>
      </c>
      <c r="W1975" s="17">
        <f t="shared" si="30"/>
        <v>9.0056014841222165E-4</v>
      </c>
    </row>
    <row r="1976" spans="1:23" x14ac:dyDescent="0.2">
      <c r="A1976" s="14">
        <v>44441</v>
      </c>
      <c r="B1976" s="3">
        <v>-233539544708464</v>
      </c>
      <c r="C1976" s="3">
        <f>[1]!nefin_factors__1[[#This Row],[Rm_minus_Rf]]/B1975-1</f>
        <v>-1.4939000783966181</v>
      </c>
      <c r="D1976" s="3">
        <v>-10228325936675</v>
      </c>
      <c r="E1976" s="3">
        <f>[1]!nefin_factors__1[[#This Row],[SMB]]/D1975-1</f>
        <v>-0.9486873788668726</v>
      </c>
      <c r="F1976" s="3">
        <v>-184464243300563</v>
      </c>
      <c r="G1976" s="3">
        <f>[1]!nefin_factors__1[[#This Row],[HML]]/F1975-1</f>
        <v>-0.75361276212640249</v>
      </c>
      <c r="H1976" s="3">
        <v>212109697262486</v>
      </c>
      <c r="I1976" s="4">
        <f>[1]!nefin_factors__1[[#This Row],[Risk_Free]]/H1975-1</f>
        <v>9.0714751130735074</v>
      </c>
      <c r="J1976">
        <v>103652</v>
      </c>
      <c r="K1976">
        <v>105041</v>
      </c>
      <c r="L1976">
        <v>102464</v>
      </c>
      <c r="M1976">
        <v>104514</v>
      </c>
      <c r="N1976">
        <v>10466600</v>
      </c>
      <c r="O1976">
        <v>104514</v>
      </c>
      <c r="P1976">
        <v>8.2092935763000696E-3</v>
      </c>
      <c r="Q1976">
        <v>8.1757806126999902E-3</v>
      </c>
      <c r="R1976" s="8">
        <v>14.332482337951699</v>
      </c>
      <c r="S1976" s="8">
        <v>2.2092301644704802E-2</v>
      </c>
      <c r="T1976" s="9">
        <v>2.1851802424229998E-2</v>
      </c>
      <c r="U1976" s="12">
        <v>2.3687E-2</v>
      </c>
      <c r="V1976" s="16">
        <v>5.6422999999999996</v>
      </c>
      <c r="W1976" s="17">
        <f t="shared" si="30"/>
        <v>1.5331737776898002E-2</v>
      </c>
    </row>
    <row r="1977" spans="1:23" x14ac:dyDescent="0.2">
      <c r="A1977" s="15">
        <v>44442</v>
      </c>
      <c r="B1977" s="5">
        <v>479891015192495</v>
      </c>
      <c r="C1977" s="5">
        <f>[1]!nefin_factors__1[[#This Row],[Rm_minus_Rf]]/B1976-1</f>
        <v>-3.0548597702867006</v>
      </c>
      <c r="D1977" s="5">
        <v>-566628647088951</v>
      </c>
      <c r="E1977" s="5">
        <f>[1]!nefin_factors__1[[#This Row],[SMB]]/D1976-1</f>
        <v>54.397985026780376</v>
      </c>
      <c r="F1977" s="5">
        <v>-728762085138248</v>
      </c>
      <c r="G1977" s="5">
        <f>[1]!nefin_factors__1[[#This Row],[HML]]/F1976-1</f>
        <v>2.9506956584036454</v>
      </c>
      <c r="H1977" s="5">
        <v>213238297216867</v>
      </c>
      <c r="I1977" s="6">
        <f>[1]!nefin_factors__1[[#This Row],[Risk_Free]]/H1976-1</f>
        <v>5.3208314798749434E-3</v>
      </c>
      <c r="J1977">
        <v>104514</v>
      </c>
      <c r="K1977">
        <v>106400</v>
      </c>
      <c r="L1977">
        <v>104514</v>
      </c>
      <c r="M1977">
        <v>105811</v>
      </c>
      <c r="N1977">
        <v>7890400</v>
      </c>
      <c r="O1977">
        <v>105811</v>
      </c>
      <c r="P1977">
        <v>1.2409820693878301E-2</v>
      </c>
      <c r="Q1977">
        <v>1.23334500505923E-2</v>
      </c>
      <c r="R1977" s="8">
        <v>15.316530227661101</v>
      </c>
      <c r="S1977" s="8">
        <v>6.8658580314714002E-2</v>
      </c>
      <c r="T1977" s="9">
        <v>6.6404198723356303E-2</v>
      </c>
      <c r="U1977" s="12">
        <v>2.3687E-2</v>
      </c>
      <c r="V1977" s="16">
        <v>5.7117000000000004</v>
      </c>
      <c r="W1977" s="17">
        <f t="shared" si="30"/>
        <v>1.2299948602520372E-2</v>
      </c>
    </row>
    <row r="1978" spans="1:23" x14ac:dyDescent="0.2">
      <c r="A1978" s="14">
        <v>44445</v>
      </c>
      <c r="B1978" s="3">
        <v>817729988568654</v>
      </c>
      <c r="C1978" s="3">
        <f>[1]!nefin_factors__1[[#This Row],[Rm_minus_Rf]]/B1977-1</f>
        <v>0.70399103688291453</v>
      </c>
      <c r="D1978" s="3">
        <v>525974482975569</v>
      </c>
      <c r="E1978" s="3">
        <f>[1]!nefin_factors__1[[#This Row],[SMB]]/D1977-1</f>
        <v>-1.9282525436681637</v>
      </c>
      <c r="F1978" s="3">
        <v>-330023840576631</v>
      </c>
      <c r="G1978" s="3">
        <f>[1]!nefin_factors__1[[#This Row],[HML]]/F1977-1</f>
        <v>-0.54714460685200894</v>
      </c>
      <c r="H1978" s="3">
        <v>217373764503481</v>
      </c>
      <c r="I1978" s="4">
        <f>[1]!nefin_factors__1[[#This Row],[Risk_Free]]/H1977-1</f>
        <v>1.9393642420658441E-2</v>
      </c>
      <c r="J1978">
        <v>105810</v>
      </c>
      <c r="K1978">
        <v>105810</v>
      </c>
      <c r="L1978">
        <v>101495</v>
      </c>
      <c r="M1978">
        <v>102224</v>
      </c>
      <c r="N1978">
        <v>10969100</v>
      </c>
      <c r="O1978">
        <v>102224</v>
      </c>
      <c r="P1978">
        <v>-3.3900067100773999E-2</v>
      </c>
      <c r="Q1978">
        <v>-3.4487999913984498E-2</v>
      </c>
      <c r="R1978" s="8">
        <v>13.6217803955078</v>
      </c>
      <c r="S1978" s="8">
        <v>-0.110648417556912</v>
      </c>
      <c r="T1978" s="9">
        <v>-0.117262640836785</v>
      </c>
      <c r="U1978" s="12">
        <v>2.3687E-2</v>
      </c>
      <c r="V1978" s="16">
        <v>5.5972999999999997</v>
      </c>
      <c r="W1978" s="17">
        <f t="shared" si="30"/>
        <v>-2.0029063151075999E-2</v>
      </c>
    </row>
    <row r="1979" spans="1:23" x14ac:dyDescent="0.2">
      <c r="A1979" s="15">
        <v>44447</v>
      </c>
      <c r="B1979" s="5">
        <v>-385742938369694</v>
      </c>
      <c r="C1979" s="5">
        <f>[1]!nefin_factors__1[[#This Row],[Rm_minus_Rf]]/B1978-1</f>
        <v>-1.4717240944592167</v>
      </c>
      <c r="D1979" s="5">
        <v>-235186464011133</v>
      </c>
      <c r="E1979" s="5">
        <f>[1]!nefin_factors__1[[#This Row],[SMB]]/D1978-1</f>
        <v>-1.4471442467714868</v>
      </c>
      <c r="F1979" s="5">
        <v>-100323048381897</v>
      </c>
      <c r="G1979" s="5">
        <f>[1]!nefin_factors__1[[#This Row],[HML]]/F1978-1</f>
        <v>-0.69601272378804957</v>
      </c>
      <c r="H1979" s="5">
        <v>221129559649924</v>
      </c>
      <c r="I1979" s="6">
        <f>[1]!nefin_factors__1[[#This Row],[Risk_Free]]/H1978-1</f>
        <v>1.7278051723591759E-2</v>
      </c>
      <c r="J1979">
        <v>102227</v>
      </c>
      <c r="K1979">
        <v>104149</v>
      </c>
      <c r="L1979">
        <v>102226</v>
      </c>
      <c r="M1979">
        <v>102814</v>
      </c>
      <c r="N1979">
        <v>10283300</v>
      </c>
      <c r="O1979">
        <v>102814</v>
      </c>
      <c r="P1979">
        <v>5.7716387541086904E-3</v>
      </c>
      <c r="Q1979">
        <v>5.7550466589289901E-3</v>
      </c>
      <c r="R1979" s="8">
        <v>13.257317543029799</v>
      </c>
      <c r="S1979" s="8">
        <v>-2.6755889604432301E-2</v>
      </c>
      <c r="T1979" s="9">
        <v>-2.7120343991446399E-2</v>
      </c>
      <c r="U1979" s="12">
        <v>2.3687E-2</v>
      </c>
      <c r="V1979" s="16">
        <v>5.58</v>
      </c>
      <c r="W1979" s="17">
        <f t="shared" si="30"/>
        <v>-3.0907759098135479E-3</v>
      </c>
    </row>
    <row r="1980" spans="1:23" x14ac:dyDescent="0.2">
      <c r="A1980" s="14">
        <v>44448</v>
      </c>
      <c r="B1980" s="3">
        <v>176320929336958</v>
      </c>
      <c r="C1980" s="3">
        <f>[1]!nefin_factors__1[[#This Row],[Rm_minus_Rf]]/B1979-1</f>
        <v>-1.4570943802164251</v>
      </c>
      <c r="D1980" s="3">
        <v>541576568096239</v>
      </c>
      <c r="E1980" s="3">
        <f>[1]!nefin_factors__1[[#This Row],[SMB]]/D1979-1</f>
        <v>-3.3027539887270145</v>
      </c>
      <c r="F1980" s="3">
        <v>988186817732228</v>
      </c>
      <c r="G1980" s="3">
        <f>[1]!nefin_factors__1[[#This Row],[HML]]/F1979-1</f>
        <v>-10.850047757425834</v>
      </c>
      <c r="H1980" s="3">
        <v>22750629872581</v>
      </c>
      <c r="I1980" s="4">
        <f>[1]!nefin_factors__1[[#This Row],[Risk_Free]]/H1979-1</f>
        <v>-0.89711628825834899</v>
      </c>
      <c r="J1980">
        <v>102814</v>
      </c>
      <c r="K1980">
        <v>103066</v>
      </c>
      <c r="L1980">
        <v>100075</v>
      </c>
      <c r="M1980">
        <v>101915</v>
      </c>
      <c r="N1980">
        <v>18195100</v>
      </c>
      <c r="O1980">
        <v>101915</v>
      </c>
      <c r="P1980">
        <v>-8.7439453770886705E-3</v>
      </c>
      <c r="Q1980">
        <v>-8.7823979832226794E-3</v>
      </c>
      <c r="R1980" s="8">
        <v>12.4099426269531</v>
      </c>
      <c r="S1980" s="8">
        <v>-6.3917524289985803E-2</v>
      </c>
      <c r="T1980" s="9">
        <v>-6.6051691311648605E-2</v>
      </c>
      <c r="U1980" s="12">
        <v>2.3687E-2</v>
      </c>
      <c r="V1980" s="16">
        <v>5.5667</v>
      </c>
      <c r="W1980" s="17">
        <f t="shared" si="30"/>
        <v>-2.383512544802846E-3</v>
      </c>
    </row>
    <row r="1981" spans="1:23" x14ac:dyDescent="0.2">
      <c r="A1981" s="15">
        <v>44449</v>
      </c>
      <c r="B1981" s="5">
        <v>-918091180259901</v>
      </c>
      <c r="C1981" s="5">
        <f>[1]!nefin_factors__1[[#This Row],[Rm_minus_Rf]]/B1980-1</f>
        <v>-6.2069325162492959</v>
      </c>
      <c r="D1981" s="5">
        <v>139608200365794</v>
      </c>
      <c r="E1981" s="5">
        <f>[1]!nefin_factors__1[[#This Row],[SMB]]/D1980-1</f>
        <v>-0.74221890570977322</v>
      </c>
      <c r="F1981" s="5">
        <v>55025625549665</v>
      </c>
      <c r="G1981" s="5">
        <f>[1]!nefin_factors__1[[#This Row],[HML]]/F1980-1</f>
        <v>-0.94431657601348873</v>
      </c>
      <c r="H1981" s="5">
        <v>22750629872581</v>
      </c>
      <c r="I1981" s="6">
        <f>[1]!nefin_factors__1[[#This Row],[Risk_Free]]/H1980-1</f>
        <v>0</v>
      </c>
      <c r="J1981">
        <v>101916</v>
      </c>
      <c r="K1981">
        <v>104087</v>
      </c>
      <c r="L1981">
        <v>100727</v>
      </c>
      <c r="M1981">
        <v>100775</v>
      </c>
      <c r="N1981">
        <v>13762900</v>
      </c>
      <c r="O1981">
        <v>100775</v>
      </c>
      <c r="P1981">
        <v>-1.11857920816366E-2</v>
      </c>
      <c r="Q1981">
        <v>-1.12488235324641E-2</v>
      </c>
      <c r="R1981" s="8">
        <v>12.145708084106399</v>
      </c>
      <c r="S1981" s="8">
        <v>-2.1292164741582999E-2</v>
      </c>
      <c r="T1981" s="9">
        <v>-2.1522112800845001E-2</v>
      </c>
      <c r="U1981" s="12">
        <v>2.9256000000000001E-2</v>
      </c>
      <c r="V1981" s="16">
        <v>5.6124000000000001</v>
      </c>
      <c r="W1981" s="17">
        <f t="shared" si="30"/>
        <v>8.2095316794510431E-3</v>
      </c>
    </row>
    <row r="1982" spans="1:23" x14ac:dyDescent="0.2">
      <c r="A1982" s="14">
        <v>44452</v>
      </c>
      <c r="B1982" s="3">
        <v>172986428394451</v>
      </c>
      <c r="C1982" s="3">
        <f>[1]!nefin_factors__1[[#This Row],[Rm_minus_Rf]]/B1981-1</f>
        <v>-1.1884196603930783</v>
      </c>
      <c r="D1982" s="3">
        <v>100760827564507</v>
      </c>
      <c r="E1982" s="3">
        <f>[1]!nefin_factors__1[[#This Row],[SMB]]/D1981-1</f>
        <v>-0.27825996395269892</v>
      </c>
      <c r="F1982" s="3">
        <v>170856971790677</v>
      </c>
      <c r="G1982" s="3">
        <f>[1]!nefin_factors__1[[#This Row],[HML]]/F1981-1</f>
        <v>2.1050436970764648</v>
      </c>
      <c r="H1982" s="3">
        <v>23087809289235</v>
      </c>
      <c r="I1982" s="4">
        <f>[1]!nefin_factors__1[[#This Row],[Risk_Free]]/H1981-1</f>
        <v>1.4820662924166728E-2</v>
      </c>
      <c r="J1982">
        <v>100785</v>
      </c>
      <c r="K1982">
        <v>104466</v>
      </c>
      <c r="L1982">
        <v>100785</v>
      </c>
      <c r="M1982">
        <v>104466</v>
      </c>
      <c r="N1982">
        <v>14846500</v>
      </c>
      <c r="O1982">
        <v>104466</v>
      </c>
      <c r="P1982">
        <v>3.6626147357975598E-2</v>
      </c>
      <c r="Q1982">
        <v>3.5971350609286898E-2</v>
      </c>
      <c r="R1982" s="8">
        <v>12.045479774475099</v>
      </c>
      <c r="S1982" s="8">
        <v>-8.2521586174546507E-3</v>
      </c>
      <c r="T1982" s="9">
        <v>-8.2863961642580097E-3</v>
      </c>
      <c r="U1982" s="12">
        <v>2.9256000000000001E-2</v>
      </c>
      <c r="V1982" s="16">
        <v>5.6429999999999998</v>
      </c>
      <c r="W1982" s="17">
        <f t="shared" si="30"/>
        <v>5.4522129570235833E-3</v>
      </c>
    </row>
    <row r="1983" spans="1:23" x14ac:dyDescent="0.2">
      <c r="A1983" s="15">
        <v>44453</v>
      </c>
      <c r="B1983" s="5">
        <v>-167908646028764</v>
      </c>
      <c r="C1983" s="5">
        <f>[1]!nefin_factors__1[[#This Row],[Rm_minus_Rf]]/B1982-1</f>
        <v>-1.9706463540936956</v>
      </c>
      <c r="D1983" s="5">
        <v>-56386301131851</v>
      </c>
      <c r="E1983" s="5">
        <f>[1]!nefin_factors__1[[#This Row],[SMB]]/D1982-1</f>
        <v>-1.5596053793400271</v>
      </c>
      <c r="F1983" s="5">
        <v>-607030905248248</v>
      </c>
      <c r="G1983" s="5">
        <f>[1]!nefin_factors__1[[#This Row],[HML]]/F1982-1</f>
        <v>-4.5528600260570187</v>
      </c>
      <c r="H1983" s="5">
        <v>227131478759857</v>
      </c>
      <c r="I1983" s="6">
        <f>[1]!nefin_factors__1[[#This Row],[Risk_Free]]/H1982-1</f>
        <v>8.8377232726779358</v>
      </c>
      <c r="J1983">
        <v>104467</v>
      </c>
      <c r="K1983">
        <v>106814</v>
      </c>
      <c r="L1983">
        <v>104090</v>
      </c>
      <c r="M1983">
        <v>105070</v>
      </c>
      <c r="N1983">
        <v>14581500</v>
      </c>
      <c r="O1983">
        <v>105070</v>
      </c>
      <c r="P1983">
        <v>5.7817854612984797E-3</v>
      </c>
      <c r="Q1983">
        <v>5.7651350881675499E-3</v>
      </c>
      <c r="R1983" s="8">
        <v>12.8928546905518</v>
      </c>
      <c r="S1983" s="8">
        <v>7.0347958897601301E-2</v>
      </c>
      <c r="T1983" s="9">
        <v>6.7983790840709102E-2</v>
      </c>
      <c r="U1983" s="12">
        <v>2.9256000000000001E-2</v>
      </c>
      <c r="V1983" s="16">
        <v>5.6694000000000004</v>
      </c>
      <c r="W1983" s="17">
        <f t="shared" si="30"/>
        <v>4.6783625730995038E-3</v>
      </c>
    </row>
    <row r="1984" spans="1:23" x14ac:dyDescent="0.2">
      <c r="A1984" s="14">
        <v>44454</v>
      </c>
      <c r="B1984" s="3">
        <v>-980445402126065</v>
      </c>
      <c r="C1984" s="3">
        <f>[1]!nefin_factors__1[[#This Row],[Rm_minus_Rf]]/B1983-1</f>
        <v>4.8391597175889762</v>
      </c>
      <c r="D1984" s="3">
        <v>71098443129716</v>
      </c>
      <c r="E1984" s="3">
        <f>[1]!nefin_factors__1[[#This Row],[SMB]]/D1983-1</f>
        <v>-2.2609169550501784</v>
      </c>
      <c r="F1984" s="3">
        <v>887143442684717</v>
      </c>
      <c r="G1984" s="3">
        <f>[1]!nefin_factors__1[[#This Row],[HML]]/F1983-1</f>
        <v>-2.4614469131879138</v>
      </c>
      <c r="H1984" s="3">
        <v>229005226139778</v>
      </c>
      <c r="I1984" s="4">
        <f>[1]!nefin_factors__1[[#This Row],[Risk_Free]]/H1983-1</f>
        <v>8.2496155537388205E-3</v>
      </c>
      <c r="J1984">
        <v>105070</v>
      </c>
      <c r="K1984">
        <v>107498</v>
      </c>
      <c r="L1984">
        <v>105070</v>
      </c>
      <c r="M1984">
        <v>106859</v>
      </c>
      <c r="N1984">
        <v>11127500</v>
      </c>
      <c r="O1984">
        <v>106859</v>
      </c>
      <c r="P1984">
        <v>1.7026744075378401E-2</v>
      </c>
      <c r="Q1984">
        <v>1.6883413746599601E-2</v>
      </c>
      <c r="R1984" s="8">
        <v>13.6491146087646</v>
      </c>
      <c r="S1984" s="8">
        <v>5.86572901319595E-2</v>
      </c>
      <c r="T1984" s="9">
        <v>5.7001397749307001E-2</v>
      </c>
      <c r="U1984" s="12">
        <v>2.9256000000000001E-2</v>
      </c>
      <c r="V1984" s="16">
        <v>5.6672000000000002</v>
      </c>
      <c r="W1984" s="17">
        <f t="shared" si="30"/>
        <v>-3.8804811796666616E-4</v>
      </c>
    </row>
    <row r="1985" spans="1:23" x14ac:dyDescent="0.2">
      <c r="A1985" s="15">
        <v>44455</v>
      </c>
      <c r="B1985" s="5">
        <v>-965651856029588</v>
      </c>
      <c r="C1985" s="5">
        <f>[1]!nefin_factors__1[[#This Row],[Rm_minus_Rf]]/B1984-1</f>
        <v>-1.5088597554129612E-2</v>
      </c>
      <c r="D1985" s="5">
        <v>525260550820211</v>
      </c>
      <c r="E1985" s="5">
        <f>[1]!nefin_factors__1[[#This Row],[SMB]]/D1984-1</f>
        <v>6.3877925830513069</v>
      </c>
      <c r="F1985" s="5">
        <v>-961151637052871</v>
      </c>
      <c r="G1985" s="5">
        <f>[1]!nefin_factors__1[[#This Row],[HML]]/F1984-1</f>
        <v>-2.0834230303773502</v>
      </c>
      <c r="H1985" s="5">
        <v>230129051813632</v>
      </c>
      <c r="I1985" s="6">
        <f>[1]!nefin_factors__1[[#This Row],[Risk_Free]]/H1984-1</f>
        <v>4.9074236985668929E-3</v>
      </c>
      <c r="J1985">
        <v>106868</v>
      </c>
      <c r="K1985">
        <v>108655</v>
      </c>
      <c r="L1985">
        <v>106868</v>
      </c>
      <c r="M1985">
        <v>107558</v>
      </c>
      <c r="N1985">
        <v>11773100</v>
      </c>
      <c r="O1985">
        <v>107558</v>
      </c>
      <c r="P1985">
        <v>6.5413301640480101E-3</v>
      </c>
      <c r="Q1985">
        <v>6.5200285075409604E-3</v>
      </c>
      <c r="R1985" s="8">
        <v>13.384880065918001</v>
      </c>
      <c r="S1985" s="8">
        <v>-1.9359097671947399E-2</v>
      </c>
      <c r="T1985" s="9">
        <v>-1.9548939103137E-2</v>
      </c>
      <c r="U1985" s="12">
        <v>2.9256000000000001E-2</v>
      </c>
      <c r="V1985" s="16">
        <v>5.5941999999999998</v>
      </c>
      <c r="W1985" s="17">
        <f t="shared" si="30"/>
        <v>-1.2881140598531959E-2</v>
      </c>
    </row>
    <row r="1986" spans="1:23" x14ac:dyDescent="0.2">
      <c r="A1986" s="14">
        <v>44456</v>
      </c>
      <c r="B1986" s="3">
        <v>-187245933808505</v>
      </c>
      <c r="C1986" s="3">
        <f>[1]!nefin_factors__1[[#This Row],[Rm_minus_Rf]]/B1985-1</f>
        <v>-0.80609374627167107</v>
      </c>
      <c r="D1986" s="3">
        <v>102093935776732</v>
      </c>
      <c r="E1986" s="3">
        <f>[1]!nefin_factors__1[[#This Row],[SMB]]/D1985-1</f>
        <v>-0.80563182287855217</v>
      </c>
      <c r="F1986" s="3">
        <v>-99195654901557</v>
      </c>
      <c r="G1986" s="3">
        <f>[1]!nefin_factors__1[[#This Row],[HML]]/F1985-1</f>
        <v>-0.89679499979242039</v>
      </c>
      <c r="H1986" s="3">
        <v>232001390587655</v>
      </c>
      <c r="I1986" s="4">
        <f>[1]!nefin_factors__1[[#This Row],[Risk_Free]]/H1985-1</f>
        <v>8.1360382762072359E-3</v>
      </c>
      <c r="J1986">
        <v>107558</v>
      </c>
      <c r="K1986">
        <v>108521</v>
      </c>
      <c r="L1986">
        <v>107309</v>
      </c>
      <c r="M1986">
        <v>108096</v>
      </c>
      <c r="N1986">
        <v>13166800</v>
      </c>
      <c r="O1986">
        <v>108096</v>
      </c>
      <c r="P1986">
        <v>5.0019524349653698E-3</v>
      </c>
      <c r="Q1986">
        <v>4.9894842305105696E-3</v>
      </c>
      <c r="R1986" s="8">
        <v>14.669609069824199</v>
      </c>
      <c r="S1986" s="8">
        <v>9.5983602212287703E-2</v>
      </c>
      <c r="T1986" s="9">
        <v>9.1652226928760697E-2</v>
      </c>
      <c r="U1986" s="12">
        <v>2.9256000000000001E-2</v>
      </c>
      <c r="V1986" s="16">
        <v>5.5454999999999997</v>
      </c>
      <c r="W1986" s="17">
        <f t="shared" si="30"/>
        <v>-8.7054449251010579E-3</v>
      </c>
    </row>
    <row r="1987" spans="1:23" x14ac:dyDescent="0.2">
      <c r="A1987" s="15">
        <v>44459</v>
      </c>
      <c r="B1987" s="5">
        <v>-228010460761579</v>
      </c>
      <c r="C1987" s="5">
        <f>[1]!nefin_factors__1[[#This Row],[Rm_minus_Rf]]/B1986-1</f>
        <v>0.21770580606980539</v>
      </c>
      <c r="D1987" s="5">
        <v>-486530907704154</v>
      </c>
      <c r="E1987" s="5">
        <f>[1]!nefin_factors__1[[#This Row],[SMB]]/D1986-1</f>
        <v>-5.7655221047422698</v>
      </c>
      <c r="F1987" s="5">
        <v>184040920983506</v>
      </c>
      <c r="G1987" s="5">
        <f>[1]!nefin_factors__1[[#This Row],[HML]]/F1986-1</f>
        <v>-2.8553324857439621</v>
      </c>
      <c r="H1987" s="5">
        <v>234621187830353</v>
      </c>
      <c r="I1987" s="6">
        <f>[1]!nefin_factors__1[[#This Row],[Risk_Free]]/H1986-1</f>
        <v>1.1292161810160239E-2</v>
      </c>
      <c r="J1987">
        <v>106573</v>
      </c>
      <c r="K1987">
        <v>106754</v>
      </c>
      <c r="L1987">
        <v>105890</v>
      </c>
      <c r="M1987">
        <v>106291</v>
      </c>
      <c r="N1987">
        <v>11082900</v>
      </c>
      <c r="O1987">
        <v>106291</v>
      </c>
      <c r="P1987">
        <v>-1.6698120189461301E-2</v>
      </c>
      <c r="Q1987">
        <v>-1.68391054613149E-2</v>
      </c>
      <c r="R1987" s="8">
        <v>14.6058292388916</v>
      </c>
      <c r="S1987" s="8">
        <v>-4.34775259715781E-3</v>
      </c>
      <c r="T1987" s="9">
        <v>-4.3572315582435803E-3</v>
      </c>
      <c r="U1987" s="12">
        <v>2.9256000000000001E-2</v>
      </c>
      <c r="V1987" s="16">
        <v>5.5627000000000004</v>
      </c>
      <c r="W1987" s="17">
        <f t="shared" si="30"/>
        <v>3.1016139211974547E-3</v>
      </c>
    </row>
    <row r="1988" spans="1:23" x14ac:dyDescent="0.2">
      <c r="A1988" s="14">
        <v>44460</v>
      </c>
      <c r="B1988" s="3">
        <v>121762960277555</v>
      </c>
      <c r="C1988" s="3">
        <f>[1]!nefin_factors__1[[#This Row],[Rm_minus_Rf]]/B1987-1</f>
        <v>-1.5340235701066252</v>
      </c>
      <c r="D1988" s="3">
        <v>873453048310189</v>
      </c>
      <c r="E1988" s="3">
        <f>[1]!nefin_factors__1[[#This Row],[SMB]]/D1987-1</f>
        <v>-2.7952673396061236</v>
      </c>
      <c r="F1988" s="3">
        <v>-54916331631906</v>
      </c>
      <c r="G1988" s="3">
        <f>[1]!nefin_factors__1[[#This Row],[HML]]/F1987-1</f>
        <v>-1.2983919627137037</v>
      </c>
      <c r="H1988" s="3">
        <v>236491417670015</v>
      </c>
      <c r="I1988" s="4">
        <f>[1]!nefin_factors__1[[#This Row],[Risk_Free]]/H1987-1</f>
        <v>7.971274278153917E-3</v>
      </c>
      <c r="J1988">
        <v>106296</v>
      </c>
      <c r="K1988">
        <v>108275</v>
      </c>
      <c r="L1988">
        <v>106296</v>
      </c>
      <c r="M1988">
        <v>107758</v>
      </c>
      <c r="N1988">
        <v>10466000</v>
      </c>
      <c r="O1988">
        <v>107758</v>
      </c>
      <c r="P1988">
        <v>1.3801732978333099E-2</v>
      </c>
      <c r="Q1988">
        <v>1.3707356443419E-2</v>
      </c>
      <c r="R1988" s="8">
        <v>14.687832832336399</v>
      </c>
      <c r="S1988" s="8">
        <v>5.6144428435784804E-3</v>
      </c>
      <c r="T1988" s="9">
        <v>5.5987406048218797E-3</v>
      </c>
      <c r="U1988" s="12">
        <v>2.9256000000000001E-2</v>
      </c>
      <c r="V1988" s="16">
        <v>5.4957000000000003</v>
      </c>
      <c r="W1988" s="17">
        <f t="shared" ref="W1988:W2051" si="31">V1988/V1987-1</f>
        <v>-1.2044510759163796E-2</v>
      </c>
    </row>
    <row r="1989" spans="1:23" x14ac:dyDescent="0.2">
      <c r="A1989" s="15">
        <v>44461</v>
      </c>
      <c r="B1989" s="5">
        <v>160751068737095</v>
      </c>
      <c r="C1989" s="5">
        <f>[1]!nefin_factors__1[[#This Row],[Rm_minus_Rf]]/B1988-1</f>
        <v>0.3201967853825809</v>
      </c>
      <c r="D1989" s="5">
        <v>96644867532576</v>
      </c>
      <c r="E1989" s="5">
        <f>[1]!nefin_factors__1[[#This Row],[SMB]]/D1988-1</f>
        <v>-0.88935310521893729</v>
      </c>
      <c r="F1989" s="5">
        <v>158707565365792</v>
      </c>
      <c r="G1989" s="5">
        <f>[1]!nefin_factors__1[[#This Row],[HML]]/F1988-1</f>
        <v>-3.8899884724562344</v>
      </c>
      <c r="H1989" s="5">
        <v>238360770191459</v>
      </c>
      <c r="I1989" s="6">
        <f>[1]!nefin_factors__1[[#This Row],[Risk_Free]]/H1988-1</f>
        <v>7.904525838025922E-3</v>
      </c>
      <c r="J1989">
        <v>107758</v>
      </c>
      <c r="K1989">
        <v>109493</v>
      </c>
      <c r="L1989">
        <v>107383</v>
      </c>
      <c r="M1989">
        <v>107383</v>
      </c>
      <c r="N1989">
        <v>12512300</v>
      </c>
      <c r="O1989">
        <v>107383</v>
      </c>
      <c r="P1989">
        <v>-3.4800200449154298E-3</v>
      </c>
      <c r="Q1989">
        <v>-3.4860893997473602E-3</v>
      </c>
      <c r="R1989" s="8">
        <v>14.223142623901399</v>
      </c>
      <c r="S1989" s="8">
        <v>-3.1637765335401101E-2</v>
      </c>
      <c r="T1989" s="9">
        <v>-3.2149052340166802E-2</v>
      </c>
      <c r="U1989" s="12">
        <v>2.9256000000000001E-2</v>
      </c>
      <c r="V1989" s="16">
        <v>5.4589999999999996</v>
      </c>
      <c r="W1989" s="17">
        <f t="shared" si="31"/>
        <v>-6.6779482140584268E-3</v>
      </c>
    </row>
    <row r="1990" spans="1:23" x14ac:dyDescent="0.2">
      <c r="A1990" s="14">
        <v>44462</v>
      </c>
      <c r="B1990" s="3">
        <v>150817327037774</v>
      </c>
      <c r="C1990" s="3">
        <f>[1]!nefin_factors__1[[#This Row],[Rm_minus_Rf]]/B1989-1</f>
        <v>-6.1795805013075356E-2</v>
      </c>
      <c r="D1990" s="3">
        <v>-178863030908401</v>
      </c>
      <c r="E1990" s="3">
        <f>[1]!nefin_factors__1[[#This Row],[SMB]]/D1989-1</f>
        <v>-2.8507245700151826</v>
      </c>
      <c r="F1990" s="3">
        <v>958865735324852</v>
      </c>
      <c r="G1990" s="3">
        <f>[1]!nefin_factors__1[[#This Row],[HML]]/F1989-1</f>
        <v>5.0417140992292415</v>
      </c>
      <c r="H1990" s="3">
        <v>239855621093188</v>
      </c>
      <c r="I1990" s="4">
        <f>[1]!nefin_factors__1[[#This Row],[Risk_Free]]/H1989-1</f>
        <v>6.2713797263211912E-3</v>
      </c>
      <c r="J1990">
        <v>107387</v>
      </c>
      <c r="K1990">
        <v>109148</v>
      </c>
      <c r="L1990">
        <v>106445</v>
      </c>
      <c r="M1990">
        <v>106760</v>
      </c>
      <c r="N1990">
        <v>11604300</v>
      </c>
      <c r="O1990">
        <v>106760</v>
      </c>
      <c r="P1990">
        <v>-5.80166320553532E-3</v>
      </c>
      <c r="Q1990">
        <v>-5.8185582313682004E-3</v>
      </c>
      <c r="R1990" s="8">
        <v>14.1411390304565</v>
      </c>
      <c r="S1990" s="8">
        <v>-5.7655045451784296E-3</v>
      </c>
      <c r="T1990" s="9">
        <v>-5.7821892278248702E-3</v>
      </c>
      <c r="U1990" s="12">
        <v>2.9256000000000001E-2</v>
      </c>
      <c r="V1990" s="16">
        <v>5.4170999999999996</v>
      </c>
      <c r="W1990" s="17">
        <f t="shared" si="31"/>
        <v>-7.6753984246199503E-3</v>
      </c>
    </row>
    <row r="1991" spans="1:23" x14ac:dyDescent="0.2">
      <c r="A1991" s="15">
        <v>44463</v>
      </c>
      <c r="B1991" s="5">
        <v>-621183410525712</v>
      </c>
      <c r="C1991" s="5">
        <f>[1]!nefin_factors__1[[#This Row],[Rm_minus_Rf]]/B1990-1</f>
        <v>-5.1187801343948314</v>
      </c>
      <c r="D1991" s="5">
        <v>191568419697835</v>
      </c>
      <c r="E1991" s="5">
        <f>[1]!nefin_factors__1[[#This Row],[SMB]]/D1990-1</f>
        <v>-2.0710341803161141</v>
      </c>
      <c r="F1991" s="5">
        <v>151100152346185</v>
      </c>
      <c r="G1991" s="5">
        <f>[1]!nefin_factors__1[[#This Row],[HML]]/F1990-1</f>
        <v>-0.84241782057735737</v>
      </c>
      <c r="H1991" s="5">
        <v>240229246218693</v>
      </c>
      <c r="I1991" s="6">
        <f>[1]!nefin_factors__1[[#This Row],[Risk_Free]]/H1990-1</f>
        <v>1.5577084406115382E-3</v>
      </c>
      <c r="J1991">
        <v>106763</v>
      </c>
      <c r="K1991">
        <v>107603</v>
      </c>
      <c r="L1991">
        <v>105697</v>
      </c>
      <c r="M1991">
        <v>107370</v>
      </c>
      <c r="N1991">
        <v>12663100</v>
      </c>
      <c r="O1991">
        <v>107370</v>
      </c>
      <c r="P1991">
        <v>5.71375046834022E-3</v>
      </c>
      <c r="Q1991">
        <v>5.6974889097207498E-3</v>
      </c>
      <c r="R1991" s="8">
        <v>14.2595891952515</v>
      </c>
      <c r="S1991" s="8">
        <v>8.3762817506998193E-3</v>
      </c>
      <c r="T1991" s="9">
        <v>8.3413953793873494E-3</v>
      </c>
      <c r="U1991" s="12">
        <v>2.9256000000000001E-2</v>
      </c>
      <c r="V1991" s="16">
        <v>5.4199000000000002</v>
      </c>
      <c r="W1991" s="17">
        <f t="shared" si="31"/>
        <v>5.1688172638497676E-4</v>
      </c>
    </row>
    <row r="1992" spans="1:23" x14ac:dyDescent="0.2">
      <c r="A1992" s="14">
        <v>44466</v>
      </c>
      <c r="B1992" s="3">
        <v>224117568726654</v>
      </c>
      <c r="C1992" s="3">
        <f>[1]!nefin_factors__1[[#This Row],[Rm_minus_Rf]]/B1991-1</f>
        <v>-1.3607912975927379</v>
      </c>
      <c r="D1992" s="3">
        <v>448859883761217</v>
      </c>
      <c r="E1992" s="3">
        <f>[1]!nefin_factors__1[[#This Row],[SMB]]/D1991-1</f>
        <v>1.3430786998671982</v>
      </c>
      <c r="F1992" s="3">
        <v>841405493702206</v>
      </c>
      <c r="G1992" s="3">
        <f>[1]!nefin_factors__1[[#This Row],[HML]]/F1991-1</f>
        <v>4.568528427254428</v>
      </c>
      <c r="H1992" s="3">
        <v>239855621093188</v>
      </c>
      <c r="I1992" s="4">
        <f>[1]!nefin_factors__1[[#This Row],[Risk_Free]]/H1991-1</f>
        <v>-1.5552857588574387E-3</v>
      </c>
      <c r="J1992">
        <v>107433</v>
      </c>
      <c r="K1992">
        <v>109034</v>
      </c>
      <c r="L1992">
        <v>107433</v>
      </c>
      <c r="M1992">
        <v>108212</v>
      </c>
      <c r="N1992">
        <v>13754600</v>
      </c>
      <c r="O1992">
        <v>108212</v>
      </c>
      <c r="P1992">
        <v>7.8420415386048995E-3</v>
      </c>
      <c r="Q1992">
        <v>7.8114525468806796E-3</v>
      </c>
      <c r="R1992" s="8">
        <v>13.9406852722168</v>
      </c>
      <c r="S1992" s="8">
        <v>-2.2364173235850601E-2</v>
      </c>
      <c r="T1992" s="9">
        <v>-2.26180435643135E-2</v>
      </c>
      <c r="U1992" s="12">
        <v>2.9256000000000001E-2</v>
      </c>
      <c r="V1992" s="16">
        <v>5.4771999999999998</v>
      </c>
      <c r="W1992" s="17">
        <f t="shared" si="31"/>
        <v>1.0572150777689471E-2</v>
      </c>
    </row>
    <row r="1993" spans="1:23" x14ac:dyDescent="0.2">
      <c r="A1993" s="15">
        <v>44467</v>
      </c>
      <c r="B1993" s="5">
        <v>-290662663921965</v>
      </c>
      <c r="C1993" s="5">
        <f>[1]!nefin_factors__1[[#This Row],[Rm_minus_Rf]]/B1992-1</f>
        <v>-2.2969204760402921</v>
      </c>
      <c r="D1993" s="5">
        <v>-153565717375264</v>
      </c>
      <c r="E1993" s="5">
        <f>[1]!nefin_factors__1[[#This Row],[SMB]]/D1992-1</f>
        <v>-1.3421239521083095</v>
      </c>
      <c r="F1993" s="5">
        <v>311617392417335</v>
      </c>
      <c r="G1993" s="5">
        <f>[1]!nefin_factors__1[[#This Row],[HML]]/F1992-1</f>
        <v>-0.62964659162586356</v>
      </c>
      <c r="H1993" s="5">
        <v>240229246218693</v>
      </c>
      <c r="I1993" s="6">
        <f>[1]!nefin_factors__1[[#This Row],[Risk_Free]]/H1992-1</f>
        <v>1.5577084406115382E-3</v>
      </c>
      <c r="J1993">
        <v>108324</v>
      </c>
      <c r="K1993">
        <v>108324</v>
      </c>
      <c r="L1993">
        <v>106518</v>
      </c>
      <c r="M1993">
        <v>107201</v>
      </c>
      <c r="N1993">
        <v>14934300</v>
      </c>
      <c r="O1993">
        <v>107201</v>
      </c>
      <c r="P1993">
        <v>-9.3427715964957692E-3</v>
      </c>
      <c r="Q1993">
        <v>-9.3866890415230195E-3</v>
      </c>
      <c r="R1993" s="8">
        <v>13.840457916259799</v>
      </c>
      <c r="S1993" s="8">
        <v>-7.1895573280590401E-3</v>
      </c>
      <c r="T1993" s="9">
        <v>-7.2155267426046001E-3</v>
      </c>
      <c r="U1993" s="12">
        <v>2.9256000000000001E-2</v>
      </c>
      <c r="V1993" s="16">
        <v>5.4992999999999999</v>
      </c>
      <c r="W1993" s="17">
        <f t="shared" si="31"/>
        <v>4.034908347330779E-3</v>
      </c>
    </row>
    <row r="1994" spans="1:23" x14ac:dyDescent="0.2">
      <c r="A1994" s="14">
        <v>44468</v>
      </c>
      <c r="B1994" s="3">
        <v>741802859013708</v>
      </c>
      <c r="C1994" s="3">
        <f>[1]!nefin_factors__1[[#This Row],[Rm_minus_Rf]]/B1993-1</f>
        <v>-3.552109201107652</v>
      </c>
      <c r="D1994" s="3">
        <v>-102581362239953</v>
      </c>
      <c r="E1994" s="3">
        <f>[1]!nefin_factors__1[[#This Row],[SMB]]/D1993-1</f>
        <v>-0.3320034966575387</v>
      </c>
      <c r="F1994" s="3">
        <v>49592654900167</v>
      </c>
      <c r="G1994" s="3">
        <f>[1]!nefin_factors__1[[#This Row],[HML]]/F1993-1</f>
        <v>-0.84085402128726561</v>
      </c>
      <c r="H1994" s="3">
        <v>240229246218693</v>
      </c>
      <c r="I1994" s="4">
        <f>[1]!nefin_factors__1[[#This Row],[Risk_Free]]/H1993-1</f>
        <v>0</v>
      </c>
      <c r="J1994">
        <v>107171</v>
      </c>
      <c r="K1994">
        <v>107171</v>
      </c>
      <c r="L1994">
        <v>104358</v>
      </c>
      <c r="M1994">
        <v>105020</v>
      </c>
      <c r="N1994">
        <v>10570000</v>
      </c>
      <c r="O1994">
        <v>105020</v>
      </c>
      <c r="P1994">
        <v>-2.0344959468661699E-2</v>
      </c>
      <c r="Q1994">
        <v>-2.05547687416885E-2</v>
      </c>
      <c r="R1994" s="8">
        <v>12.628620147705099</v>
      </c>
      <c r="S1994" s="8">
        <v>-8.7557635440010995E-2</v>
      </c>
      <c r="T1994" s="9">
        <v>-9.1630357646341101E-2</v>
      </c>
      <c r="U1994" s="12">
        <v>2.9256000000000001E-2</v>
      </c>
      <c r="V1994" s="16">
        <v>5.5469999999999997</v>
      </c>
      <c r="W1994" s="17">
        <f t="shared" si="31"/>
        <v>8.6738312148819663E-3</v>
      </c>
    </row>
    <row r="1995" spans="1:23" x14ac:dyDescent="0.2">
      <c r="A1995" s="15">
        <v>44469</v>
      </c>
      <c r="B1995" s="5">
        <v>-144076540296444</v>
      </c>
      <c r="C1995" s="5">
        <f>[1]!nefin_factors__1[[#This Row],[Rm_minus_Rf]]/B1994-1</f>
        <v>-1.1942248382380278</v>
      </c>
      <c r="D1995" s="5">
        <v>6827416406.6396904</v>
      </c>
      <c r="E1995" s="5">
        <f>[1]!nefin_factors__1[[#This Row],[SMB]]/D1994-1</f>
        <v>-1.0000665561097801</v>
      </c>
      <c r="F1995" s="5">
        <v>632823144969509</v>
      </c>
      <c r="G1995" s="5">
        <f>[1]!nefin_factors__1[[#This Row],[HML]]/F1994-1</f>
        <v>11.76042079705997</v>
      </c>
      <c r="H1995" s="5">
        <v>240602836317327</v>
      </c>
      <c r="I1995" s="6">
        <f>[1]!nefin_factors__1[[#This Row],[Risk_Free]]/H1994-1</f>
        <v>1.5551399528344056E-3</v>
      </c>
      <c r="J1995">
        <v>105020</v>
      </c>
      <c r="K1995">
        <v>105906</v>
      </c>
      <c r="L1995">
        <v>105020</v>
      </c>
      <c r="M1995">
        <v>105500</v>
      </c>
      <c r="N1995">
        <v>9041600</v>
      </c>
      <c r="O1995">
        <v>105500</v>
      </c>
      <c r="P1995">
        <v>4.57055798895456E-3</v>
      </c>
      <c r="Q1995">
        <v>4.5601447064080296E-3</v>
      </c>
      <c r="R1995" s="8">
        <v>12.901967048645</v>
      </c>
      <c r="S1995" s="8">
        <v>2.16450330869771E-2</v>
      </c>
      <c r="T1995" s="9">
        <v>2.1414105703357601E-2</v>
      </c>
      <c r="U1995" s="12">
        <v>2.9256000000000001E-2</v>
      </c>
      <c r="V1995" s="16">
        <v>5.5583999999999998</v>
      </c>
      <c r="W1995" s="17">
        <f t="shared" si="31"/>
        <v>2.0551649540292427E-3</v>
      </c>
    </row>
    <row r="1996" spans="1:23" x14ac:dyDescent="0.2">
      <c r="A1996" s="14">
        <v>44470</v>
      </c>
      <c r="B1996" s="3">
        <v>159266048701837</v>
      </c>
      <c r="C1996" s="3">
        <f>[1]!nefin_factors__1[[#This Row],[Rm_minus_Rf]]/B1995-1</f>
        <v>-2.1054266598444125</v>
      </c>
      <c r="D1996" s="3">
        <v>275301767138786</v>
      </c>
      <c r="E1996" s="3">
        <f>[1]!nefin_factors__1[[#This Row],[SMB]]/D1995-1</f>
        <v>40321.978816855801</v>
      </c>
      <c r="F1996" s="3">
        <v>641947664002699</v>
      </c>
      <c r="G1996" s="3">
        <f>[1]!nefin_factors__1[[#This Row],[HML]]/F1995-1</f>
        <v>1.441875049249286E-2</v>
      </c>
      <c r="H1996" s="3">
        <v>240602836317327</v>
      </c>
      <c r="I1996" s="4">
        <f>[1]!nefin_factors__1[[#This Row],[Risk_Free]]/H1995-1</f>
        <v>0</v>
      </c>
      <c r="J1996">
        <v>105499</v>
      </c>
      <c r="K1996">
        <v>105711</v>
      </c>
      <c r="L1996">
        <v>104386</v>
      </c>
      <c r="M1996">
        <v>105244</v>
      </c>
      <c r="N1996">
        <v>8052900</v>
      </c>
      <c r="O1996">
        <v>105244</v>
      </c>
      <c r="P1996">
        <v>-2.42654028436018E-3</v>
      </c>
      <c r="Q1996">
        <v>-2.4294891044890701E-3</v>
      </c>
      <c r="R1996" s="8">
        <v>12.8928546905518</v>
      </c>
      <c r="S1996" s="8">
        <v>-7.0627665214961798E-4</v>
      </c>
      <c r="T1996" s="9">
        <v>-7.0652618300309897E-4</v>
      </c>
      <c r="U1996" s="12">
        <v>2.9256000000000001E-2</v>
      </c>
      <c r="V1996" s="16">
        <v>5.5841000000000003</v>
      </c>
      <c r="W1996" s="17">
        <f t="shared" si="31"/>
        <v>4.6236327000577226E-3</v>
      </c>
    </row>
    <row r="1997" spans="1:23" x14ac:dyDescent="0.2">
      <c r="A1997" s="15">
        <v>44473</v>
      </c>
      <c r="B1997" s="5">
        <v>-219343626496938</v>
      </c>
      <c r="C1997" s="5">
        <f>[1]!nefin_factors__1[[#This Row],[Rm_minus_Rf]]/B1996-1</f>
        <v>-2.3772152212275488</v>
      </c>
      <c r="D1997" s="5">
        <v>-713840703523451</v>
      </c>
      <c r="E1997" s="5">
        <f>[1]!nefin_factors__1[[#This Row],[SMB]]/D1996-1</f>
        <v>-3.5929390535426071</v>
      </c>
      <c r="F1997" s="5">
        <v>129317239156306</v>
      </c>
      <c r="G1997" s="5">
        <f>[1]!nefin_factors__1[[#This Row],[HML]]/F1996-1</f>
        <v>-0.79855485671529403</v>
      </c>
      <c r="H1997" s="5">
        <v>242843641714119</v>
      </c>
      <c r="I1997" s="6">
        <f>[1]!nefin_factors__1[[#This Row],[Risk_Free]]/H1996-1</f>
        <v>9.3132958492503359E-3</v>
      </c>
      <c r="J1997">
        <v>105251</v>
      </c>
      <c r="K1997">
        <v>105453</v>
      </c>
      <c r="L1997">
        <v>104637</v>
      </c>
      <c r="M1997">
        <v>104891</v>
      </c>
      <c r="N1997">
        <v>7283600</v>
      </c>
      <c r="O1997">
        <v>104891</v>
      </c>
      <c r="P1997">
        <v>-3.3541104481015199E-3</v>
      </c>
      <c r="Q1997">
        <v>-3.3597480862544299E-3</v>
      </c>
      <c r="R1997" s="8">
        <v>12.555727958679199</v>
      </c>
      <c r="S1997" s="8">
        <v>-2.6148338747633101E-2</v>
      </c>
      <c r="T1997" s="9">
        <v>-2.6496285447061101E-2</v>
      </c>
      <c r="U1997" s="12">
        <v>2.9256000000000001E-2</v>
      </c>
      <c r="V1997" s="16">
        <v>5.6456</v>
      </c>
      <c r="W1997" s="17">
        <f t="shared" si="31"/>
        <v>1.1013413083576618E-2</v>
      </c>
    </row>
    <row r="1998" spans="1:23" x14ac:dyDescent="0.2">
      <c r="A1998" s="14">
        <v>44474</v>
      </c>
      <c r="B1998" s="3">
        <v>154581823510215</v>
      </c>
      <c r="C1998" s="3">
        <f>[1]!nefin_factors__1[[#This Row],[Rm_minus_Rf]]/B1997-1</f>
        <v>-1.704747277041911</v>
      </c>
      <c r="D1998" s="3">
        <v>-127725748071544</v>
      </c>
      <c r="E1998" s="3">
        <f>[1]!nefin_factors__1[[#This Row],[SMB]]/D1997-1</f>
        <v>-0.8210724781577996</v>
      </c>
      <c r="F1998" s="3">
        <v>-706188214687908</v>
      </c>
      <c r="G1998" s="3">
        <f>[1]!nefin_factors__1[[#This Row],[HML]]/F1997-1</f>
        <v>-6.4608977062550563</v>
      </c>
      <c r="H1998" s="3">
        <v>245083187801587</v>
      </c>
      <c r="I1998" s="4">
        <f>[1]!nefin_factors__1[[#This Row],[Risk_Free]]/H1997-1</f>
        <v>9.2221730478925235E-3</v>
      </c>
      <c r="J1998">
        <v>104892</v>
      </c>
      <c r="K1998">
        <v>105694</v>
      </c>
      <c r="L1998">
        <v>104798</v>
      </c>
      <c r="M1998">
        <v>105531</v>
      </c>
      <c r="N1998">
        <v>7594900</v>
      </c>
      <c r="O1998">
        <v>105531</v>
      </c>
      <c r="P1998">
        <v>6.1015721081885098E-3</v>
      </c>
      <c r="Q1998">
        <v>6.0830328911191701E-3</v>
      </c>
      <c r="R1998" s="8">
        <v>12.528392791748001</v>
      </c>
      <c r="S1998" s="8">
        <v>-2.1771072948627598E-3</v>
      </c>
      <c r="T1998" s="9">
        <v>-2.1794806382572501E-3</v>
      </c>
      <c r="U1998" s="12">
        <v>2.9256000000000001E-2</v>
      </c>
      <c r="V1998" s="16">
        <v>5.6026999999999996</v>
      </c>
      <c r="W1998" s="17">
        <f t="shared" si="31"/>
        <v>-7.5988380331586391E-3</v>
      </c>
    </row>
    <row r="1999" spans="1:23" x14ac:dyDescent="0.2">
      <c r="A1999" s="15">
        <v>44475</v>
      </c>
      <c r="B1999" s="5">
        <v>-331539762625677</v>
      </c>
      <c r="C1999" s="5">
        <f>[1]!nefin_factors__1[[#This Row],[Rm_minus_Rf]]/B1998-1</f>
        <v>-3.1447525659688464</v>
      </c>
      <c r="D1999" s="5">
        <v>-739597691508701</v>
      </c>
      <c r="E1999" s="5">
        <f>[1]!nefin_factors__1[[#This Row],[SMB]]/D1998-1</f>
        <v>4.7905136800954535</v>
      </c>
      <c r="F1999" s="5">
        <v>-106771563485542</v>
      </c>
      <c r="G1999" s="5">
        <f>[1]!nefin_factors__1[[#This Row],[HML]]/F1998-1</f>
        <v>-0.84880579813594248</v>
      </c>
      <c r="H1999" s="5">
        <v>246202489047498</v>
      </c>
      <c r="I1999" s="6">
        <f>[1]!nefin_factors__1[[#This Row],[Risk_Free]]/H1998-1</f>
        <v>4.567025816626602E-3</v>
      </c>
      <c r="J1999">
        <v>105555</v>
      </c>
      <c r="K1999">
        <v>105652</v>
      </c>
      <c r="L1999">
        <v>104503</v>
      </c>
      <c r="M1999">
        <v>104864</v>
      </c>
      <c r="N1999">
        <v>7509000</v>
      </c>
      <c r="O1999">
        <v>104864</v>
      </c>
      <c r="P1999">
        <v>-6.3204176971695097E-3</v>
      </c>
      <c r="Q1999">
        <v>-6.3404761000926697E-3</v>
      </c>
      <c r="R1999" s="8">
        <v>12.920189857482899</v>
      </c>
      <c r="S1999" s="8">
        <v>3.1272731646227098E-2</v>
      </c>
      <c r="T1999" s="9">
        <v>3.0793701232277201E-2</v>
      </c>
      <c r="U1999" s="12">
        <v>2.9256000000000001E-2</v>
      </c>
      <c r="V1999" s="16">
        <v>5.5739999999999998</v>
      </c>
      <c r="W1999" s="17">
        <f t="shared" si="31"/>
        <v>-5.1225302086493896E-3</v>
      </c>
    </row>
    <row r="2000" spans="1:23" x14ac:dyDescent="0.2">
      <c r="A2000" s="14">
        <v>44476</v>
      </c>
      <c r="B2000" s="3">
        <v>-153738997527553</v>
      </c>
      <c r="C2000" s="3">
        <f>[1]!nefin_factors__1[[#This Row],[Rm_minus_Rf]]/B1999-1</f>
        <v>-0.53628790613229971</v>
      </c>
      <c r="D2000" s="3">
        <v>602229901917802</v>
      </c>
      <c r="E2000" s="3">
        <f>[1]!nefin_factors__1[[#This Row],[SMB]]/D1999-1</f>
        <v>-1.8142668762111964</v>
      </c>
      <c r="F2000" s="3">
        <v>147720267302467</v>
      </c>
      <c r="G2000" s="3">
        <f>[1]!nefin_factors__1[[#This Row],[HML]]/F1999-1</f>
        <v>-2.3835169447759363</v>
      </c>
      <c r="H2000" s="3">
        <v>246948515258083</v>
      </c>
      <c r="I2000" s="4">
        <f>[1]!nefin_factors__1[[#This Row],[Risk_Free]]/H1999-1</f>
        <v>3.0301326906612136E-3</v>
      </c>
      <c r="J2000">
        <v>104863</v>
      </c>
      <c r="K2000">
        <v>105190</v>
      </c>
      <c r="L2000">
        <v>103851</v>
      </c>
      <c r="M2000">
        <v>104107</v>
      </c>
      <c r="N2000">
        <v>6590000</v>
      </c>
      <c r="O2000">
        <v>104107</v>
      </c>
      <c r="P2000">
        <v>-7.2188739700945704E-3</v>
      </c>
      <c r="Q2000">
        <v>-7.2450561206496896E-3</v>
      </c>
      <c r="R2000" s="8">
        <v>11.972587585449199</v>
      </c>
      <c r="S2000" s="8">
        <v>-7.3342751343926496E-2</v>
      </c>
      <c r="T2000" s="9">
        <v>-7.61715243379949E-2</v>
      </c>
      <c r="U2000" s="12">
        <v>2.9256000000000001E-2</v>
      </c>
      <c r="V2000" s="16">
        <v>5.5865</v>
      </c>
      <c r="W2000" s="17">
        <f t="shared" si="31"/>
        <v>2.2425547183351213E-3</v>
      </c>
    </row>
    <row r="2001" spans="1:23" x14ac:dyDescent="0.2">
      <c r="A2001" s="15">
        <v>44477</v>
      </c>
      <c r="B2001" s="5">
        <v>201567960692203</v>
      </c>
      <c r="C2001" s="5">
        <f>[1]!nefin_factors__1[[#This Row],[Rm_minus_Rf]]/B2000-1</f>
        <v>-2.3111049501677554</v>
      </c>
      <c r="D2001" s="5">
        <v>709860366904988</v>
      </c>
      <c r="E2001" s="5">
        <f>[1]!nefin_factors__1[[#This Row],[SMB]]/D2000-1</f>
        <v>0.17871989525003107</v>
      </c>
      <c r="F2001" s="5">
        <v>380040187525885</v>
      </c>
      <c r="G2001" s="5">
        <f>[1]!nefin_factors__1[[#This Row],[HML]]/F2000-1</f>
        <v>1.5727017319006582</v>
      </c>
      <c r="H2001" s="5">
        <v>2480672927756</v>
      </c>
      <c r="I2001" s="6">
        <f>[1]!nefin_factors__1[[#This Row],[Risk_Free]]/H2000-1</f>
        <v>-0.98995469592046959</v>
      </c>
      <c r="J2001">
        <v>104106</v>
      </c>
      <c r="K2001">
        <v>105269</v>
      </c>
      <c r="L2001">
        <v>104106</v>
      </c>
      <c r="M2001">
        <v>104822</v>
      </c>
      <c r="N2001">
        <v>11138100</v>
      </c>
      <c r="O2001">
        <v>104822</v>
      </c>
      <c r="P2001">
        <v>6.86793395256813E-3</v>
      </c>
      <c r="Q2001">
        <v>6.8444571244204201E-3</v>
      </c>
      <c r="R2001" s="8">
        <v>12.2277116775513</v>
      </c>
      <c r="S2001" s="8">
        <v>2.1309018646237701E-2</v>
      </c>
      <c r="T2001" s="9">
        <v>2.10851561183346E-2</v>
      </c>
      <c r="U2001" s="12">
        <v>2.9256000000000001E-2</v>
      </c>
      <c r="V2001" s="16">
        <v>5.6117999999999997</v>
      </c>
      <c r="W2001" s="17">
        <f t="shared" si="31"/>
        <v>4.528774724782858E-3</v>
      </c>
    </row>
    <row r="2002" spans="1:23" x14ac:dyDescent="0.2">
      <c r="A2002" s="14">
        <v>44480</v>
      </c>
      <c r="B2002" s="3">
        <v>-411420933661056</v>
      </c>
      <c r="C2002" s="3">
        <f>[1]!nefin_factors__1[[#This Row],[Rm_minus_Rf]]/B2001-1</f>
        <v>-3.0411028233266761</v>
      </c>
      <c r="D2002" s="3">
        <v>455822934037537</v>
      </c>
      <c r="E2002" s="3">
        <f>[1]!nefin_factors__1[[#This Row],[SMB]]/D2001-1</f>
        <v>-0.35786958211945497</v>
      </c>
      <c r="F2002" s="3">
        <v>137605636149052</v>
      </c>
      <c r="G2002" s="3">
        <f>[1]!nefin_factors__1[[#This Row],[HML]]/F2001-1</f>
        <v>-0.63791819742831923</v>
      </c>
      <c r="H2002" s="3">
        <v>251794284370499</v>
      </c>
      <c r="I2002" s="4">
        <f>[1]!nefin_factors__1[[#This Row],[Risk_Free]]/H2001-1</f>
        <v>100.50241152438844</v>
      </c>
      <c r="J2002">
        <v>104823</v>
      </c>
      <c r="K2002">
        <v>106125</v>
      </c>
      <c r="L2002">
        <v>103413</v>
      </c>
      <c r="M2002">
        <v>103922</v>
      </c>
      <c r="N2002">
        <v>11128500</v>
      </c>
      <c r="O2002">
        <v>103922</v>
      </c>
      <c r="P2002">
        <v>-8.5859838583503007E-3</v>
      </c>
      <c r="Q2002">
        <v>-8.62305576950613E-3</v>
      </c>
      <c r="R2002" s="8">
        <v>11.726575851440399</v>
      </c>
      <c r="S2002" s="8">
        <v>-4.0983614868092703E-2</v>
      </c>
      <c r="T2002" s="9">
        <v>-4.1847118601374897E-2</v>
      </c>
      <c r="U2002" s="12">
        <v>2.9256000000000001E-2</v>
      </c>
      <c r="V2002" s="16">
        <v>5.6199000000000003</v>
      </c>
      <c r="W2002" s="17">
        <f t="shared" si="31"/>
        <v>1.443387148508668E-3</v>
      </c>
    </row>
    <row r="2003" spans="1:23" x14ac:dyDescent="0.2">
      <c r="A2003" s="15">
        <v>44482</v>
      </c>
      <c r="B2003" s="5">
        <v>115077160916822</v>
      </c>
      <c r="C2003" s="5">
        <f>[1]!nefin_factors__1[[#This Row],[Rm_minus_Rf]]/B2002-1</f>
        <v>-1.2797066252628431</v>
      </c>
      <c r="D2003" s="5">
        <v>609610833364977</v>
      </c>
      <c r="E2003" s="5">
        <f>[1]!nefin_factors__1[[#This Row],[SMB]]/D2002-1</f>
        <v>0.33738517271440216</v>
      </c>
      <c r="F2003" s="5">
        <v>-718381843119092</v>
      </c>
      <c r="G2003" s="5">
        <f>[1]!nefin_factors__1[[#This Row],[HML]]/F2002-1</f>
        <v>-6.2205844413302476</v>
      </c>
      <c r="H2003" s="5">
        <v>255517793592785</v>
      </c>
      <c r="I2003" s="6">
        <f>[1]!nefin_factors__1[[#This Row],[Risk_Free]]/H2002-1</f>
        <v>1.4787902082825211E-2</v>
      </c>
      <c r="J2003">
        <v>103922</v>
      </c>
      <c r="K2003">
        <v>104276</v>
      </c>
      <c r="L2003">
        <v>103096</v>
      </c>
      <c r="M2003">
        <v>103514</v>
      </c>
      <c r="N2003">
        <v>11491600</v>
      </c>
      <c r="O2003">
        <v>103514</v>
      </c>
      <c r="P2003">
        <v>-3.9260214391563198E-3</v>
      </c>
      <c r="Q2003">
        <v>-3.9337484923416604E-3</v>
      </c>
      <c r="R2003" s="8">
        <v>10.961204528808601</v>
      </c>
      <c r="S2003" s="8">
        <v>-6.5268099769961604E-2</v>
      </c>
      <c r="T2003" s="9">
        <v>-6.7495528532454802E-2</v>
      </c>
      <c r="U2003" s="12">
        <v>2.9256000000000001E-2</v>
      </c>
      <c r="V2003" s="16">
        <v>5.6167999999999996</v>
      </c>
      <c r="W2003" s="17">
        <f t="shared" si="31"/>
        <v>-5.5161123863423089E-4</v>
      </c>
    </row>
    <row r="2004" spans="1:23" x14ac:dyDescent="0.2">
      <c r="A2004" s="14">
        <v>44483</v>
      </c>
      <c r="B2004" s="3">
        <v>-274582447609436</v>
      </c>
      <c r="C2004" s="3">
        <f>[1]!nefin_factors__1[[#This Row],[Rm_minus_Rf]]/B2003-1</f>
        <v>-3.3860724875538488</v>
      </c>
      <c r="D2004" s="3">
        <v>-674280484644422</v>
      </c>
      <c r="E2004" s="3">
        <f>[1]!nefin_factors__1[[#This Row],[SMB]]/D2003-1</f>
        <v>-2.1060835007187722</v>
      </c>
      <c r="F2004" s="3">
        <v>179564943192724</v>
      </c>
      <c r="G2004" s="3">
        <f>[1]!nefin_factors__1[[#This Row],[HML]]/F2003-1</f>
        <v>-1.2499575189889036</v>
      </c>
      <c r="H2004" s="3">
        <v>255145599191486</v>
      </c>
      <c r="I2004" s="4">
        <f>[1]!nefin_factors__1[[#This Row],[Risk_Free]]/H2003-1</f>
        <v>-1.4566281121390912E-3</v>
      </c>
      <c r="J2004">
        <v>103514</v>
      </c>
      <c r="K2004">
        <v>103514</v>
      </c>
      <c r="L2004">
        <v>100850</v>
      </c>
      <c r="M2004">
        <v>101006</v>
      </c>
      <c r="N2004">
        <v>0</v>
      </c>
      <c r="O2004">
        <v>101006</v>
      </c>
      <c r="P2004">
        <v>-2.4228606758506101E-2</v>
      </c>
      <c r="Q2004">
        <v>-2.4526948240936399E-2</v>
      </c>
      <c r="R2004" s="8">
        <v>10.195834159851101</v>
      </c>
      <c r="S2004" s="8">
        <v>-6.9825388892794396E-2</v>
      </c>
      <c r="T2004" s="9">
        <v>-7.2382956579673405E-2</v>
      </c>
      <c r="U2004" s="12">
        <v>2.9256000000000001E-2</v>
      </c>
      <c r="V2004" s="16">
        <v>5.6345000000000001</v>
      </c>
      <c r="W2004" s="17">
        <f t="shared" si="31"/>
        <v>3.1512605042016695E-3</v>
      </c>
    </row>
    <row r="2005" spans="1:23" x14ac:dyDescent="0.2">
      <c r="A2005" s="15">
        <v>44484</v>
      </c>
      <c r="B2005" s="5">
        <v>136237262525644</v>
      </c>
      <c r="C2005" s="5">
        <f>[1]!nefin_factors__1[[#This Row],[Rm_minus_Rf]]/B2004-1</f>
        <v>-1.496161585388105</v>
      </c>
      <c r="D2005" s="5">
        <v>-85846210726168</v>
      </c>
      <c r="E2005" s="5">
        <f>[1]!nefin_factors__1[[#This Row],[SMB]]/D2004-1</f>
        <v>-0.87268471699660932</v>
      </c>
      <c r="F2005" s="5">
        <v>-13631240462364</v>
      </c>
      <c r="G2005" s="5">
        <f>[1]!nefin_factors__1[[#This Row],[HML]]/F2004-1</f>
        <v>-1.0759125930707634</v>
      </c>
      <c r="H2005" s="5">
        <v>257006223677303</v>
      </c>
      <c r="I2005" s="6">
        <f>[1]!nefin_factors__1[[#This Row],[Risk_Free]]/H2004-1</f>
        <v>7.2924028151495346E-3</v>
      </c>
      <c r="J2005">
        <v>101006</v>
      </c>
      <c r="K2005">
        <v>102235</v>
      </c>
      <c r="L2005">
        <v>101000</v>
      </c>
      <c r="M2005">
        <v>101561</v>
      </c>
      <c r="N2005">
        <v>11749200</v>
      </c>
      <c r="O2005">
        <v>101561</v>
      </c>
      <c r="P2005">
        <v>5.4947230857573803E-3</v>
      </c>
      <c r="Q2005">
        <v>5.47968216683083E-3</v>
      </c>
      <c r="R2005" s="8">
        <v>10.305172920226999</v>
      </c>
      <c r="S2005" s="8">
        <v>1.07238661066622E-2</v>
      </c>
      <c r="T2005" s="9">
        <v>1.0666773262510899E-2</v>
      </c>
      <c r="U2005" s="12">
        <v>2.9256000000000001E-2</v>
      </c>
      <c r="V2005" s="16">
        <v>5.6432000000000002</v>
      </c>
      <c r="W2005" s="17">
        <f t="shared" si="31"/>
        <v>1.544058922708258E-3</v>
      </c>
    </row>
    <row r="2006" spans="1:23" x14ac:dyDescent="0.2">
      <c r="A2006" s="14">
        <v>44487</v>
      </c>
      <c r="B2006" s="3">
        <v>-590691345845591</v>
      </c>
      <c r="C2006" s="3">
        <f>[1]!nefin_factors__1[[#This Row],[Rm_minus_Rf]]/B2005-1</f>
        <v>-5.3357546598853958</v>
      </c>
      <c r="D2006" s="3">
        <v>604969596146332</v>
      </c>
      <c r="E2006" s="3">
        <f>[1]!nefin_factors__1[[#This Row],[SMB]]/D2005-1</f>
        <v>-8.0471322033777621</v>
      </c>
      <c r="F2006" s="3">
        <v>116755483388132</v>
      </c>
      <c r="G2006" s="3">
        <f>[1]!nefin_factors__1[[#This Row],[HML]]/F2005-1</f>
        <v>-9.5652867551192529</v>
      </c>
      <c r="H2006" s="3">
        <v>260353160145277</v>
      </c>
      <c r="I2006" s="4">
        <f>[1]!nefin_factors__1[[#This Row],[Risk_Free]]/H2005-1</f>
        <v>1.3022783729067955E-2</v>
      </c>
      <c r="J2006">
        <v>101561</v>
      </c>
      <c r="K2006">
        <v>102719</v>
      </c>
      <c r="L2006">
        <v>101104</v>
      </c>
      <c r="M2006">
        <v>102719</v>
      </c>
      <c r="N2006">
        <v>11733200</v>
      </c>
      <c r="O2006">
        <v>102719</v>
      </c>
      <c r="P2006">
        <v>1.14020145528304E-2</v>
      </c>
      <c r="Q2006">
        <v>1.13375015075503E-2</v>
      </c>
      <c r="R2006" s="8">
        <v>10.5056266784668</v>
      </c>
      <c r="S2006" s="8">
        <v>1.9451760760490901E-2</v>
      </c>
      <c r="T2006" s="9">
        <v>1.92649933464457E-2</v>
      </c>
      <c r="U2006" s="12">
        <v>2.9256000000000001E-2</v>
      </c>
      <c r="V2006" s="16">
        <v>5.6877000000000004</v>
      </c>
      <c r="W2006" s="17">
        <f t="shared" si="31"/>
        <v>7.8855968244968544E-3</v>
      </c>
    </row>
    <row r="2007" spans="1:23" x14ac:dyDescent="0.2">
      <c r="A2007" s="15">
        <v>44488</v>
      </c>
      <c r="B2007" s="5">
        <v>-325182506427366</v>
      </c>
      <c r="C2007" s="5">
        <f>[1]!nefin_factors__1[[#This Row],[Rm_minus_Rf]]/B2006-1</f>
        <v>-0.44948828400074448</v>
      </c>
      <c r="D2007" s="5">
        <v>-168255933065456</v>
      </c>
      <c r="E2007" s="5">
        <f>[1]!nefin_factors__1[[#This Row],[SMB]]/D2006-1</f>
        <v>-1.2781229571490031</v>
      </c>
      <c r="F2007" s="5">
        <v>615653831275236</v>
      </c>
      <c r="G2007" s="5">
        <f>[1]!nefin_factors__1[[#This Row],[HML]]/F2006-1</f>
        <v>4.2730185633218509</v>
      </c>
      <c r="H2007" s="5">
        <v>266296337609884</v>
      </c>
      <c r="I2007" s="6">
        <f>[1]!nefin_factors__1[[#This Row],[Risk_Free]]/H2006-1</f>
        <v>2.2827368261213676E-2</v>
      </c>
      <c r="J2007">
        <v>102719</v>
      </c>
      <c r="K2007">
        <v>102719</v>
      </c>
      <c r="L2007">
        <v>101038</v>
      </c>
      <c r="M2007">
        <v>101945</v>
      </c>
      <c r="N2007">
        <v>10264700</v>
      </c>
      <c r="O2007">
        <v>101945</v>
      </c>
      <c r="P2007">
        <v>-7.53512008489177E-3</v>
      </c>
      <c r="Q2007">
        <v>-7.5636525228337803E-3</v>
      </c>
      <c r="R2007" s="8">
        <v>10.560296058654799</v>
      </c>
      <c r="S2007" s="8">
        <v>5.2038190448975303E-3</v>
      </c>
      <c r="T2007" s="9">
        <v>5.1903259686796096E-3</v>
      </c>
      <c r="U2007" s="12">
        <v>2.9256000000000001E-2</v>
      </c>
      <c r="V2007" s="16">
        <v>5.6410999999999998</v>
      </c>
      <c r="W2007" s="17">
        <f t="shared" si="31"/>
        <v>-8.1931184837457094E-3</v>
      </c>
    </row>
    <row r="2008" spans="1:23" x14ac:dyDescent="0.2">
      <c r="A2008" s="14">
        <v>44489</v>
      </c>
      <c r="B2008" s="3">
        <v>102235706619418</v>
      </c>
      <c r="C2008" s="3">
        <f>[1]!nefin_factors__1[[#This Row],[Rm_minus_Rf]]/B2007-1</f>
        <v>-1.3143948539625816</v>
      </c>
      <c r="D2008" s="3">
        <v>761879586412558</v>
      </c>
      <c r="E2008" s="3">
        <f>[1]!nefin_factors__1[[#This Row],[SMB]]/D2007-1</f>
        <v>-5.5280993812929422</v>
      </c>
      <c r="F2008" s="3">
        <v>657705537917947</v>
      </c>
      <c r="G2008" s="3">
        <f>[1]!nefin_factors__1[[#This Row],[HML]]/F2007-1</f>
        <v>6.8304141883771097E-2</v>
      </c>
      <c r="H2008" s="3">
        <v>268151764363234</v>
      </c>
      <c r="I2008" s="4">
        <f>[1]!nefin_factors__1[[#This Row],[Risk_Free]]/H2007-1</f>
        <v>6.9675263655639696E-3</v>
      </c>
      <c r="J2008">
        <v>101946</v>
      </c>
      <c r="K2008">
        <v>103780</v>
      </c>
      <c r="L2008">
        <v>101918</v>
      </c>
      <c r="M2008">
        <v>103779</v>
      </c>
      <c r="N2008">
        <v>12421500</v>
      </c>
      <c r="O2008">
        <v>103779</v>
      </c>
      <c r="P2008">
        <v>1.7990092697042399E-2</v>
      </c>
      <c r="Q2008">
        <v>1.7830185956260802E-2</v>
      </c>
      <c r="R2008" s="8">
        <v>10.596742630004901</v>
      </c>
      <c r="S2008" s="8">
        <v>3.45128310301757E-3</v>
      </c>
      <c r="T2008" s="9">
        <v>3.4453410932693499E-3</v>
      </c>
      <c r="U2008" s="12">
        <v>2.9256000000000001E-2</v>
      </c>
      <c r="V2008" s="16">
        <v>5.5778999999999996</v>
      </c>
      <c r="W2008" s="17">
        <f t="shared" si="31"/>
        <v>-1.1203488681285623E-2</v>
      </c>
    </row>
    <row r="2009" spans="1:23" x14ac:dyDescent="0.2">
      <c r="A2009" s="15">
        <v>44490</v>
      </c>
      <c r="B2009" s="5">
        <v>-273960050237742</v>
      </c>
      <c r="C2009" s="5">
        <f>[1]!nefin_factors__1[[#This Row],[Rm_minus_Rf]]/B2008-1</f>
        <v>-3.6796904848282015</v>
      </c>
      <c r="D2009" s="5">
        <v>-103269038771897</v>
      </c>
      <c r="E2009" s="5">
        <f>[1]!nefin_factors__1[[#This Row],[SMB]]/D2008-1</f>
        <v>-1.13554509218203</v>
      </c>
      <c r="F2009" s="5">
        <v>-209494818368637</v>
      </c>
      <c r="G2009" s="5">
        <f>[1]!nefin_factors__1[[#This Row],[HML]]/F2008-1</f>
        <v>-1.3185237257265923</v>
      </c>
      <c r="H2009" s="5">
        <v>274453761449855</v>
      </c>
      <c r="I2009" s="6">
        <f>[1]!nefin_factors__1[[#This Row],[Risk_Free]]/H2008-1</f>
        <v>2.3501605896891986E-2</v>
      </c>
      <c r="J2009">
        <v>103779</v>
      </c>
      <c r="K2009">
        <v>105869</v>
      </c>
      <c r="L2009">
        <v>103771</v>
      </c>
      <c r="M2009">
        <v>105686</v>
      </c>
      <c r="N2009">
        <v>13026500</v>
      </c>
      <c r="O2009">
        <v>105686</v>
      </c>
      <c r="P2009">
        <v>1.8375586583027299E-2</v>
      </c>
      <c r="Q2009">
        <v>1.82087956475478E-2</v>
      </c>
      <c r="R2009" s="8">
        <v>10.870088577270501</v>
      </c>
      <c r="S2009" s="8">
        <v>2.5795280380938899E-2</v>
      </c>
      <c r="T2009" s="9">
        <v>2.5468195047004101E-2</v>
      </c>
      <c r="U2009" s="12">
        <v>3.4749000000000002E-2</v>
      </c>
      <c r="V2009" s="16">
        <v>5.5564</v>
      </c>
      <c r="W2009" s="17">
        <f t="shared" si="31"/>
        <v>-3.8544972122124266E-3</v>
      </c>
    </row>
    <row r="2010" spans="1:23" x14ac:dyDescent="0.2">
      <c r="A2010" s="14">
        <v>44491</v>
      </c>
      <c r="B2010" s="3">
        <v>-138158205611596</v>
      </c>
      <c r="C2010" s="3">
        <f>[1]!nefin_factors__1[[#This Row],[Rm_minus_Rf]]/B2009-1</f>
        <v>-0.49569944416456857</v>
      </c>
      <c r="D2010" s="3">
        <v>-134814791861801</v>
      </c>
      <c r="E2010" s="3">
        <f>[1]!nefin_factors__1[[#This Row],[SMB]]/D2009-1</f>
        <v>0.30547154757180395</v>
      </c>
      <c r="F2010" s="3">
        <v>-885475368300842</v>
      </c>
      <c r="G2010" s="3">
        <f>[1]!nefin_factors__1[[#This Row],[HML]]/F2009-1</f>
        <v>3.2267172772871051</v>
      </c>
      <c r="H2010" s="3">
        <v>280006083081208</v>
      </c>
      <c r="I2010" s="4">
        <f>[1]!nefin_factors__1[[#This Row],[Risk_Free]]/H2009-1</f>
        <v>2.0230444654945945E-2</v>
      </c>
      <c r="J2010">
        <v>105686</v>
      </c>
      <c r="K2010">
        <v>106251</v>
      </c>
      <c r="L2010">
        <v>104974</v>
      </c>
      <c r="M2010">
        <v>105530</v>
      </c>
      <c r="N2010">
        <v>11712300</v>
      </c>
      <c r="O2010">
        <v>105530</v>
      </c>
      <c r="P2010">
        <v>-1.4760706243022201E-3</v>
      </c>
      <c r="Q2010">
        <v>-1.47716108974762E-3</v>
      </c>
      <c r="R2010" s="8">
        <v>10.888312339782701</v>
      </c>
      <c r="S2010" s="8">
        <v>1.67650542888054E-3</v>
      </c>
      <c r="T2010" s="9">
        <v>1.67510166238311E-3</v>
      </c>
      <c r="U2010" s="12">
        <v>3.4749000000000002E-2</v>
      </c>
      <c r="V2010" s="16">
        <v>5.5930999999999997</v>
      </c>
      <c r="W2010" s="17">
        <f t="shared" si="31"/>
        <v>6.6049960406018293E-3</v>
      </c>
    </row>
    <row r="2011" spans="1:23" x14ac:dyDescent="0.2">
      <c r="A2011" s="15">
        <v>44494</v>
      </c>
      <c r="B2011" s="5">
        <v>228235908784873</v>
      </c>
      <c r="C2011" s="5">
        <f>[1]!nefin_factors__1[[#This Row],[Rm_minus_Rf]]/B2010-1</f>
        <v>-2.6519895273286362</v>
      </c>
      <c r="D2011" s="5">
        <v>217937404200671</v>
      </c>
      <c r="E2011" s="5">
        <f>[1]!nefin_factors__1[[#This Row],[SMB]]/D2010-1</f>
        <v>-2.6165689327628026</v>
      </c>
      <c r="F2011" s="5">
        <v>361558516087821</v>
      </c>
      <c r="G2011" s="5">
        <f>[1]!nefin_factors__1[[#This Row],[HML]]/F2010-1</f>
        <v>-1.4083213706798232</v>
      </c>
      <c r="H2011" s="5">
        <v>289611820105673</v>
      </c>
      <c r="I2011" s="6">
        <f>[1]!nefin_factors__1[[#This Row],[Risk_Free]]/H2010-1</f>
        <v>3.4305458362771102E-2</v>
      </c>
      <c r="J2011">
        <v>105530</v>
      </c>
      <c r="K2011">
        <v>107062</v>
      </c>
      <c r="L2011">
        <v>105028</v>
      </c>
      <c r="M2011">
        <v>106928</v>
      </c>
      <c r="N2011">
        <v>11457100</v>
      </c>
      <c r="O2011">
        <v>106928</v>
      </c>
      <c r="P2011">
        <v>1.3247417795887499E-2</v>
      </c>
      <c r="Q2011">
        <v>1.3160438085715501E-2</v>
      </c>
      <c r="R2011" s="8">
        <v>10.669634819030801</v>
      </c>
      <c r="S2011" s="8">
        <v>-2.00836928559598E-2</v>
      </c>
      <c r="T2011" s="9">
        <v>-2.0288111837809999E-2</v>
      </c>
      <c r="U2011" s="12">
        <v>3.4749000000000002E-2</v>
      </c>
      <c r="V2011" s="16">
        <v>5.6356999999999999</v>
      </c>
      <c r="W2011" s="17">
        <f t="shared" si="31"/>
        <v>7.6165275071069516E-3</v>
      </c>
    </row>
    <row r="2012" spans="1:23" x14ac:dyDescent="0.2">
      <c r="A2012" s="14">
        <v>44495</v>
      </c>
      <c r="B2012" s="3">
        <v>-187982976496458</v>
      </c>
      <c r="C2012" s="3">
        <f>[1]!nefin_factors__1[[#This Row],[Rm_minus_Rf]]/B2011-1</f>
        <v>-1.8236345345361236</v>
      </c>
      <c r="D2012" s="3">
        <v>-172960122767985</v>
      </c>
      <c r="E2012" s="3">
        <f>[1]!nefin_factors__1[[#This Row],[SMB]]/D2011-1</f>
        <v>-1.7936229368352388</v>
      </c>
      <c r="F2012" s="3">
        <v>827777523645357</v>
      </c>
      <c r="G2012" s="3">
        <f>[1]!nefin_factors__1[[#This Row],[HML]]/F2011-1</f>
        <v>1.2894704088349931</v>
      </c>
      <c r="H2012" s="3">
        <v>294406020115989</v>
      </c>
      <c r="I2012" s="4">
        <f>[1]!nefin_factors__1[[#This Row],[Risk_Free]]/H2011-1</f>
        <v>1.6553882395292874E-2</v>
      </c>
      <c r="J2012">
        <v>106927</v>
      </c>
      <c r="K2012">
        <v>106928</v>
      </c>
      <c r="L2012">
        <v>106097</v>
      </c>
      <c r="M2012">
        <v>106692</v>
      </c>
      <c r="N2012">
        <v>6924200</v>
      </c>
      <c r="O2012">
        <v>106692</v>
      </c>
      <c r="P2012">
        <v>-2.2070926230734998E-3</v>
      </c>
      <c r="Q2012">
        <v>-2.20953184171212E-3</v>
      </c>
      <c r="R2012" s="8">
        <v>10.551184654235801</v>
      </c>
      <c r="S2012" s="8">
        <v>-1.1101613766916299E-2</v>
      </c>
      <c r="T2012" s="9">
        <v>-1.1163696588316599E-2</v>
      </c>
      <c r="U2012" s="12">
        <v>3.4749000000000002E-2</v>
      </c>
      <c r="V2012" s="16">
        <v>5.6460999999999997</v>
      </c>
      <c r="W2012" s="17">
        <f t="shared" si="31"/>
        <v>1.8453785687668756E-3</v>
      </c>
    </row>
    <row r="2013" spans="1:23" x14ac:dyDescent="0.2">
      <c r="A2013" s="15">
        <v>44496</v>
      </c>
      <c r="B2013" s="5">
        <v>-106249675103456</v>
      </c>
      <c r="C2013" s="5">
        <f>[1]!nefin_factors__1[[#This Row],[Rm_minus_Rf]]/B2012-1</f>
        <v>-0.43479097371639941</v>
      </c>
      <c r="D2013" s="5">
        <v>-75566744839364</v>
      </c>
      <c r="E2013" s="5">
        <f>[1]!nefin_factors__1[[#This Row],[SMB]]/D2012-1</f>
        <v>-0.56309729878758252</v>
      </c>
      <c r="F2013" s="5">
        <v>-768286876137072</v>
      </c>
      <c r="G2013" s="5">
        <f>[1]!nefin_factors__1[[#This Row],[HML]]/F2012-1</f>
        <v>-1.9281320816174123</v>
      </c>
      <c r="H2013" s="5">
        <v>294406020115989</v>
      </c>
      <c r="I2013" s="6">
        <f>[1]!nefin_factors__1[[#This Row],[Risk_Free]]/H2012-1</f>
        <v>0</v>
      </c>
      <c r="J2013">
        <v>106369</v>
      </c>
      <c r="K2013">
        <v>107013</v>
      </c>
      <c r="L2013">
        <v>105786</v>
      </c>
      <c r="M2013">
        <v>106522</v>
      </c>
      <c r="N2013">
        <v>11221900</v>
      </c>
      <c r="O2013">
        <v>106522</v>
      </c>
      <c r="P2013">
        <v>-1.5933715742510999E-3</v>
      </c>
      <c r="Q2013">
        <v>-1.59464234078616E-3</v>
      </c>
      <c r="R2013" s="8">
        <v>10.104718208313001</v>
      </c>
      <c r="S2013" s="8">
        <v>-4.2314342943814899E-2</v>
      </c>
      <c r="T2013" s="9">
        <v>-4.3235679014257601E-2</v>
      </c>
      <c r="U2013" s="12">
        <v>3.4749000000000002E-2</v>
      </c>
      <c r="V2013" s="16">
        <v>5.7126999999999999</v>
      </c>
      <c r="W2013" s="17">
        <f t="shared" si="31"/>
        <v>1.1795752820531025E-2</v>
      </c>
    </row>
    <row r="2014" spans="1:23" x14ac:dyDescent="0.2">
      <c r="A2014" s="14">
        <v>44497</v>
      </c>
      <c r="B2014" s="3">
        <v>-381244622061087</v>
      </c>
      <c r="C2014" s="3">
        <f>[1]!nefin_factors__1[[#This Row],[Rm_minus_Rf]]/B2013-1</f>
        <v>2.58819565038544</v>
      </c>
      <c r="D2014" s="3">
        <v>-203709960180486</v>
      </c>
      <c r="E2014" s="3">
        <f>[1]!nefin_factors__1[[#This Row],[SMB]]/D2013-1</f>
        <v>1.6957620129532169</v>
      </c>
      <c r="F2014" s="3">
        <v>-107106650083645</v>
      </c>
      <c r="G2014" s="3">
        <f>[1]!nefin_factors__1[[#This Row],[HML]]/F2013-1</f>
        <v>-0.86059029067088244</v>
      </c>
      <c r="H2014" s="3">
        <v>293668826171434</v>
      </c>
      <c r="I2014" s="4">
        <f>[1]!nefin_factors__1[[#This Row],[Risk_Free]]/H2013-1</f>
        <v>-2.5040043143973456E-3</v>
      </c>
      <c r="J2014">
        <v>106670</v>
      </c>
      <c r="K2014">
        <v>108602</v>
      </c>
      <c r="L2014">
        <v>106669</v>
      </c>
      <c r="M2014">
        <v>108013</v>
      </c>
      <c r="N2014">
        <v>12595600</v>
      </c>
      <c r="O2014">
        <v>108013</v>
      </c>
      <c r="P2014">
        <v>1.3997108578509601E-2</v>
      </c>
      <c r="Q2014">
        <v>1.39000536644422E-2</v>
      </c>
      <c r="R2014" s="8">
        <v>10.532961845398001</v>
      </c>
      <c r="S2014" s="8">
        <v>4.2380562055916803E-2</v>
      </c>
      <c r="T2014" s="9">
        <v>4.1507099356013599E-2</v>
      </c>
      <c r="U2014" s="12">
        <v>3.4749000000000002E-2</v>
      </c>
      <c r="V2014" s="16">
        <v>5.6962999999999999</v>
      </c>
      <c r="W2014" s="17">
        <f t="shared" si="31"/>
        <v>-2.8707966460692624E-3</v>
      </c>
    </row>
    <row r="2015" spans="1:23" x14ac:dyDescent="0.2">
      <c r="A2015" s="15">
        <v>44498</v>
      </c>
      <c r="B2015" s="5">
        <v>-203326249768033</v>
      </c>
      <c r="C2015" s="5">
        <f>[1]!nefin_factors__1[[#This Row],[Rm_minus_Rf]]/B2014-1</f>
        <v>-0.46667772342909553</v>
      </c>
      <c r="D2015" s="5">
        <v>-840972739971923</v>
      </c>
      <c r="E2015" s="5">
        <f>[1]!nefin_factors__1[[#This Row],[SMB]]/D2014-1</f>
        <v>3.128284838045353</v>
      </c>
      <c r="F2015" s="5">
        <v>-542535920273473</v>
      </c>
      <c r="G2015" s="5">
        <f>[1]!nefin_factors__1[[#This Row],[HML]]/F2014-1</f>
        <v>4.065380346129575</v>
      </c>
      <c r="H2015" s="5">
        <v>293300178055178</v>
      </c>
      <c r="I2015" s="6">
        <f>[1]!nefin_factors__1[[#This Row],[Risk_Free]]/H2014-1</f>
        <v>-1.2553192010948955E-3</v>
      </c>
      <c r="J2015">
        <v>108015</v>
      </c>
      <c r="K2015">
        <v>109873</v>
      </c>
      <c r="L2015">
        <v>108015</v>
      </c>
      <c r="M2015">
        <v>109102</v>
      </c>
      <c r="N2015">
        <v>13630500</v>
      </c>
      <c r="O2015">
        <v>109102</v>
      </c>
      <c r="P2015">
        <v>1.00821197448455E-2</v>
      </c>
      <c r="Q2015">
        <v>1.00316342260242E-2</v>
      </c>
      <c r="R2015" s="8">
        <v>11.635459899902299</v>
      </c>
      <c r="S2015" s="8">
        <v>0.104671228348377</v>
      </c>
      <c r="T2015" s="9">
        <v>9.9547759792168497E-2</v>
      </c>
      <c r="U2015" s="12">
        <v>3.4749000000000002E-2</v>
      </c>
      <c r="V2015" s="16">
        <v>5.6959</v>
      </c>
      <c r="W2015" s="17">
        <f t="shared" si="31"/>
        <v>-7.0221020662564193E-5</v>
      </c>
    </row>
    <row r="2016" spans="1:23" x14ac:dyDescent="0.2">
      <c r="A2016" s="14">
        <v>44501</v>
      </c>
      <c r="B2016" s="3">
        <v>20303163901009</v>
      </c>
      <c r="C2016" s="3">
        <f>[1]!nefin_factors__1[[#This Row],[Rm_minus_Rf]]/B2015-1</f>
        <v>-1.0998551044155493</v>
      </c>
      <c r="D2016" s="3">
        <v>143225403681868</v>
      </c>
      <c r="E2016" s="3">
        <f>[1]!nefin_factors__1[[#This Row],[SMB]]/D2015-1</f>
        <v>-1.1703092108391644</v>
      </c>
      <c r="F2016" s="3">
        <v>969611579855104</v>
      </c>
      <c r="G2016" s="3">
        <f>[1]!nefin_factors__1[[#This Row],[HML]]/F2015-1</f>
        <v>-2.7871841174430578</v>
      </c>
      <c r="H2016" s="3">
        <v>293300178055178</v>
      </c>
      <c r="I2016" s="4">
        <f>[1]!nefin_factors__1[[#This Row],[Risk_Free]]/H2015-1</f>
        <v>0</v>
      </c>
      <c r="J2016">
        <v>109097</v>
      </c>
      <c r="K2016">
        <v>109786</v>
      </c>
      <c r="L2016">
        <v>108368</v>
      </c>
      <c r="M2016">
        <v>108942</v>
      </c>
      <c r="N2016">
        <v>13408400</v>
      </c>
      <c r="O2016">
        <v>108942</v>
      </c>
      <c r="P2016">
        <v>-1.4665175707136999E-3</v>
      </c>
      <c r="Q2016">
        <v>-1.46759396009764E-3</v>
      </c>
      <c r="R2016" s="8">
        <v>11.626349449157701</v>
      </c>
      <c r="S2016" s="8">
        <v>-7.8299017168248497E-4</v>
      </c>
      <c r="T2016" s="9">
        <v>-7.8329686859118796E-4</v>
      </c>
      <c r="U2016" s="12">
        <v>3.4749000000000002E-2</v>
      </c>
      <c r="V2016" s="16">
        <v>5.7054999999999998</v>
      </c>
      <c r="W2016" s="17">
        <f t="shared" si="31"/>
        <v>1.6854228480134292E-3</v>
      </c>
    </row>
    <row r="2017" spans="1:23" x14ac:dyDescent="0.2">
      <c r="A2017" s="15">
        <v>44503</v>
      </c>
      <c r="B2017" s="5">
        <v>479181658786199</v>
      </c>
      <c r="C2017" s="5">
        <f>[1]!nefin_factors__1[[#This Row],[Rm_minus_Rf]]/B2016-1</f>
        <v>22.601329385041574</v>
      </c>
      <c r="D2017" s="5">
        <v>375141111869531</v>
      </c>
      <c r="E2017" s="5">
        <f>[1]!nefin_factors__1[[#This Row],[SMB]]/D2016-1</f>
        <v>1.6192358494083474</v>
      </c>
      <c r="F2017" s="5">
        <v>-173635481191286</v>
      </c>
      <c r="G2017" s="5">
        <f>[1]!nefin_factors__1[[#This Row],[HML]]/F2016-1</f>
        <v>-1.1790773592217552</v>
      </c>
      <c r="H2017" s="5">
        <v>298089945721891</v>
      </c>
      <c r="I2017" s="6">
        <f>[1]!nefin_factors__1[[#This Row],[Risk_Free]]/H2016-1</f>
        <v>1.633059924638669E-2</v>
      </c>
      <c r="J2017">
        <v>108941</v>
      </c>
      <c r="K2017">
        <v>108948</v>
      </c>
      <c r="L2017">
        <v>106624</v>
      </c>
      <c r="M2017">
        <v>107752</v>
      </c>
      <c r="N2017">
        <v>12700800</v>
      </c>
      <c r="O2017">
        <v>107752</v>
      </c>
      <c r="P2017">
        <v>-1.0923243560793799E-2</v>
      </c>
      <c r="Q2017">
        <v>-1.09833402200711E-2</v>
      </c>
      <c r="R2017" s="8">
        <v>11.571679115295399</v>
      </c>
      <c r="S2017" s="8">
        <v>-4.7022785700171496E-3</v>
      </c>
      <c r="T2017" s="9">
        <v>-4.7133690626072304E-3</v>
      </c>
      <c r="U2017" s="12">
        <v>3.4749000000000002E-2</v>
      </c>
      <c r="V2017" s="16">
        <v>5.7371999999999996</v>
      </c>
      <c r="W2017" s="17">
        <f t="shared" si="31"/>
        <v>5.556042415213458E-3</v>
      </c>
    </row>
    <row r="2018" spans="1:23" x14ac:dyDescent="0.2">
      <c r="A2018" s="14">
        <v>44504</v>
      </c>
      <c r="B2018" s="3">
        <v>-202046498396946</v>
      </c>
      <c r="C2018" s="3">
        <f>[1]!nefin_factors__1[[#This Row],[Rm_minus_Rf]]/B2017-1</f>
        <v>-1.4216490650095917</v>
      </c>
      <c r="D2018" s="3">
        <v>-680080253491827</v>
      </c>
      <c r="E2018" s="3">
        <f>[1]!nefin_factors__1[[#This Row],[SMB]]/D2017-1</f>
        <v>-2.8128651645313396</v>
      </c>
      <c r="F2018" s="3">
        <v>-125153104838236</v>
      </c>
      <c r="G2018" s="3">
        <f>[1]!nefin_factors__1[[#This Row],[HML]]/F2017-1</f>
        <v>-0.2792192933173564</v>
      </c>
      <c r="H2018" s="3">
        <v>296985125561866</v>
      </c>
      <c r="I2018" s="4">
        <f>[1]!nefin_factors__1[[#This Row],[Risk_Free]]/H2017-1</f>
        <v>-3.706331514635397E-3</v>
      </c>
      <c r="J2018">
        <v>107935</v>
      </c>
      <c r="K2018">
        <v>110115</v>
      </c>
      <c r="L2018">
        <v>107185</v>
      </c>
      <c r="M2018">
        <v>109845</v>
      </c>
      <c r="N2018">
        <v>13713900</v>
      </c>
      <c r="O2018">
        <v>109845</v>
      </c>
      <c r="P2018">
        <v>1.9424233424901498E-2</v>
      </c>
      <c r="Q2018">
        <v>1.9237990884628901E-2</v>
      </c>
      <c r="R2018" s="8">
        <v>11.772133827209499</v>
      </c>
      <c r="S2018" s="8">
        <v>1.7322871634860799E-2</v>
      </c>
      <c r="T2018" s="9">
        <v>1.7174541249254101E-2</v>
      </c>
      <c r="U2018" s="12">
        <v>3.4749000000000002E-2</v>
      </c>
      <c r="V2018" s="16">
        <v>5.7201000000000004</v>
      </c>
      <c r="W2018" s="17">
        <f t="shared" si="31"/>
        <v>-2.9805480025097975E-3</v>
      </c>
    </row>
    <row r="2019" spans="1:23" x14ac:dyDescent="0.2">
      <c r="A2019" s="15">
        <v>44505</v>
      </c>
      <c r="B2019" s="5">
        <v>11321757770396</v>
      </c>
      <c r="C2019" s="5">
        <f>[1]!nefin_factors__1[[#This Row],[Rm_minus_Rf]]/B2018-1</f>
        <v>-1.0560354069990017</v>
      </c>
      <c r="D2019" s="5">
        <v>525066715445704</v>
      </c>
      <c r="E2019" s="5">
        <f>[1]!nefin_factors__1[[#This Row],[SMB]]/D2018-1</f>
        <v>-1.7720658153942623</v>
      </c>
      <c r="F2019" s="5">
        <v>-829052015293812</v>
      </c>
      <c r="G2019" s="5">
        <f>[1]!nefin_factors__1[[#This Row],[HML]]/F2018-1</f>
        <v>5.6243024203465479</v>
      </c>
      <c r="H2019" s="5">
        <v>29882632237288</v>
      </c>
      <c r="I2019" s="6">
        <f>[1]!nefin_factors__1[[#This Row],[Risk_Free]]/H2018-1</f>
        <v>-0.89938003736465566</v>
      </c>
      <c r="J2019">
        <v>110207</v>
      </c>
      <c r="K2019">
        <v>112695</v>
      </c>
      <c r="L2019">
        <v>110204</v>
      </c>
      <c r="M2019">
        <v>111573</v>
      </c>
      <c r="N2019">
        <v>15513800</v>
      </c>
      <c r="O2019">
        <v>111573</v>
      </c>
      <c r="P2019">
        <v>1.57312576812783E-2</v>
      </c>
      <c r="Q2019">
        <v>1.56088040110865E-2</v>
      </c>
      <c r="R2019" s="8">
        <v>12.3461618423462</v>
      </c>
      <c r="S2019" s="8">
        <v>4.8761594419691502E-2</v>
      </c>
      <c r="T2019" s="9">
        <v>4.76100342039045E-2</v>
      </c>
      <c r="U2019" s="12">
        <v>3.4749000000000002E-2</v>
      </c>
      <c r="V2019" s="16">
        <v>5.6909999999999998</v>
      </c>
      <c r="W2019" s="17">
        <f t="shared" si="31"/>
        <v>-5.0873236481880912E-3</v>
      </c>
    </row>
    <row r="2020" spans="1:23" x14ac:dyDescent="0.2">
      <c r="A2020" s="14">
        <v>44508</v>
      </c>
      <c r="B2020" s="3">
        <v>-202476172688766</v>
      </c>
      <c r="C2020" s="3">
        <f>[1]!nefin_factors__1[[#This Row],[Rm_minus_Rf]]/B2019-1</f>
        <v>-18.883810693971771</v>
      </c>
      <c r="D2020" s="3">
        <v>-969827381453794</v>
      </c>
      <c r="E2020" s="3">
        <f>[1]!nefin_factors__1[[#This Row],[SMB]]/D2019-1</f>
        <v>-2.8470555320394935</v>
      </c>
      <c r="F2020" s="3">
        <v>157354349589389</v>
      </c>
      <c r="G2020" s="3">
        <f>[1]!nefin_factors__1[[#This Row],[HML]]/F2019-1</f>
        <v>-1.1898003342210361</v>
      </c>
      <c r="H2020" s="3">
        <v>304712442399824</v>
      </c>
      <c r="I2020" s="4">
        <f>[1]!nefin_factors__1[[#This Row],[Risk_Free]]/H2019-1</f>
        <v>9.1969746165667168</v>
      </c>
      <c r="J2020">
        <v>111303</v>
      </c>
      <c r="K2020">
        <v>113057</v>
      </c>
      <c r="L2020">
        <v>111303</v>
      </c>
      <c r="M2020">
        <v>112315</v>
      </c>
      <c r="N2020">
        <v>14812000</v>
      </c>
      <c r="O2020">
        <v>112315</v>
      </c>
      <c r="P2020">
        <v>6.6503544764413601E-3</v>
      </c>
      <c r="Q2020">
        <v>6.6283384249042499E-3</v>
      </c>
      <c r="R2020" s="8">
        <v>12.6012859344482</v>
      </c>
      <c r="S2020" s="8">
        <v>2.0664243297621399E-2</v>
      </c>
      <c r="T2020" s="9">
        <v>2.04536342643887E-2</v>
      </c>
      <c r="U2020" s="12">
        <v>3.4749000000000002E-2</v>
      </c>
      <c r="V2020" s="16">
        <v>5.6590999999999996</v>
      </c>
      <c r="W2020" s="17">
        <f t="shared" si="31"/>
        <v>-5.6053417677034423E-3</v>
      </c>
    </row>
    <row r="2021" spans="1:23" x14ac:dyDescent="0.2">
      <c r="A2021" s="15">
        <v>44509</v>
      </c>
      <c r="B2021" s="5">
        <v>720461884844916</v>
      </c>
      <c r="C2021" s="5">
        <f>[1]!nefin_factors__1[[#This Row],[Rm_minus_Rf]]/B2020-1</f>
        <v>-4.5582551530760416</v>
      </c>
      <c r="D2021" s="5">
        <v>-114511191548274</v>
      </c>
      <c r="E2021" s="5">
        <f>[1]!nefin_factors__1[[#This Row],[SMB]]/D2020-1</f>
        <v>-0.88192621311988628</v>
      </c>
      <c r="F2021" s="5">
        <v>-984811191895352</v>
      </c>
      <c r="G2021" s="5">
        <f>[1]!nefin_factors__1[[#This Row],[HML]]/F2020-1</f>
        <v>-7.2585571639117976</v>
      </c>
      <c r="H2021" s="5">
        <v>306917498017922</v>
      </c>
      <c r="I2021" s="6">
        <f>[1]!nefin_factors__1[[#This Row],[Risk_Free]]/H2020-1</f>
        <v>7.2365132212246497E-3</v>
      </c>
      <c r="J2021">
        <v>112611</v>
      </c>
      <c r="K2021">
        <v>112969</v>
      </c>
      <c r="L2021">
        <v>111407</v>
      </c>
      <c r="M2021">
        <v>111478</v>
      </c>
      <c r="N2021">
        <v>13520100</v>
      </c>
      <c r="O2021">
        <v>111478</v>
      </c>
      <c r="P2021">
        <v>-7.4522548190357803E-3</v>
      </c>
      <c r="Q2021">
        <v>-7.4801616020643297E-3</v>
      </c>
      <c r="R2021" s="8">
        <v>12.4372777938843</v>
      </c>
      <c r="S2021" s="8">
        <v>-1.3015190784268601E-2</v>
      </c>
      <c r="T2021" s="9">
        <v>-1.3100630532616399E-2</v>
      </c>
      <c r="U2021" s="12">
        <v>3.4749000000000002E-2</v>
      </c>
      <c r="V2021" s="16">
        <v>5.665</v>
      </c>
      <c r="W2021" s="17">
        <f t="shared" si="31"/>
        <v>1.0425686063155748E-3</v>
      </c>
    </row>
    <row r="2022" spans="1:23" x14ac:dyDescent="0.2">
      <c r="A2022" s="14">
        <v>44510</v>
      </c>
      <c r="B2022" s="3">
        <v>385122349075812</v>
      </c>
      <c r="C2022" s="3">
        <f>[1]!nefin_factors__1[[#This Row],[Rm_minus_Rf]]/B2021-1</f>
        <v>-0.46545076543679753</v>
      </c>
      <c r="D2022" s="3">
        <v>198801887176565</v>
      </c>
      <c r="E2022" s="3">
        <f>[1]!nefin_factors__1[[#This Row],[SMB]]/D2021-1</f>
        <v>-2.73609133298344</v>
      </c>
      <c r="F2022" s="3">
        <v>594466192283803</v>
      </c>
      <c r="G2022" s="3">
        <f>[1]!nefin_factors__1[[#This Row],[HML]]/F2021-1</f>
        <v>-1.6036346836592128</v>
      </c>
      <c r="H2022" s="3">
        <v>309121334255202</v>
      </c>
      <c r="I2022" s="4">
        <f>[1]!nefin_factors__1[[#This Row],[Risk_Free]]/H2021-1</f>
        <v>7.1805493382175456E-3</v>
      </c>
      <c r="J2022">
        <v>111910</v>
      </c>
      <c r="K2022">
        <v>112495</v>
      </c>
      <c r="L2022">
        <v>111195</v>
      </c>
      <c r="M2022">
        <v>112388</v>
      </c>
      <c r="N2022">
        <v>12190800</v>
      </c>
      <c r="O2022">
        <v>112388</v>
      </c>
      <c r="P2022">
        <v>8.16304562335168E-3</v>
      </c>
      <c r="Q2022">
        <v>8.1299081792635692E-3</v>
      </c>
      <c r="R2022" s="8">
        <v>13.175313949585</v>
      </c>
      <c r="S2022" s="8">
        <v>5.9340650577379001E-2</v>
      </c>
      <c r="T2022" s="9">
        <v>5.7646686827258702E-2</v>
      </c>
      <c r="U2022" s="12">
        <v>3.4749000000000002E-2</v>
      </c>
      <c r="V2022" s="16">
        <v>5.6437999999999997</v>
      </c>
      <c r="W2022" s="17">
        <f t="shared" si="31"/>
        <v>-3.7422771403354815E-3</v>
      </c>
    </row>
    <row r="2023" spans="1:23" x14ac:dyDescent="0.2">
      <c r="A2023" s="15">
        <v>44511</v>
      </c>
      <c r="B2023" s="5">
        <v>127834273256242</v>
      </c>
      <c r="C2023" s="5">
        <f>[1]!nefin_factors__1[[#This Row],[Rm_minus_Rf]]/B2022-1</f>
        <v>-0.66806841108284365</v>
      </c>
      <c r="D2023" s="5">
        <v>153790479968118</v>
      </c>
      <c r="E2023" s="5">
        <f>[1]!nefin_factors__1[[#This Row],[SMB]]/D2022-1</f>
        <v>-0.22641337991158161</v>
      </c>
      <c r="F2023" s="5">
        <v>534376876574249</v>
      </c>
      <c r="G2023" s="5">
        <f>[1]!nefin_factors__1[[#This Row],[HML]]/F2022-1</f>
        <v>-0.10108113209719227</v>
      </c>
      <c r="H2023" s="5">
        <v>309488521838874</v>
      </c>
      <c r="I2023" s="6">
        <f>[1]!nefin_factors__1[[#This Row],[Risk_Free]]/H2022-1</f>
        <v>1.1878429049767547E-3</v>
      </c>
      <c r="J2023">
        <v>112143</v>
      </c>
      <c r="K2023">
        <v>113302</v>
      </c>
      <c r="L2023">
        <v>112135</v>
      </c>
      <c r="M2023">
        <v>113147</v>
      </c>
      <c r="N2023">
        <v>11133300</v>
      </c>
      <c r="O2023">
        <v>113147</v>
      </c>
      <c r="P2023">
        <v>6.75339004164144E-3</v>
      </c>
      <c r="Q2023">
        <v>6.7306880560406403E-3</v>
      </c>
      <c r="R2023" s="8">
        <v>13.011305809021</v>
      </c>
      <c r="S2023" s="8">
        <v>-1.2448139087352201E-2</v>
      </c>
      <c r="T2023" s="9">
        <v>-1.25262662059529E-2</v>
      </c>
      <c r="U2023" s="12">
        <v>3.4749000000000002E-2</v>
      </c>
      <c r="V2023" s="16">
        <v>5.6619000000000002</v>
      </c>
      <c r="W2023" s="17">
        <f t="shared" si="31"/>
        <v>3.2070590736739124E-3</v>
      </c>
    </row>
    <row r="2024" spans="1:23" x14ac:dyDescent="0.2">
      <c r="A2024" s="14">
        <v>44512</v>
      </c>
      <c r="B2024" s="3">
        <v>-119046113434103</v>
      </c>
      <c r="C2024" s="3">
        <f>[1]!nefin_factors__1[[#This Row],[Rm_minus_Rf]]/B2023-1</f>
        <v>-1.9312534925236893</v>
      </c>
      <c r="D2024" s="3">
        <v>-259501656699367</v>
      </c>
      <c r="E2024" s="3">
        <f>[1]!nefin_factors__1[[#This Row],[SMB]]/D2023-1</f>
        <v>-2.6873713948559352</v>
      </c>
      <c r="F2024" s="3">
        <v>703027838459787</v>
      </c>
      <c r="G2024" s="3">
        <f>[1]!nefin_factors__1[[#This Row],[HML]]/F2023-1</f>
        <v>0.31560303089219621</v>
      </c>
      <c r="H2024" s="3">
        <v>310589881646894</v>
      </c>
      <c r="I2024" s="4">
        <f>[1]!nefin_factors__1[[#This Row],[Risk_Free]]/H2023-1</f>
        <v>3.5586450879538933E-3</v>
      </c>
      <c r="J2024">
        <v>113228</v>
      </c>
      <c r="K2024">
        <v>113666</v>
      </c>
      <c r="L2024">
        <v>111645</v>
      </c>
      <c r="M2024">
        <v>112161</v>
      </c>
      <c r="N2024">
        <v>11751200</v>
      </c>
      <c r="O2024">
        <v>112161</v>
      </c>
      <c r="P2024">
        <v>-8.7143273794267895E-3</v>
      </c>
      <c r="Q2024">
        <v>-8.7525191693171994E-3</v>
      </c>
      <c r="R2024" s="8">
        <v>12.236823081970201</v>
      </c>
      <c r="S2024" s="8">
        <v>-5.9523827847764298E-2</v>
      </c>
      <c r="T2024" s="9">
        <v>-6.1368965859991097E-2</v>
      </c>
      <c r="U2024" s="12">
        <v>3.4749000000000002E-2</v>
      </c>
      <c r="V2024" s="16">
        <v>5.5804999999999998</v>
      </c>
      <c r="W2024" s="17">
        <f t="shared" si="31"/>
        <v>-1.437679930765301E-2</v>
      </c>
    </row>
    <row r="2025" spans="1:23" x14ac:dyDescent="0.2">
      <c r="A2025" s="15">
        <v>44516</v>
      </c>
      <c r="B2025" s="5">
        <v>-182472083721912</v>
      </c>
      <c r="C2025" s="5">
        <f>[1]!nefin_factors__1[[#This Row],[Rm_minus_Rf]]/B2024-1</f>
        <v>0.53278488862988316</v>
      </c>
      <c r="D2025" s="5">
        <v>-183161511356334</v>
      </c>
      <c r="E2025" s="5">
        <f>[1]!nefin_factors__1[[#This Row],[SMB]]/D2024-1</f>
        <v>-0.29417979952040596</v>
      </c>
      <c r="F2025" s="5">
        <v>388724432382144</v>
      </c>
      <c r="G2025" s="5">
        <f>[1]!nefin_factors__1[[#This Row],[HML]]/F2024-1</f>
        <v>-0.44707106729404578</v>
      </c>
      <c r="H2025" s="5">
        <v>316458665731378</v>
      </c>
      <c r="I2025" s="6">
        <f>[1]!nefin_factors__1[[#This Row],[Risk_Free]]/H2024-1</f>
        <v>1.8895606171601464E-2</v>
      </c>
      <c r="J2025">
        <v>111897</v>
      </c>
      <c r="K2025">
        <v>112502</v>
      </c>
      <c r="L2025">
        <v>111225</v>
      </c>
      <c r="M2025">
        <v>111696</v>
      </c>
      <c r="N2025">
        <v>11039700</v>
      </c>
      <c r="O2025">
        <v>111696</v>
      </c>
      <c r="P2025">
        <v>-4.1458260892823801E-3</v>
      </c>
      <c r="Q2025">
        <v>-4.1544438530106498E-3</v>
      </c>
      <c r="R2025" s="8">
        <v>12.491947174072299</v>
      </c>
      <c r="S2025" s="8">
        <v>2.0848882948872001E-2</v>
      </c>
      <c r="T2025" s="9">
        <v>2.0634519363171799E-2</v>
      </c>
      <c r="U2025" s="12">
        <v>3.4749000000000002E-2</v>
      </c>
      <c r="V2025" s="16">
        <v>5.5804999999999998</v>
      </c>
      <c r="W2025" s="17">
        <f t="shared" si="31"/>
        <v>0</v>
      </c>
    </row>
    <row r="2026" spans="1:23" x14ac:dyDescent="0.2">
      <c r="A2026" s="14">
        <v>44517</v>
      </c>
      <c r="B2026" s="3">
        <v>-132456875465228</v>
      </c>
      <c r="C2026" s="3">
        <f>[1]!nefin_factors__1[[#This Row],[Rm_minus_Rf]]/B2025-1</f>
        <v>-0.2740978632814175</v>
      </c>
      <c r="D2026" s="3">
        <v>-805505819157749</v>
      </c>
      <c r="E2026" s="3">
        <f>[1]!nefin_factors__1[[#This Row],[SMB]]/D2025-1</f>
        <v>3.3977897604844882</v>
      </c>
      <c r="F2026" s="3">
        <v>-360114367260788</v>
      </c>
      <c r="G2026" s="3">
        <f>[1]!nefin_factors__1[[#This Row],[HML]]/F2025-1</f>
        <v>-1.9264001366056913</v>
      </c>
      <c r="H2026" s="3">
        <v>317924512374779</v>
      </c>
      <c r="I2026" s="4">
        <f>[1]!nefin_factors__1[[#This Row],[Risk_Free]]/H2025-1</f>
        <v>4.6320319274975041E-3</v>
      </c>
      <c r="J2026">
        <v>111696</v>
      </c>
      <c r="K2026">
        <v>112415</v>
      </c>
      <c r="L2026">
        <v>110321</v>
      </c>
      <c r="M2026">
        <v>112245</v>
      </c>
      <c r="N2026">
        <v>0</v>
      </c>
      <c r="O2026">
        <v>112245</v>
      </c>
      <c r="P2026">
        <v>4.9151267726685903E-3</v>
      </c>
      <c r="Q2026">
        <v>4.9030869723858499E-3</v>
      </c>
      <c r="R2026" s="8">
        <v>11.854138374328601</v>
      </c>
      <c r="S2026" s="8">
        <v>-5.1057596614518301E-2</v>
      </c>
      <c r="T2026" s="9">
        <v>-5.2407174115531599E-2</v>
      </c>
      <c r="U2026" s="12">
        <v>3.4749000000000002E-2</v>
      </c>
      <c r="V2026" s="16">
        <v>5.6308999999999996</v>
      </c>
      <c r="W2026" s="17">
        <f t="shared" si="31"/>
        <v>9.0314487949108013E-3</v>
      </c>
    </row>
    <row r="2027" spans="1:23" x14ac:dyDescent="0.2">
      <c r="A2027" s="15">
        <v>44518</v>
      </c>
      <c r="B2027" s="5">
        <v>-400781389983273</v>
      </c>
      <c r="C2027" s="5">
        <f>[1]!nefin_factors__1[[#This Row],[Rm_minus_Rf]]/B2026-1</f>
        <v>2.0257499927852698</v>
      </c>
      <c r="D2027" s="5">
        <v>497672928375687</v>
      </c>
      <c r="E2027" s="5">
        <f>[1]!nefin_factors__1[[#This Row],[SMB]]/D2026-1</f>
        <v>-1.617839023057664</v>
      </c>
      <c r="F2027" s="5">
        <v>-906521704653571</v>
      </c>
      <c r="G2027" s="5">
        <f>[1]!nefin_factors__1[[#This Row],[HML]]/F2026-1</f>
        <v>1.5173161280651852</v>
      </c>
      <c r="H2027" s="5">
        <v>319756062818977</v>
      </c>
      <c r="I2027" s="6">
        <f>[1]!nefin_factors__1[[#This Row],[Risk_Free]]/H2026-1</f>
        <v>5.7609601427615065E-3</v>
      </c>
      <c r="J2027">
        <v>112247</v>
      </c>
      <c r="K2027">
        <v>112517</v>
      </c>
      <c r="L2027">
        <v>111490</v>
      </c>
      <c r="M2027">
        <v>111996</v>
      </c>
      <c r="N2027">
        <v>10672800</v>
      </c>
      <c r="O2027">
        <v>111996</v>
      </c>
      <c r="P2027">
        <v>-2.2183616196712599E-3</v>
      </c>
      <c r="Q2027">
        <v>-2.22082582882158E-3</v>
      </c>
      <c r="R2027" s="8">
        <v>11.6719074249268</v>
      </c>
      <c r="S2027" s="8">
        <v>-1.53727705588873E-2</v>
      </c>
      <c r="T2027" s="9">
        <v>-1.5492156707193901E-2</v>
      </c>
      <c r="U2027" s="12">
        <v>3.4749000000000002E-2</v>
      </c>
      <c r="V2027" s="16">
        <v>5.6776</v>
      </c>
      <c r="W2027" s="17">
        <f t="shared" si="31"/>
        <v>8.2935232378482659E-3</v>
      </c>
    </row>
    <row r="2028" spans="1:23" x14ac:dyDescent="0.2">
      <c r="A2028" s="14">
        <v>44519</v>
      </c>
      <c r="B2028" s="3">
        <v>600968707205143</v>
      </c>
      <c r="C2028" s="3">
        <f>[1]!nefin_factors__1[[#This Row],[Rm_minus_Rf]]/B2027-1</f>
        <v>-2.4994925468725606</v>
      </c>
      <c r="D2028" s="3">
        <v>131274128096028</v>
      </c>
      <c r="E2028" s="3">
        <f>[1]!nefin_factors__1[[#This Row],[SMB]]/D2027-1</f>
        <v>-0.73622409295100177</v>
      </c>
      <c r="F2028" s="3">
        <v>7638180584.2960396</v>
      </c>
      <c r="G2028" s="3">
        <f>[1]!nefin_factors__1[[#This Row],[HML]]/F2027-1</f>
        <v>-1.0000084258110369</v>
      </c>
      <c r="H2028" s="3">
        <v>32085458919151</v>
      </c>
      <c r="I2028" s="4">
        <f>[1]!nefin_factors__1[[#This Row],[Risk_Free]]/H2027-1</f>
        <v>-0.89965644861809713</v>
      </c>
      <c r="J2028">
        <v>111995</v>
      </c>
      <c r="K2028">
        <v>112251</v>
      </c>
      <c r="L2028">
        <v>110943</v>
      </c>
      <c r="M2028">
        <v>112234</v>
      </c>
      <c r="N2028">
        <v>10157500</v>
      </c>
      <c r="O2028">
        <v>112234</v>
      </c>
      <c r="P2028">
        <v>2.1250758955677598E-3</v>
      </c>
      <c r="Q2028">
        <v>2.1228211156074398E-3</v>
      </c>
      <c r="R2028" s="8">
        <v>11.899696350097701</v>
      </c>
      <c r="S2028" s="8">
        <v>1.95159982750059E-2</v>
      </c>
      <c r="T2028" s="9">
        <v>1.9328003184881499E-2</v>
      </c>
      <c r="U2028" s="12">
        <v>3.4749000000000002E-2</v>
      </c>
      <c r="V2028" s="16">
        <v>5.6627999999999998</v>
      </c>
      <c r="W2028" s="17">
        <f t="shared" si="31"/>
        <v>-2.6067352402423527E-3</v>
      </c>
    </row>
    <row r="2029" spans="1:23" x14ac:dyDescent="0.2">
      <c r="A2029" s="15">
        <v>44522</v>
      </c>
      <c r="B2029" s="5">
        <v>-955877755341786</v>
      </c>
      <c r="C2029" s="5">
        <f>[1]!nefin_factors__1[[#This Row],[Rm_minus_Rf]]/B2028-1</f>
        <v>-2.5905616114143086</v>
      </c>
      <c r="D2029" s="5">
        <v>827342428817515</v>
      </c>
      <c r="E2029" s="5">
        <f>[1]!nefin_factors__1[[#This Row],[SMB]]/D2028-1</f>
        <v>5.3024027721007441</v>
      </c>
      <c r="F2029" s="5">
        <v>187537890845953</v>
      </c>
      <c r="G2029" s="5">
        <f>[1]!nefin_factors__1[[#This Row],[HML]]/F2028-1</f>
        <v>24551.691413388089</v>
      </c>
      <c r="H2029" s="5">
        <v>324879930588384</v>
      </c>
      <c r="I2029" s="6">
        <f>[1]!nefin_factors__1[[#This Row],[Risk_Free]]/H2028-1</f>
        <v>9.1254568746240174</v>
      </c>
      <c r="J2029">
        <v>112233</v>
      </c>
      <c r="K2029">
        <v>113163</v>
      </c>
      <c r="L2029">
        <v>111710</v>
      </c>
      <c r="M2029">
        <v>112461</v>
      </c>
      <c r="N2029">
        <v>13794500</v>
      </c>
      <c r="O2029">
        <v>112461</v>
      </c>
      <c r="P2029">
        <v>2.0225600085535E-3</v>
      </c>
      <c r="Q2029">
        <v>2.0205173878110301E-3</v>
      </c>
      <c r="R2029" s="8">
        <v>12.318826675415</v>
      </c>
      <c r="S2029" s="8">
        <v>3.5221934491962398E-2</v>
      </c>
      <c r="T2029" s="9">
        <v>3.4615833191454802E-2</v>
      </c>
      <c r="U2029" s="12">
        <v>3.4749000000000002E-2</v>
      </c>
      <c r="V2029" s="16">
        <v>5.7042000000000002</v>
      </c>
      <c r="W2029" s="17">
        <f t="shared" si="31"/>
        <v>7.3108709472347044E-3</v>
      </c>
    </row>
    <row r="2030" spans="1:23" x14ac:dyDescent="0.2">
      <c r="A2030" s="14">
        <v>44523</v>
      </c>
      <c r="B2030" s="3">
        <v>113290518297812</v>
      </c>
      <c r="C2030" s="3">
        <f>[1]!nefin_factors__1[[#This Row],[Rm_minus_Rf]]/B2029-1</f>
        <v>-1.1185198815065045</v>
      </c>
      <c r="D2030" s="3">
        <v>-177884796183651</v>
      </c>
      <c r="E2030" s="3">
        <f>[1]!nefin_factors__1[[#This Row],[SMB]]/D2029-1</f>
        <v>-1.2150074624335345</v>
      </c>
      <c r="F2030" s="3">
        <v>88797665608749</v>
      </c>
      <c r="G2030" s="3">
        <f>[1]!nefin_factors__1[[#This Row],[HML]]/F2029-1</f>
        <v>-0.52650813545893504</v>
      </c>
      <c r="H2030" s="3">
        <v>32707385890185</v>
      </c>
      <c r="I2030" s="4">
        <f>[1]!nefin_factors__1[[#This Row],[Risk_Free]]/H2029-1</f>
        <v>-0.89932469564694484</v>
      </c>
      <c r="J2030">
        <v>112462</v>
      </c>
      <c r="K2030">
        <v>113812</v>
      </c>
      <c r="L2030">
        <v>112163</v>
      </c>
      <c r="M2030">
        <v>113359</v>
      </c>
      <c r="N2030">
        <v>13267900</v>
      </c>
      <c r="O2030">
        <v>113359</v>
      </c>
      <c r="P2030">
        <v>7.9849903522109002E-3</v>
      </c>
      <c r="Q2030">
        <v>7.9532790147116197E-3</v>
      </c>
      <c r="R2030" s="8">
        <v>12.619508743286101</v>
      </c>
      <c r="S2030" s="8">
        <v>2.4408336588676201E-2</v>
      </c>
      <c r="T2030" s="9">
        <v>2.4115213331084299E-2</v>
      </c>
      <c r="U2030" s="12">
        <v>3.4749000000000002E-2</v>
      </c>
      <c r="V2030" s="16">
        <v>5.6753</v>
      </c>
      <c r="W2030" s="17">
        <f t="shared" si="31"/>
        <v>-5.0664422706075962E-3</v>
      </c>
    </row>
    <row r="2031" spans="1:23" x14ac:dyDescent="0.2">
      <c r="A2031" s="15">
        <v>44524</v>
      </c>
      <c r="B2031" s="5">
        <v>797797967666145</v>
      </c>
      <c r="C2031" s="5">
        <f>[1]!nefin_factors__1[[#This Row],[Rm_minus_Rf]]/B2030-1</f>
        <v>6.0420541776403276</v>
      </c>
      <c r="D2031" s="5">
        <v>738979415311782</v>
      </c>
      <c r="E2031" s="5">
        <f>[1]!nefin_factors__1[[#This Row],[SMB]]/D2030-1</f>
        <v>-5.1542584367291751</v>
      </c>
      <c r="F2031" s="5">
        <v>814629026088759</v>
      </c>
      <c r="G2031" s="5">
        <f>[1]!nefin_factors__1[[#This Row],[HML]]/F2030-1</f>
        <v>8.1739914614207585</v>
      </c>
      <c r="H2031" s="5">
        <v>328535807093022</v>
      </c>
      <c r="I2031" s="6">
        <f>[1]!nefin_factors__1[[#This Row],[Risk_Free]]/H2030-1</f>
        <v>9.0446977999428171</v>
      </c>
      <c r="J2031">
        <v>113368</v>
      </c>
      <c r="K2031">
        <v>114899</v>
      </c>
      <c r="L2031">
        <v>113128</v>
      </c>
      <c r="M2031">
        <v>113572</v>
      </c>
      <c r="N2031">
        <v>18602800</v>
      </c>
      <c r="O2031">
        <v>113572</v>
      </c>
      <c r="P2031">
        <v>1.87898622958915E-3</v>
      </c>
      <c r="Q2031">
        <v>1.8772231431615999E-3</v>
      </c>
      <c r="R2031" s="8">
        <v>12.0272569656372</v>
      </c>
      <c r="S2031" s="8">
        <v>-4.6931444773079402E-2</v>
      </c>
      <c r="T2031" s="9">
        <v>-4.8068441685504101E-2</v>
      </c>
      <c r="U2031" s="12">
        <v>3.4749000000000002E-2</v>
      </c>
      <c r="V2031" s="16">
        <v>5.6736000000000004</v>
      </c>
      <c r="W2031" s="17">
        <f t="shared" si="31"/>
        <v>-2.9954363645967597E-4</v>
      </c>
    </row>
    <row r="2032" spans="1:23" x14ac:dyDescent="0.2">
      <c r="A2032" s="14">
        <v>44525</v>
      </c>
      <c r="B2032" s="3">
        <v>126188491413562</v>
      </c>
      <c r="C2032" s="3">
        <f>[1]!nefin_factors__1[[#This Row],[Rm_minus_Rf]]/B2031-1</f>
        <v>-0.84182901370041074</v>
      </c>
      <c r="D2032" s="3">
        <v>101254858095289</v>
      </c>
      <c r="E2032" s="3">
        <f>[1]!nefin_factors__1[[#This Row],[SMB]]/D2031-1</f>
        <v>-0.8629801372037289</v>
      </c>
      <c r="F2032" s="3">
        <v>48345951604762</v>
      </c>
      <c r="G2032" s="3">
        <f>[1]!nefin_factors__1[[#This Row],[HML]]/F2031-1</f>
        <v>-0.94065280016244546</v>
      </c>
      <c r="H2032" s="3">
        <v>329266580131105</v>
      </c>
      <c r="I2032" s="4">
        <f>[1]!nefin_factors__1[[#This Row],[Risk_Free]]/H2031-1</f>
        <v>2.2243330020830232E-3</v>
      </c>
      <c r="J2032">
        <v>113643</v>
      </c>
      <c r="K2032">
        <v>114167</v>
      </c>
      <c r="L2032">
        <v>113358</v>
      </c>
      <c r="M2032">
        <v>113807</v>
      </c>
      <c r="N2032">
        <v>10757600</v>
      </c>
      <c r="O2032">
        <v>113807</v>
      </c>
      <c r="P2032">
        <v>2.0691719790089098E-3</v>
      </c>
      <c r="Q2032">
        <v>2.06703419112881E-3</v>
      </c>
      <c r="R2032" s="8">
        <v>12.1639308929443</v>
      </c>
      <c r="S2032" s="8">
        <v>1.1363682317391001E-2</v>
      </c>
      <c r="T2032" s="9">
        <v>1.1299600691352701E-2</v>
      </c>
      <c r="U2032" s="12">
        <v>3.4749000000000002E-2</v>
      </c>
      <c r="V2032" s="16">
        <v>5.6351000000000004</v>
      </c>
      <c r="W2032" s="17">
        <f t="shared" si="31"/>
        <v>-6.7858150028200503E-3</v>
      </c>
    </row>
    <row r="2033" spans="1:23" x14ac:dyDescent="0.2">
      <c r="A2033" s="15">
        <v>44526</v>
      </c>
      <c r="B2033" s="5">
        <v>-322227477034997</v>
      </c>
      <c r="C2033" s="5">
        <f>[1]!nefin_factors__1[[#This Row],[Rm_minus_Rf]]/B2032-1</f>
        <v>-3.5535409245756773</v>
      </c>
      <c r="D2033" s="5">
        <v>-481041511735654</v>
      </c>
      <c r="E2033" s="5">
        <f>[1]!nefin_factors__1[[#This Row],[SMB]]/D2032-1</f>
        <v>-5.7507993274056544</v>
      </c>
      <c r="F2033" s="5">
        <v>411756678423358</v>
      </c>
      <c r="G2033" s="5">
        <f>[1]!nefin_factors__1[[#This Row],[HML]]/F2032-1</f>
        <v>7.516880209320373</v>
      </c>
      <c r="H2033" s="5">
        <v>329631916407447</v>
      </c>
      <c r="I2033" s="6">
        <f>[1]!nefin_factors__1[[#This Row],[Risk_Free]]/H2032-1</f>
        <v>1.1095455730627535E-3</v>
      </c>
      <c r="J2033">
        <v>113905</v>
      </c>
      <c r="K2033">
        <v>114819</v>
      </c>
      <c r="L2033">
        <v>113882</v>
      </c>
      <c r="M2033">
        <v>114660</v>
      </c>
      <c r="N2033">
        <v>11649600</v>
      </c>
      <c r="O2033">
        <v>114660</v>
      </c>
      <c r="P2033">
        <v>7.4951452898328599E-3</v>
      </c>
      <c r="Q2033">
        <v>7.4671962562061498E-3</v>
      </c>
      <c r="R2033" s="8">
        <v>13.002194404601999</v>
      </c>
      <c r="S2033" s="8">
        <v>6.8913866663279796E-2</v>
      </c>
      <c r="T2033" s="9">
        <v>6.6643055048568198E-2</v>
      </c>
      <c r="U2033" s="12">
        <v>3.4749000000000002E-2</v>
      </c>
      <c r="V2033" s="16">
        <v>5.5610999999999997</v>
      </c>
      <c r="W2033" s="17">
        <f t="shared" si="31"/>
        <v>-1.3131976362442677E-2</v>
      </c>
    </row>
    <row r="2034" spans="1:23" x14ac:dyDescent="0.2">
      <c r="A2034" s="14">
        <v>44529</v>
      </c>
      <c r="B2034" s="3">
        <v>327128387423915</v>
      </c>
      <c r="C2034" s="3">
        <f>[1]!nefin_factors__1[[#This Row],[Rm_minus_Rf]]/B2033-1</f>
        <v>-2.0152094738599393</v>
      </c>
      <c r="D2034" s="3">
        <v>-843076098544541</v>
      </c>
      <c r="E2034" s="3">
        <f>[1]!nefin_factors__1[[#This Row],[SMB]]/D2033-1</f>
        <v>0.75260570652753822</v>
      </c>
      <c r="F2034" s="3">
        <v>890428589288847</v>
      </c>
      <c r="G2034" s="3">
        <f>[1]!nefin_factors__1[[#This Row],[HML]]/F2033-1</f>
        <v>1.1625115898504759</v>
      </c>
      <c r="H2034" s="3">
        <v>331092926703747</v>
      </c>
      <c r="I2034" s="4">
        <f>[1]!nefin_factors__1[[#This Row],[Risk_Free]]/H2033-1</f>
        <v>4.4322476786322618E-3</v>
      </c>
      <c r="J2034">
        <v>114830</v>
      </c>
      <c r="K2034">
        <v>115734</v>
      </c>
      <c r="L2034">
        <v>114816</v>
      </c>
      <c r="M2034">
        <v>115181</v>
      </c>
      <c r="N2034">
        <v>12052100</v>
      </c>
      <c r="O2034">
        <v>115181</v>
      </c>
      <c r="P2034">
        <v>4.54386882958313E-3</v>
      </c>
      <c r="Q2034">
        <v>4.5335766234589096E-3</v>
      </c>
      <c r="R2034" s="8">
        <v>13.7766771316528</v>
      </c>
      <c r="S2034" s="8">
        <v>5.9565539704333099E-2</v>
      </c>
      <c r="T2034" s="9">
        <v>5.7858955901585699E-2</v>
      </c>
      <c r="U2034" s="12">
        <v>3.4749000000000002E-2</v>
      </c>
      <c r="V2034" s="16">
        <v>5.5246000000000004</v>
      </c>
      <c r="W2034" s="17">
        <f t="shared" si="31"/>
        <v>-6.5634496772219997E-3</v>
      </c>
    </row>
    <row r="2035" spans="1:23" x14ac:dyDescent="0.2">
      <c r="A2035" s="15">
        <v>44530</v>
      </c>
      <c r="B2035" s="5">
        <v>-958331477442971</v>
      </c>
      <c r="C2035" s="5">
        <f>[1]!nefin_factors__1[[#This Row],[Rm_minus_Rf]]/B2034-1</f>
        <v>-3.9295271039902158</v>
      </c>
      <c r="D2035" s="5">
        <v>-304595736358937</v>
      </c>
      <c r="E2035" s="5">
        <f>[1]!nefin_factors__1[[#This Row],[SMB]]/D2034-1</f>
        <v>-0.63870908345666411</v>
      </c>
      <c r="F2035" s="5">
        <v>691691851624414</v>
      </c>
      <c r="G2035" s="5">
        <f>[1]!nefin_factors__1[[#This Row],[HML]]/F2034-1</f>
        <v>-0.2231922245703688</v>
      </c>
      <c r="H2035" s="5">
        <v>332918436715568</v>
      </c>
      <c r="I2035" s="6">
        <f>[1]!nefin_factors__1[[#This Row],[Risk_Free]]/H2034-1</f>
        <v>5.5135880732795073E-3</v>
      </c>
      <c r="J2035">
        <v>115181</v>
      </c>
      <c r="K2035">
        <v>115214</v>
      </c>
      <c r="L2035">
        <v>113389</v>
      </c>
      <c r="M2035">
        <v>113528</v>
      </c>
      <c r="N2035">
        <v>10807500</v>
      </c>
      <c r="O2035">
        <v>113528</v>
      </c>
      <c r="P2035">
        <v>-1.4351325305389E-2</v>
      </c>
      <c r="Q2035">
        <v>-1.44553015714592E-2</v>
      </c>
      <c r="R2035" s="8">
        <v>13.3757677078247</v>
      </c>
      <c r="S2035" s="8">
        <v>-2.91005893508972E-2</v>
      </c>
      <c r="T2035" s="9">
        <v>-2.9532409621256799E-2</v>
      </c>
      <c r="U2035" s="12">
        <v>3.4749000000000002E-2</v>
      </c>
      <c r="V2035" s="16">
        <v>5.5349000000000004</v>
      </c>
      <c r="W2035" s="17">
        <f t="shared" si="31"/>
        <v>1.8643883720088628E-3</v>
      </c>
    </row>
    <row r="2036" spans="1:23" x14ac:dyDescent="0.2">
      <c r="A2036" s="14">
        <v>44531</v>
      </c>
      <c r="B2036" s="3">
        <v>-109927028797686</v>
      </c>
      <c r="C2036" s="3">
        <f>[1]!nefin_factors__1[[#This Row],[Rm_minus_Rf]]/B2035-1</f>
        <v>-0.88529331302881298</v>
      </c>
      <c r="D2036" s="3">
        <v>-538518928138176</v>
      </c>
      <c r="E2036" s="3">
        <f>[1]!nefin_factors__1[[#This Row],[SMB]]/D2035-1</f>
        <v>0.76797920606341918</v>
      </c>
      <c r="F2036" s="3">
        <v>654080724984406</v>
      </c>
      <c r="G2036" s="3">
        <f>[1]!nefin_factors__1[[#This Row],[HML]]/F2035-1</f>
        <v>-5.4375552569658869E-2</v>
      </c>
      <c r="H2036" s="3">
        <v>334743110934621</v>
      </c>
      <c r="I2036" s="4">
        <f>[1]!nefin_factors__1[[#This Row],[Risk_Free]]/H2035-1</f>
        <v>5.4808446088310259E-3</v>
      </c>
      <c r="J2036">
        <v>113534</v>
      </c>
      <c r="K2036">
        <v>114213</v>
      </c>
      <c r="L2036">
        <v>112701</v>
      </c>
      <c r="M2036">
        <v>112768</v>
      </c>
      <c r="N2036">
        <v>11300700</v>
      </c>
      <c r="O2036">
        <v>112768</v>
      </c>
      <c r="P2036">
        <v>-6.6943837643577099E-3</v>
      </c>
      <c r="Q2036">
        <v>-6.7168916585767799E-3</v>
      </c>
      <c r="R2036" s="8">
        <v>12.8290748596191</v>
      </c>
      <c r="S2036" s="8">
        <v>-4.0871885647786398E-2</v>
      </c>
      <c r="T2036" s="9">
        <v>-4.1730621413115503E-2</v>
      </c>
      <c r="U2036" s="12">
        <v>3.4749000000000002E-2</v>
      </c>
      <c r="V2036" s="16">
        <v>5.5057999999999998</v>
      </c>
      <c r="W2036" s="17">
        <f t="shared" si="31"/>
        <v>-5.257547561835052E-3</v>
      </c>
    </row>
    <row r="2037" spans="1:23" x14ac:dyDescent="0.2">
      <c r="A2037" s="15">
        <v>44532</v>
      </c>
      <c r="B2037" s="5">
        <v>329099565645511</v>
      </c>
      <c r="C2037" s="5">
        <f>[1]!nefin_factors__1[[#This Row],[Rm_minus_Rf]]/B2036-1</f>
        <v>-3.9938002440800862</v>
      </c>
      <c r="D2037" s="5">
        <v>-963756043590343</v>
      </c>
      <c r="E2037" s="5">
        <f>[1]!nefin_factors__1[[#This Row],[SMB]]/D2036-1</f>
        <v>0.78964191086530833</v>
      </c>
      <c r="F2037" s="5">
        <v>942091174875286</v>
      </c>
      <c r="G2037" s="5">
        <f>[1]!nefin_factors__1[[#This Row],[HML]]/F2036-1</f>
        <v>0.44032859995644502</v>
      </c>
      <c r="H2037" s="5">
        <v>336566950127182</v>
      </c>
      <c r="I2037" s="6">
        <f>[1]!nefin_factors__1[[#This Row],[Risk_Free]]/H2036-1</f>
        <v>5.4484741671567694E-3</v>
      </c>
      <c r="J2037">
        <v>112880</v>
      </c>
      <c r="K2037">
        <v>113405</v>
      </c>
      <c r="L2037">
        <v>111608</v>
      </c>
      <c r="M2037">
        <v>111725</v>
      </c>
      <c r="N2037">
        <v>7864900</v>
      </c>
      <c r="O2037">
        <v>111725</v>
      </c>
      <c r="P2037">
        <v>-9.2490777525539008E-3</v>
      </c>
      <c r="Q2037">
        <v>-9.2921160541444107E-3</v>
      </c>
      <c r="R2037" s="8">
        <v>12.109260559081999</v>
      </c>
      <c r="S2037" s="8">
        <v>-5.6108044298876197E-2</v>
      </c>
      <c r="T2037" s="9">
        <v>-5.7743573093398302E-2</v>
      </c>
      <c r="U2037" s="12">
        <v>3.4749000000000002E-2</v>
      </c>
      <c r="V2037" s="16">
        <v>5.5213000000000001</v>
      </c>
      <c r="W2037" s="17">
        <f t="shared" si="31"/>
        <v>2.8152130480585402E-3</v>
      </c>
    </row>
    <row r="2038" spans="1:23" x14ac:dyDescent="0.2">
      <c r="A2038" s="14">
        <v>44533</v>
      </c>
      <c r="B2038" s="3">
        <v>577136449149955</v>
      </c>
      <c r="C2038" s="3">
        <f>[1]!nefin_factors__1[[#This Row],[Rm_minus_Rf]]/B2037-1</f>
        <v>0.75368341194231925</v>
      </c>
      <c r="D2038" s="3">
        <v>203075755089497</v>
      </c>
      <c r="E2038" s="3">
        <f>[1]!nefin_factors__1[[#This Row],[SMB]]/D2037-1</f>
        <v>-1.2107128214033975</v>
      </c>
      <c r="F2038" s="3">
        <v>-57473892907299</v>
      </c>
      <c r="G2038" s="3">
        <f>[1]!nefin_factors__1[[#This Row],[HML]]/F2037-1</f>
        <v>-1.0610067204110127</v>
      </c>
      <c r="H2038" s="3">
        <v>338389955058638</v>
      </c>
      <c r="I2038" s="4">
        <f>[1]!nefin_factors__1[[#This Row],[Risk_Free]]/H2037-1</f>
        <v>5.4164704251773443E-3</v>
      </c>
      <c r="J2038">
        <v>111727</v>
      </c>
      <c r="K2038">
        <v>113315</v>
      </c>
      <c r="L2038">
        <v>111727</v>
      </c>
      <c r="M2038">
        <v>112892</v>
      </c>
      <c r="N2038">
        <v>12707000</v>
      </c>
      <c r="O2038">
        <v>112892</v>
      </c>
      <c r="P2038">
        <v>1.04452897739986E-2</v>
      </c>
      <c r="Q2038">
        <v>1.0391114658066899E-2</v>
      </c>
      <c r="R2038" s="8">
        <v>12.7015132904053</v>
      </c>
      <c r="S2038" s="8">
        <v>4.8909074871549302E-2</v>
      </c>
      <c r="T2038" s="9">
        <v>4.7750647746592399E-2</v>
      </c>
      <c r="U2038" s="12">
        <v>3.4749000000000002E-2</v>
      </c>
      <c r="V2038" s="16">
        <v>5.4977999999999998</v>
      </c>
      <c r="W2038" s="17">
        <f t="shared" si="31"/>
        <v>-4.25624400050717E-3</v>
      </c>
    </row>
    <row r="2039" spans="1:23" x14ac:dyDescent="0.2">
      <c r="A2039" s="15">
        <v>44536</v>
      </c>
      <c r="B2039" s="5">
        <v>151643362259566</v>
      </c>
      <c r="C2039" s="5">
        <f>[1]!nefin_factors__1[[#This Row],[Rm_minus_Rf]]/B2038-1</f>
        <v>-0.73724868272846666</v>
      </c>
      <c r="D2039" s="5">
        <v>196146955042798</v>
      </c>
      <c r="E2039" s="5">
        <f>[1]!nefin_factors__1[[#This Row],[SMB]]/D2038-1</f>
        <v>-3.4119287374533847E-2</v>
      </c>
      <c r="F2039" s="5">
        <v>790687409287552</v>
      </c>
      <c r="G2039" s="5">
        <f>[1]!nefin_factors__1[[#This Row],[HML]]/F2038-1</f>
        <v>-14.757331708204809</v>
      </c>
      <c r="H2039" s="5">
        <v>341669264036559</v>
      </c>
      <c r="I2039" s="6">
        <f>[1]!nefin_factors__1[[#This Row],[Risk_Free]]/H2038-1</f>
        <v>9.6909170290020441E-3</v>
      </c>
      <c r="J2039">
        <v>112892</v>
      </c>
      <c r="K2039">
        <v>113721</v>
      </c>
      <c r="L2039">
        <v>111748</v>
      </c>
      <c r="M2039">
        <v>112008</v>
      </c>
      <c r="N2039">
        <v>12120600</v>
      </c>
      <c r="O2039">
        <v>112008</v>
      </c>
      <c r="P2039">
        <v>-7.8304928604330196E-3</v>
      </c>
      <c r="Q2039">
        <v>-7.8613121619580204E-3</v>
      </c>
      <c r="R2039" s="8">
        <v>11.899696350097701</v>
      </c>
      <c r="S2039" s="8">
        <v>-6.3127670063795494E-2</v>
      </c>
      <c r="T2039" s="9">
        <v>-6.5208260097363302E-2</v>
      </c>
      <c r="U2039" s="12">
        <v>3.4749000000000002E-2</v>
      </c>
      <c r="V2039" s="16">
        <v>5.4165999999999999</v>
      </c>
      <c r="W2039" s="17">
        <f t="shared" si="31"/>
        <v>-1.4769544181308825E-2</v>
      </c>
    </row>
    <row r="2040" spans="1:23" x14ac:dyDescent="0.2">
      <c r="A2040" s="14">
        <v>44537</v>
      </c>
      <c r="B2040" s="3">
        <v>459224236582842</v>
      </c>
      <c r="C2040" s="3">
        <f>[1]!nefin_factors__1[[#This Row],[Rm_minus_Rf]]/B2039-1</f>
        <v>2.0283174267581443</v>
      </c>
      <c r="D2040" s="3">
        <v>-544008048722422</v>
      </c>
      <c r="E2040" s="3">
        <f>[1]!nefin_factors__1[[#This Row],[SMB]]/D2039-1</f>
        <v>-3.77347180130185</v>
      </c>
      <c r="F2040" s="3">
        <v>-657692764884621</v>
      </c>
      <c r="G2040" s="3">
        <f>[1]!nefin_factors__1[[#This Row],[HML]]/F2039-1</f>
        <v>-1.8317987072504851</v>
      </c>
      <c r="H2040" s="3">
        <v>344217973501815</v>
      </c>
      <c r="I2040" s="4">
        <f>[1]!nefin_factors__1[[#This Row],[Risk_Free]]/H2039-1</f>
        <v>7.4595807511186329E-3</v>
      </c>
      <c r="J2040">
        <v>112001</v>
      </c>
      <c r="K2040">
        <v>112001</v>
      </c>
      <c r="L2040">
        <v>109125</v>
      </c>
      <c r="M2040">
        <v>111592</v>
      </c>
      <c r="N2040">
        <v>16794700</v>
      </c>
      <c r="O2040">
        <v>111592</v>
      </c>
      <c r="P2040">
        <v>-3.71402042711233E-3</v>
      </c>
      <c r="Q2040">
        <v>-3.72093452569007E-3</v>
      </c>
      <c r="R2040" s="8">
        <v>11.4805641174316</v>
      </c>
      <c r="S2040" s="8">
        <v>-3.5222094777450003E-2</v>
      </c>
      <c r="T2040" s="9">
        <v>-3.5857354160178802E-2</v>
      </c>
      <c r="U2040" s="12">
        <v>3.4749000000000002E-2</v>
      </c>
      <c r="V2040" s="16">
        <v>5.4401000000000002</v>
      </c>
      <c r="W2040" s="17">
        <f t="shared" si="31"/>
        <v>4.3385149355685826E-3</v>
      </c>
    </row>
    <row r="2041" spans="1:23" x14ac:dyDescent="0.2">
      <c r="A2041" s="15">
        <v>44538</v>
      </c>
      <c r="B2041" s="5">
        <v>47798300969699</v>
      </c>
      <c r="C2041" s="5">
        <f>[1]!nefin_factors__1[[#This Row],[Rm_minus_Rf]]/B2040-1</f>
        <v>-0.89591511692550574</v>
      </c>
      <c r="D2041" s="5">
        <v>269020908666468</v>
      </c>
      <c r="E2041" s="5">
        <f>[1]!nefin_factors__1[[#This Row],[SMB]]/D2040-1</f>
        <v>-1.4945164125756067</v>
      </c>
      <c r="F2041" s="5">
        <v>28685998926465</v>
      </c>
      <c r="G2041" s="5">
        <f>[1]!nefin_factors__1[[#This Row],[HML]]/F2040-1</f>
        <v>-1.0436161083990294</v>
      </c>
      <c r="H2041" s="5">
        <v>346401285085562</v>
      </c>
      <c r="I2041" s="6">
        <f>[1]!nefin_factors__1[[#This Row],[Risk_Free]]/H2040-1</f>
        <v>6.3428169120154365E-3</v>
      </c>
      <c r="J2041">
        <v>111591</v>
      </c>
      <c r="K2041">
        <v>113142</v>
      </c>
      <c r="L2041">
        <v>110673</v>
      </c>
      <c r="M2041">
        <v>113142</v>
      </c>
      <c r="N2041">
        <v>17555700</v>
      </c>
      <c r="O2041">
        <v>113142</v>
      </c>
      <c r="P2041">
        <v>1.3889884579539701E-2</v>
      </c>
      <c r="Q2041">
        <v>1.37943041829064E-2</v>
      </c>
      <c r="R2041" s="8">
        <v>11.435006141662599</v>
      </c>
      <c r="S2041" s="8">
        <v>-3.9682697908432997E-3</v>
      </c>
      <c r="T2041" s="9">
        <v>-3.9761642652670903E-3</v>
      </c>
      <c r="U2041" s="12">
        <v>3.4749000000000002E-2</v>
      </c>
      <c r="V2041" s="16">
        <v>5.4909999999999997</v>
      </c>
      <c r="W2041" s="17">
        <f t="shared" si="31"/>
        <v>9.3564456535724094E-3</v>
      </c>
    </row>
    <row r="2042" spans="1:23" x14ac:dyDescent="0.2">
      <c r="A2042" s="14">
        <v>44539</v>
      </c>
      <c r="B2042" s="3">
        <v>-174441227411152</v>
      </c>
      <c r="C2042" s="3">
        <f>[1]!nefin_factors__1[[#This Row],[Rm_minus_Rf]]/B2041-1</f>
        <v>-4.6495277838795221</v>
      </c>
      <c r="D2042" s="3">
        <v>539529582562951</v>
      </c>
      <c r="E2042" s="3">
        <f>[1]!nefin_factors__1[[#This Row],[SMB]]/D2041-1</f>
        <v>1.0055302959067003</v>
      </c>
      <c r="F2042" s="3">
        <v>100709510766915</v>
      </c>
      <c r="G2042" s="3">
        <f>[1]!nefin_factors__1[[#This Row],[HML]]/F2041-1</f>
        <v>2.5107548816786323</v>
      </c>
      <c r="H2042" s="3">
        <v>34785616194366</v>
      </c>
      <c r="I2042" s="4">
        <f>[1]!nefin_factors__1[[#This Row],[Risk_Free]]/H2041-1</f>
        <v>-0.89958000246513559</v>
      </c>
      <c r="J2042">
        <v>113143</v>
      </c>
      <c r="K2042">
        <v>115429</v>
      </c>
      <c r="L2042">
        <v>113143</v>
      </c>
      <c r="M2042">
        <v>115174</v>
      </c>
      <c r="N2042">
        <v>0</v>
      </c>
      <c r="O2042">
        <v>115174</v>
      </c>
      <c r="P2042">
        <v>1.7959732018171901E-2</v>
      </c>
      <c r="Q2042">
        <v>1.7800361371681998E-2</v>
      </c>
      <c r="R2042" s="8">
        <v>11.134325027465801</v>
      </c>
      <c r="S2042" s="8">
        <v>-2.62947925407113E-2</v>
      </c>
      <c r="T2042" s="9">
        <v>-2.6646682897022201E-2</v>
      </c>
      <c r="U2042" s="12">
        <v>3.4749000000000002E-2</v>
      </c>
      <c r="V2042" s="16">
        <v>5.4970999999999997</v>
      </c>
      <c r="W2042" s="17">
        <f t="shared" si="31"/>
        <v>1.110908759788698E-3</v>
      </c>
    </row>
    <row r="2043" spans="1:23" x14ac:dyDescent="0.2">
      <c r="A2043" s="15">
        <v>44540</v>
      </c>
      <c r="B2043" s="5">
        <v>113235592171466</v>
      </c>
      <c r="C2043" s="5">
        <f>[1]!nefin_factors__1[[#This Row],[Rm_minus_Rf]]/B2042-1</f>
        <v>-1.6491332000581123</v>
      </c>
      <c r="D2043" s="5">
        <v>104949532894372</v>
      </c>
      <c r="E2043" s="5">
        <f>[1]!nefin_factors__1[[#This Row],[SMB]]/D2042-1</f>
        <v>-0.80547955795894333</v>
      </c>
      <c r="F2043" s="5">
        <v>-135799706157756</v>
      </c>
      <c r="G2043" s="5">
        <f>[1]!nefin_factors__1[[#This Row],[HML]]/F2042-1</f>
        <v>-2.3484298069132192</v>
      </c>
      <c r="H2043" s="5">
        <v>34785616194366</v>
      </c>
      <c r="I2043" s="6">
        <f>[1]!nefin_factors__1[[#This Row],[Risk_Free]]/H2042-1</f>
        <v>0</v>
      </c>
      <c r="J2043">
        <v>115173</v>
      </c>
      <c r="K2043">
        <v>115948</v>
      </c>
      <c r="L2043">
        <v>115010</v>
      </c>
      <c r="M2043">
        <v>115166</v>
      </c>
      <c r="N2043">
        <v>12123000</v>
      </c>
      <c r="O2043">
        <v>115166</v>
      </c>
      <c r="P2043">
        <v>-6.9460121207898199E-5</v>
      </c>
      <c r="Q2043">
        <v>-6.9462533673831506E-5</v>
      </c>
      <c r="R2043" s="8">
        <v>10.797197341918899</v>
      </c>
      <c r="S2043" s="8">
        <v>-3.0278232826440599E-2</v>
      </c>
      <c r="T2043" s="9">
        <v>-3.0746086595988702E-2</v>
      </c>
      <c r="U2043" s="12">
        <v>3.4749000000000002E-2</v>
      </c>
      <c r="V2043" s="16">
        <v>5.4324000000000003</v>
      </c>
      <c r="W2043" s="17">
        <f t="shared" si="31"/>
        <v>-1.1769842280475062E-2</v>
      </c>
    </row>
    <row r="2044" spans="1:23" x14ac:dyDescent="0.2">
      <c r="A2044" s="14">
        <v>44543</v>
      </c>
      <c r="B2044" s="3">
        <v>-472569590860492</v>
      </c>
      <c r="C2044" s="3">
        <f>[1]!nefin_factors__1[[#This Row],[Rm_minus_Rf]]/B2043-1</f>
        <v>-5.1733308564758298</v>
      </c>
      <c r="D2044" s="3">
        <v>-518356219527667</v>
      </c>
      <c r="E2044" s="3">
        <f>[1]!nefin_factors__1[[#This Row],[SMB]]/D2043-1</f>
        <v>-5.9390998247641011</v>
      </c>
      <c r="F2044" s="3">
        <v>759459987188861</v>
      </c>
      <c r="G2044" s="3">
        <f>[1]!nefin_factors__1[[#This Row],[HML]]/F2043-1</f>
        <v>-6.5925009609859568</v>
      </c>
      <c r="H2044" s="3">
        <v>34785616194366</v>
      </c>
      <c r="I2044" s="4">
        <f>[1]!nefin_factors__1[[#This Row],[Risk_Free]]/H2043-1</f>
        <v>0</v>
      </c>
      <c r="J2044">
        <v>115166</v>
      </c>
      <c r="K2044">
        <v>115166</v>
      </c>
      <c r="L2044">
        <v>113389</v>
      </c>
      <c r="M2044">
        <v>114474</v>
      </c>
      <c r="N2044">
        <v>10715700</v>
      </c>
      <c r="O2044">
        <v>114474</v>
      </c>
      <c r="P2044">
        <v>-6.00871785075452E-3</v>
      </c>
      <c r="Q2044">
        <v>-6.0268428376199397E-3</v>
      </c>
      <c r="R2044" s="8">
        <v>10.0773839950562</v>
      </c>
      <c r="S2044" s="8">
        <v>-6.6666684331886397E-2</v>
      </c>
      <c r="T2044" s="9">
        <v>-6.8992890413972802E-2</v>
      </c>
      <c r="U2044" s="12">
        <v>3.4749000000000002E-2</v>
      </c>
      <c r="V2044" s="16">
        <v>5.3811999999999998</v>
      </c>
      <c r="W2044" s="17">
        <f t="shared" si="31"/>
        <v>-9.4249318901407086E-3</v>
      </c>
    </row>
    <row r="2045" spans="1:23" x14ac:dyDescent="0.2">
      <c r="A2045" s="15">
        <v>44544</v>
      </c>
      <c r="B2045" s="5">
        <v>-587936700184232</v>
      </c>
      <c r="C2045" s="5">
        <f>[1]!nefin_factors__1[[#This Row],[Rm_minus_Rf]]/B2044-1</f>
        <v>0.24412723872831177</v>
      </c>
      <c r="D2045" s="5">
        <v>-166642408399211</v>
      </c>
      <c r="E2045" s="5">
        <f>[1]!nefin_factors__1[[#This Row],[SMB]]/D2044-1</f>
        <v>-0.67851758670696039</v>
      </c>
      <c r="F2045" s="5">
        <v>172907501989599</v>
      </c>
      <c r="G2045" s="5">
        <f>[1]!nefin_factors__1[[#This Row],[HML]]/F2044-1</f>
        <v>-0.77232835843055325</v>
      </c>
      <c r="H2045" s="5">
        <v>347492492516643</v>
      </c>
      <c r="I2045" s="6">
        <f>[1]!nefin_factors__1[[#This Row],[Risk_Free]]/H2044-1</f>
        <v>8.9895454079357116</v>
      </c>
      <c r="J2045">
        <v>114469</v>
      </c>
      <c r="K2045">
        <v>114529</v>
      </c>
      <c r="L2045">
        <v>111140</v>
      </c>
      <c r="M2045">
        <v>111593</v>
      </c>
      <c r="N2045">
        <v>14057700</v>
      </c>
      <c r="O2045">
        <v>111593</v>
      </c>
      <c r="P2045">
        <v>-2.5167286894840699E-2</v>
      </c>
      <c r="Q2045">
        <v>-2.54893990075882E-2</v>
      </c>
      <c r="R2045" s="8">
        <v>9.0204429626464808</v>
      </c>
      <c r="S2045" s="8">
        <v>-0.104882480704138</v>
      </c>
      <c r="T2045" s="9">
        <v>-0.110800262851399</v>
      </c>
      <c r="U2045" s="12">
        <v>3.4749000000000002E-2</v>
      </c>
      <c r="V2045" s="16">
        <v>5.3954000000000004</v>
      </c>
      <c r="W2045" s="17">
        <f t="shared" si="31"/>
        <v>2.6388166208282104E-3</v>
      </c>
    </row>
    <row r="2046" spans="1:23" x14ac:dyDescent="0.2">
      <c r="A2046" s="14">
        <v>44545</v>
      </c>
      <c r="B2046" s="3">
        <v>615186623534187</v>
      </c>
      <c r="C2046" s="3">
        <f>[1]!nefin_factors__1[[#This Row],[Rm_minus_Rf]]/B2045-1</f>
        <v>-2.0463483965900005</v>
      </c>
      <c r="D2046" s="3">
        <v>-787110885575191</v>
      </c>
      <c r="E2046" s="3">
        <f>[1]!nefin_factors__1[[#This Row],[SMB]]/D2045-1</f>
        <v>3.7233527955835628</v>
      </c>
      <c r="F2046" s="3">
        <v>-143837004432031</v>
      </c>
      <c r="G2046" s="3">
        <f>[1]!nefin_factors__1[[#This Row],[HML]]/F2045-1</f>
        <v>-1.8318725490620027</v>
      </c>
      <c r="H2046" s="3">
        <v>347492492516643</v>
      </c>
      <c r="I2046" s="4">
        <f>[1]!nefin_factors__1[[#This Row],[Risk_Free]]/H2045-1</f>
        <v>0</v>
      </c>
      <c r="J2046">
        <v>111594</v>
      </c>
      <c r="K2046">
        <v>112390</v>
      </c>
      <c r="L2046">
        <v>110969</v>
      </c>
      <c r="M2046">
        <v>111203</v>
      </c>
      <c r="N2046">
        <v>15698500</v>
      </c>
      <c r="O2046">
        <v>111203</v>
      </c>
      <c r="P2046">
        <v>-3.4948428664880499E-3</v>
      </c>
      <c r="Q2046">
        <v>-3.5009640958031702E-3</v>
      </c>
      <c r="R2046" s="8">
        <v>9.0204429626464808</v>
      </c>
      <c r="S2046" s="8">
        <v>0</v>
      </c>
      <c r="T2046" s="9">
        <v>0</v>
      </c>
      <c r="U2046" s="12">
        <v>3.4749000000000002E-2</v>
      </c>
      <c r="V2046" s="16">
        <v>5.3574000000000002</v>
      </c>
      <c r="W2046" s="17">
        <f t="shared" si="31"/>
        <v>-7.0430366608592587E-3</v>
      </c>
    </row>
    <row r="2047" spans="1:23" x14ac:dyDescent="0.2">
      <c r="A2047" s="15">
        <v>44546</v>
      </c>
      <c r="B2047" s="5">
        <v>620646727049587</v>
      </c>
      <c r="C2047" s="5">
        <f>[1]!nefin_factors__1[[#This Row],[Rm_minus_Rf]]/B2046-1</f>
        <v>8.8755237947668597E-3</v>
      </c>
      <c r="D2047" s="5">
        <v>-409630539952525</v>
      </c>
      <c r="E2047" s="5">
        <f>[1]!nefin_factors__1[[#This Row],[SMB]]/D2046-1</f>
        <v>-0.4795770869650946</v>
      </c>
      <c r="F2047" s="5">
        <v>-39056700818158</v>
      </c>
      <c r="G2047" s="5">
        <f>[1]!nefin_factors__1[[#This Row],[HML]]/F2046-1</f>
        <v>-0.72846555743856634</v>
      </c>
      <c r="H2047" s="5">
        <v>347492492516643</v>
      </c>
      <c r="I2047" s="6">
        <f>[1]!nefin_factors__1[[#This Row],[Risk_Free]]/H2046-1</f>
        <v>0</v>
      </c>
      <c r="J2047">
        <v>111210</v>
      </c>
      <c r="K2047">
        <v>114051</v>
      </c>
      <c r="L2047">
        <v>111207</v>
      </c>
      <c r="M2047">
        <v>113900</v>
      </c>
      <c r="N2047">
        <v>14705400</v>
      </c>
      <c r="O2047">
        <v>113900</v>
      </c>
      <c r="P2047">
        <v>2.4252942816291E-2</v>
      </c>
      <c r="Q2047">
        <v>2.3963510583299302E-2</v>
      </c>
      <c r="R2047" s="8">
        <v>10.551184654235801</v>
      </c>
      <c r="S2047" s="8">
        <v>0.16969695367823201</v>
      </c>
      <c r="T2047" s="9">
        <v>0.156744701309529</v>
      </c>
      <c r="U2047" s="12">
        <v>3.4749000000000002E-2</v>
      </c>
      <c r="V2047" s="16">
        <v>5.2809999999999997</v>
      </c>
      <c r="W2047" s="17">
        <f t="shared" si="31"/>
        <v>-1.4260648822189914E-2</v>
      </c>
    </row>
    <row r="2048" spans="1:23" x14ac:dyDescent="0.2">
      <c r="A2048" s="14">
        <v>44547</v>
      </c>
      <c r="B2048" s="3">
        <v>-953725952645502</v>
      </c>
      <c r="C2048" s="3">
        <f>[1]!nefin_factors__1[[#This Row],[Rm_minus_Rf]]/B2047-1</f>
        <v>-2.5366647580327983</v>
      </c>
      <c r="D2048" s="3">
        <v>377915916968568</v>
      </c>
      <c r="E2048" s="3">
        <f>[1]!nefin_factors__1[[#This Row],[SMB]]/D2047-1</f>
        <v>-1.9225774938859963</v>
      </c>
      <c r="F2048" s="3">
        <v>539124430082389</v>
      </c>
      <c r="G2048" s="3">
        <f>[1]!nefin_factors__1[[#This Row],[HML]]/F2047-1</f>
        <v>-14.803634684672152</v>
      </c>
      <c r="H2048" s="3">
        <v>34785616194366</v>
      </c>
      <c r="I2048" s="4">
        <f>[1]!nefin_factors__1[[#This Row],[Risk_Free]]/H2047-1</f>
        <v>-0.89989534466647514</v>
      </c>
      <c r="J2048">
        <v>113900</v>
      </c>
      <c r="K2048">
        <v>113939</v>
      </c>
      <c r="L2048">
        <v>111889</v>
      </c>
      <c r="M2048">
        <v>113663</v>
      </c>
      <c r="N2048">
        <v>12984000</v>
      </c>
      <c r="O2048">
        <v>113663</v>
      </c>
      <c r="P2048">
        <v>-2.0807726075504599E-3</v>
      </c>
      <c r="Q2048">
        <v>-2.0829404225480201E-3</v>
      </c>
      <c r="R2048" s="8">
        <v>10.1411647796631</v>
      </c>
      <c r="S2048" s="8">
        <v>-3.88600795085269E-2</v>
      </c>
      <c r="T2048" s="9">
        <v>-3.9635281763841797E-2</v>
      </c>
      <c r="U2048" s="12">
        <v>3.4749000000000002E-2</v>
      </c>
      <c r="V2048" s="16">
        <v>5.2956000000000003</v>
      </c>
      <c r="W2048" s="17">
        <f t="shared" si="31"/>
        <v>2.7646279113804351E-3</v>
      </c>
    </row>
    <row r="2049" spans="1:23" x14ac:dyDescent="0.2">
      <c r="A2049" s="15">
        <v>44550</v>
      </c>
      <c r="B2049" s="5">
        <v>-195877420210689</v>
      </c>
      <c r="C2049" s="5">
        <f>[1]!nefin_factors__1[[#This Row],[Rm_minus_Rf]]/B2048-1</f>
        <v>-0.79461875849414343</v>
      </c>
      <c r="D2049" s="5">
        <v>-240991017590243</v>
      </c>
      <c r="E2049" s="5">
        <f>[1]!nefin_factors__1[[#This Row],[SMB]]/D2048-1</f>
        <v>-1.6376842222559436</v>
      </c>
      <c r="F2049" s="5">
        <v>-755970792994202</v>
      </c>
      <c r="G2049" s="5">
        <f>[1]!nefin_factors__1[[#This Row],[HML]]/F2048-1</f>
        <v>-2.4022195078020756</v>
      </c>
      <c r="H2049" s="5">
        <v>34785616194366</v>
      </c>
      <c r="I2049" s="6">
        <f>[1]!nefin_factors__1[[#This Row],[Risk_Free]]/H2048-1</f>
        <v>0</v>
      </c>
      <c r="J2049">
        <v>113664</v>
      </c>
      <c r="K2049">
        <v>114627</v>
      </c>
      <c r="L2049">
        <v>111332</v>
      </c>
      <c r="M2049">
        <v>111713</v>
      </c>
      <c r="N2049">
        <v>12475800</v>
      </c>
      <c r="O2049">
        <v>111713</v>
      </c>
      <c r="P2049">
        <v>-1.71559786386071E-2</v>
      </c>
      <c r="Q2049">
        <v>-1.73048475582257E-2</v>
      </c>
      <c r="R2049" s="8">
        <v>9.6126937866210902</v>
      </c>
      <c r="S2049" s="8">
        <v>-5.2111468901657E-2</v>
      </c>
      <c r="T2049" s="9">
        <v>-5.3518366870161101E-2</v>
      </c>
      <c r="U2049" s="12">
        <v>4.0168000000000002E-2</v>
      </c>
      <c r="V2049" s="16">
        <v>5.3025000000000002</v>
      </c>
      <c r="W2049" s="17">
        <f t="shared" si="31"/>
        <v>1.3029685021526127E-3</v>
      </c>
    </row>
    <row r="2050" spans="1:23" x14ac:dyDescent="0.2">
      <c r="A2050" s="14">
        <v>44551</v>
      </c>
      <c r="B2050" s="3">
        <v>334062113718825</v>
      </c>
      <c r="C2050" s="3">
        <f>[1]!nefin_factors__1[[#This Row],[Rm_minus_Rf]]/B2049-1</f>
        <v>-2.7054651493750645</v>
      </c>
      <c r="D2050" s="3">
        <v>-363367262702033</v>
      </c>
      <c r="E2050" s="3">
        <f>[1]!nefin_factors__1[[#This Row],[SMB]]/D2049-1</f>
        <v>0.50780417600404637</v>
      </c>
      <c r="F2050" s="3">
        <v>850023262079016</v>
      </c>
      <c r="G2050" s="3">
        <f>[1]!nefin_factors__1[[#This Row],[HML]]/F2049-1</f>
        <v>-2.1244128344063355</v>
      </c>
      <c r="H2050" s="3">
        <v>347492492516643</v>
      </c>
      <c r="I2050" s="4">
        <f>[1]!nefin_factors__1[[#This Row],[Risk_Free]]/H2049-1</f>
        <v>8.9895454079357116</v>
      </c>
      <c r="J2050">
        <v>111716</v>
      </c>
      <c r="K2050">
        <v>112299</v>
      </c>
      <c r="L2050">
        <v>109717</v>
      </c>
      <c r="M2050">
        <v>109928</v>
      </c>
      <c r="N2050">
        <v>10480900</v>
      </c>
      <c r="O2050">
        <v>109928</v>
      </c>
      <c r="P2050">
        <v>-1.5978444764709599E-2</v>
      </c>
      <c r="Q2050">
        <v>-1.6107476442889401E-2</v>
      </c>
      <c r="R2050" s="8">
        <v>9.1571159362793004</v>
      </c>
      <c r="S2050" s="8">
        <v>-4.73933592866412E-2</v>
      </c>
      <c r="T2050" s="9">
        <v>-4.8553219494012201E-2</v>
      </c>
      <c r="U2050" s="12">
        <v>4.0168000000000002E-2</v>
      </c>
      <c r="V2050" s="16">
        <v>5.3284000000000002</v>
      </c>
      <c r="W2050" s="17">
        <f t="shared" si="31"/>
        <v>4.8844884488448148E-3</v>
      </c>
    </row>
    <row r="2051" spans="1:23" x14ac:dyDescent="0.2">
      <c r="A2051" s="15">
        <v>44552</v>
      </c>
      <c r="B2051" s="5">
        <v>-288549059329279</v>
      </c>
      <c r="C2051" s="5">
        <f>[1]!nefin_factors__1[[#This Row],[Rm_minus_Rf]]/B2050-1</f>
        <v>-1.8637587067779449</v>
      </c>
      <c r="D2051" s="5">
        <v>-270055700421018</v>
      </c>
      <c r="E2051" s="5">
        <f>[1]!nefin_factors__1[[#This Row],[SMB]]/D2050-1</f>
        <v>-0.25679683300895484</v>
      </c>
      <c r="F2051" s="5">
        <v>-22087799228333</v>
      </c>
      <c r="G2051" s="5">
        <f>[1]!nefin_factors__1[[#This Row],[HML]]/F2050-1</f>
        <v>-1.0259849350173194</v>
      </c>
      <c r="H2051" s="5">
        <v>34785616194366</v>
      </c>
      <c r="I2051" s="6">
        <f>[1]!nefin_factors__1[[#This Row],[Risk_Free]]/H2050-1</f>
        <v>-0.89989534466647514</v>
      </c>
      <c r="J2051">
        <v>109925</v>
      </c>
      <c r="K2051">
        <v>109925</v>
      </c>
      <c r="L2051">
        <v>107781</v>
      </c>
      <c r="M2051">
        <v>108959</v>
      </c>
      <c r="N2051">
        <v>13653800</v>
      </c>
      <c r="O2051">
        <v>108959</v>
      </c>
      <c r="P2051">
        <v>-8.8148606360526297E-3</v>
      </c>
      <c r="Q2051">
        <v>-8.8539413502686393E-3</v>
      </c>
      <c r="R2051" s="8">
        <v>9.1935634613037092</v>
      </c>
      <c r="S2051" s="8">
        <v>3.9802406432372104E-3</v>
      </c>
      <c r="T2051" s="9">
        <v>3.9723404416453396E-3</v>
      </c>
      <c r="U2051" s="12">
        <v>4.0168000000000002E-2</v>
      </c>
      <c r="V2051" s="16">
        <v>5.2912999999999997</v>
      </c>
      <c r="W2051" s="17">
        <f t="shared" si="31"/>
        <v>-6.9626904887021279E-3</v>
      </c>
    </row>
    <row r="2052" spans="1:23" x14ac:dyDescent="0.2">
      <c r="A2052" s="14">
        <v>44553</v>
      </c>
      <c r="B2052" s="3">
        <v>-22175785862607</v>
      </c>
      <c r="C2052" s="3">
        <f>[1]!nefin_factors__1[[#This Row],[Rm_minus_Rf]]/B2051-1</f>
        <v>-0.92314725990043511</v>
      </c>
      <c r="D2052" s="3">
        <v>738933308379188</v>
      </c>
      <c r="E2052" s="3">
        <f>[1]!nefin_factors__1[[#This Row],[SMB]]/D2051-1</f>
        <v>-3.7362255535698297</v>
      </c>
      <c r="F2052" s="3">
        <v>17886753395414</v>
      </c>
      <c r="G2052" s="3">
        <f>[1]!nefin_factors__1[[#This Row],[HML]]/F2051-1</f>
        <v>-1.8098024257876206</v>
      </c>
      <c r="H2052" s="3">
        <v>34785616194366</v>
      </c>
      <c r="I2052" s="4">
        <f>[1]!nefin_factors__1[[#This Row],[Risk_Free]]/H2051-1</f>
        <v>0</v>
      </c>
      <c r="J2052">
        <v>108958</v>
      </c>
      <c r="K2052">
        <v>111183</v>
      </c>
      <c r="L2052">
        <v>108958</v>
      </c>
      <c r="M2052">
        <v>111112</v>
      </c>
      <c r="N2052">
        <v>13205200</v>
      </c>
      <c r="O2052">
        <v>111112</v>
      </c>
      <c r="P2052">
        <v>1.97597261355189E-2</v>
      </c>
      <c r="Q2052">
        <v>1.9567036934713299E-2</v>
      </c>
      <c r="R2052" s="8">
        <v>10.7698621749878</v>
      </c>
      <c r="S2052" s="8">
        <v>0.171456771938196</v>
      </c>
      <c r="T2052" s="9">
        <v>0.158248078530907</v>
      </c>
      <c r="U2052" s="12">
        <v>4.0168000000000002E-2</v>
      </c>
      <c r="V2052" s="16">
        <v>5.2698999999999998</v>
      </c>
      <c r="W2052" s="17">
        <f t="shared" ref="W2052:W2115" si="32">V2052/V2051-1</f>
        <v>-4.0443747283276377E-3</v>
      </c>
    </row>
    <row r="2053" spans="1:23" x14ac:dyDescent="0.2">
      <c r="A2053" s="15">
        <v>44557</v>
      </c>
      <c r="B2053" s="5">
        <v>583025734924376</v>
      </c>
      <c r="C2053" s="5">
        <f>[1]!nefin_factors__1[[#This Row],[Rm_minus_Rf]]/B2052-1</f>
        <v>-27.291096898959463</v>
      </c>
      <c r="D2053" s="5">
        <v>680411841234096</v>
      </c>
      <c r="E2053" s="5">
        <f>[1]!nefin_factors__1[[#This Row],[SMB]]/D2052-1</f>
        <v>-7.9197224541759814E-2</v>
      </c>
      <c r="F2053" s="5">
        <v>-24287677256815</v>
      </c>
      <c r="G2053" s="5">
        <f>[1]!nefin_factors__1[[#This Row],[HML]]/F2052-1</f>
        <v>-2.3578583390679571</v>
      </c>
      <c r="H2053" s="5">
        <v>34785616194366</v>
      </c>
      <c r="I2053" s="6">
        <f>[1]!nefin_factors__1[[#This Row],[Risk_Free]]/H2052-1</f>
        <v>0</v>
      </c>
      <c r="J2053">
        <v>111113</v>
      </c>
      <c r="K2053">
        <v>113088</v>
      </c>
      <c r="L2053">
        <v>111070</v>
      </c>
      <c r="M2053">
        <v>113076</v>
      </c>
      <c r="N2053">
        <v>14407500</v>
      </c>
      <c r="O2053">
        <v>113076</v>
      </c>
      <c r="P2053">
        <v>1.7675858593131099E-2</v>
      </c>
      <c r="Q2053">
        <v>1.75214573987015E-2</v>
      </c>
      <c r="R2053" s="8">
        <v>11.161659240722701</v>
      </c>
      <c r="S2053" s="8">
        <v>3.6379023182374799E-2</v>
      </c>
      <c r="T2053" s="9">
        <v>3.5732929422226299E-2</v>
      </c>
      <c r="U2053" s="12">
        <v>4.0168000000000002E-2</v>
      </c>
      <c r="V2053" s="16">
        <v>5.2735000000000003</v>
      </c>
      <c r="W2053" s="17">
        <f t="shared" si="32"/>
        <v>6.8312491698141464E-4</v>
      </c>
    </row>
    <row r="2054" spans="1:23" x14ac:dyDescent="0.2">
      <c r="A2054" s="14">
        <v>44558</v>
      </c>
      <c r="B2054" s="3">
        <v>-430347563012208</v>
      </c>
      <c r="C2054" s="3">
        <f>[1]!nefin_factors__1[[#This Row],[Rm_minus_Rf]]/B2053-1</f>
        <v>-1.7381279028240977</v>
      </c>
      <c r="D2054" s="3">
        <v>999383329616226</v>
      </c>
      <c r="E2054" s="3">
        <f>[1]!nefin_factors__1[[#This Row],[SMB]]/D2053-1</f>
        <v>0.46879179498639512</v>
      </c>
      <c r="F2054" s="3">
        <v>5758319733352</v>
      </c>
      <c r="G2054" s="3">
        <f>[1]!nefin_factors__1[[#This Row],[HML]]/F2053-1</f>
        <v>-1.2370881197268975</v>
      </c>
      <c r="H2054" s="3">
        <v>347492492516643</v>
      </c>
      <c r="I2054" s="4">
        <f>[1]!nefin_factors__1[[#This Row],[Risk_Free]]/H2053-1</f>
        <v>8.9895454079357116</v>
      </c>
      <c r="J2054">
        <v>113076</v>
      </c>
      <c r="K2054">
        <v>115311</v>
      </c>
      <c r="L2054">
        <v>112475</v>
      </c>
      <c r="M2054">
        <v>115311</v>
      </c>
      <c r="N2054">
        <v>19552500</v>
      </c>
      <c r="O2054">
        <v>115311</v>
      </c>
      <c r="P2054">
        <v>1.9765467473203999E-2</v>
      </c>
      <c r="Q2054">
        <v>1.95726670075392E-2</v>
      </c>
      <c r="R2054" s="8">
        <v>12.2550458908081</v>
      </c>
      <c r="S2054" s="8">
        <v>9.7959149845418397E-2</v>
      </c>
      <c r="T2054" s="9">
        <v>9.3453138247176798E-2</v>
      </c>
      <c r="U2054" s="12">
        <v>4.0168000000000002E-2</v>
      </c>
      <c r="V2054" s="16">
        <v>5.2100999999999997</v>
      </c>
      <c r="W2054" s="17">
        <f t="shared" si="32"/>
        <v>-1.2022376031099014E-2</v>
      </c>
    </row>
    <row r="2055" spans="1:23" x14ac:dyDescent="0.2">
      <c r="A2055" s="15">
        <v>44559</v>
      </c>
      <c r="B2055" s="5">
        <v>-719960495292623</v>
      </c>
      <c r="C2055" s="5">
        <f>[1]!nefin_factors__1[[#This Row],[Rm_minus_Rf]]/B2054-1</f>
        <v>0.672974491253711</v>
      </c>
      <c r="D2055" s="5">
        <v>-236698334878049</v>
      </c>
      <c r="E2055" s="5">
        <f>[1]!nefin_factors__1[[#This Row],[SMB]]/D2054-1</f>
        <v>-1.2368443897988008</v>
      </c>
      <c r="F2055" s="5">
        <v>114140138576613</v>
      </c>
      <c r="G2055" s="5">
        <f>[1]!nefin_factors__1[[#This Row],[HML]]/F2054-1</f>
        <v>18.821778550349862</v>
      </c>
      <c r="H2055" s="5">
        <v>34785616194366</v>
      </c>
      <c r="I2055" s="6">
        <f>[1]!nefin_factors__1[[#This Row],[Risk_Free]]/H2054-1</f>
        <v>-0.89989534466647514</v>
      </c>
      <c r="J2055">
        <v>115307</v>
      </c>
      <c r="K2055">
        <v>116360</v>
      </c>
      <c r="L2055">
        <v>115208</v>
      </c>
      <c r="M2055">
        <v>116155</v>
      </c>
      <c r="N2055">
        <v>10378700</v>
      </c>
      <c r="O2055">
        <v>116155</v>
      </c>
      <c r="P2055">
        <v>7.3193364032919598E-3</v>
      </c>
      <c r="Q2055">
        <v>7.2926800527695302E-3</v>
      </c>
      <c r="R2055" s="8">
        <v>12.391719818115201</v>
      </c>
      <c r="S2055" s="8">
        <v>1.11524614860594E-2</v>
      </c>
      <c r="T2055" s="9">
        <v>1.1090731325591E-2</v>
      </c>
      <c r="U2055" s="12">
        <v>4.0168000000000002E-2</v>
      </c>
      <c r="V2055" s="16">
        <v>5.1986999999999997</v>
      </c>
      <c r="W2055" s="17">
        <f t="shared" si="32"/>
        <v>-2.1880578107905668E-3</v>
      </c>
    </row>
    <row r="2056" spans="1:23" x14ac:dyDescent="0.2">
      <c r="A2056" s="14">
        <v>44560</v>
      </c>
      <c r="B2056" s="3">
        <v>554109981392846</v>
      </c>
      <c r="C2056" s="3">
        <f>[1]!nefin_factors__1[[#This Row],[Rm_minus_Rf]]/B2055-1</f>
        <v>-1.7696394246848666</v>
      </c>
      <c r="D2056" s="3">
        <v>162855895801786</v>
      </c>
      <c r="E2056" s="3">
        <f>[1]!nefin_factors__1[[#This Row],[SMB]]/D2055-1</f>
        <v>-1.688031438352501</v>
      </c>
      <c r="F2056" s="3">
        <v>-10056814633631</v>
      </c>
      <c r="G2056" s="3">
        <f>[1]!nefin_factors__1[[#This Row],[HML]]/F2055-1</f>
        <v>-1.0881093606424936</v>
      </c>
      <c r="H2056" s="3">
        <v>347492492516643</v>
      </c>
      <c r="I2056" s="4">
        <f>[1]!nefin_factors__1[[#This Row],[Risk_Free]]/H2055-1</f>
        <v>8.9895454079357116</v>
      </c>
      <c r="J2056">
        <v>116157</v>
      </c>
      <c r="K2056">
        <v>117541</v>
      </c>
      <c r="L2056">
        <v>116157</v>
      </c>
      <c r="M2056">
        <v>117272</v>
      </c>
      <c r="N2056">
        <v>11382700</v>
      </c>
      <c r="O2056">
        <v>117272</v>
      </c>
      <c r="P2056">
        <v>9.6164607636348692E-3</v>
      </c>
      <c r="Q2056">
        <v>9.5705169148019402E-3</v>
      </c>
      <c r="R2056" s="8">
        <v>12.692400932311999</v>
      </c>
      <c r="S2056" s="8">
        <v>2.4264679851558401E-2</v>
      </c>
      <c r="T2056" s="9">
        <v>2.3974969635579501E-2</v>
      </c>
      <c r="U2056" s="12">
        <v>4.0168000000000002E-2</v>
      </c>
      <c r="V2056" s="16">
        <v>5.2106000000000003</v>
      </c>
      <c r="W2056" s="17">
        <f t="shared" si="32"/>
        <v>2.289033796910811E-3</v>
      </c>
    </row>
    <row r="2057" spans="1:23" x14ac:dyDescent="0.2">
      <c r="A2057" s="15">
        <v>44564</v>
      </c>
      <c r="B2057" s="5">
        <v>-110520298261645</v>
      </c>
      <c r="C2057" s="5">
        <f>[1]!nefin_factors__1[[#This Row],[Rm_minus_Rf]]/B2056-1</f>
        <v>-1.1994555268321176</v>
      </c>
      <c r="D2057" s="5">
        <v>-190872617484266</v>
      </c>
      <c r="E2057" s="5">
        <f>[1]!nefin_factors__1[[#This Row],[SMB]]/D2056-1</f>
        <v>-2.1720338188835333</v>
      </c>
      <c r="F2057" s="5">
        <v>50497629488504</v>
      </c>
      <c r="G2057" s="5">
        <f>[1]!nefin_factors__1[[#This Row],[HML]]/F2056-1</f>
        <v>-6.0212349862385697</v>
      </c>
      <c r="H2057" s="5">
        <v>350037481905874</v>
      </c>
      <c r="I2057" s="6">
        <f>[1]!nefin_factors__1[[#This Row],[Risk_Free]]/H2056-1</f>
        <v>7.3238686994341329E-3</v>
      </c>
      <c r="J2057">
        <v>117270</v>
      </c>
      <c r="K2057">
        <v>118270</v>
      </c>
      <c r="L2057">
        <v>117036</v>
      </c>
      <c r="M2057">
        <v>117457</v>
      </c>
      <c r="N2057">
        <v>11083700</v>
      </c>
      <c r="O2057">
        <v>117457</v>
      </c>
      <c r="P2057">
        <v>1.5775291629716E-3</v>
      </c>
      <c r="Q2057">
        <v>1.5762861709073699E-3</v>
      </c>
      <c r="R2057" s="8">
        <v>13.2664289474487</v>
      </c>
      <c r="S2057" s="8">
        <v>4.5226117438141401E-2</v>
      </c>
      <c r="T2057" s="9">
        <v>4.42332423335089E-2</v>
      </c>
      <c r="U2057" s="12">
        <v>4.0168000000000002E-2</v>
      </c>
      <c r="V2057" s="16">
        <v>5.1881000000000004</v>
      </c>
      <c r="W2057" s="17">
        <f t="shared" si="32"/>
        <v>-4.3181207538479649E-3</v>
      </c>
    </row>
    <row r="2058" spans="1:23" x14ac:dyDescent="0.2">
      <c r="A2058" s="14">
        <v>44565</v>
      </c>
      <c r="B2058" s="3">
        <v>-539229889807256</v>
      </c>
      <c r="C2058" s="3">
        <f>[1]!nefin_factors__1[[#This Row],[Rm_minus_Rf]]/B2057-1</f>
        <v>3.8790122564697285</v>
      </c>
      <c r="D2058" s="3">
        <v>-250299312564101</v>
      </c>
      <c r="E2058" s="3">
        <f>[1]!nefin_factors__1[[#This Row],[SMB]]/D2057-1</f>
        <v>0.31134217083146387</v>
      </c>
      <c r="F2058" s="3">
        <v>116320561212977</v>
      </c>
      <c r="G2058" s="3">
        <f>[1]!nefin_factors__1[[#This Row],[HML]]/F2057-1</f>
        <v>1.3034855772676988</v>
      </c>
      <c r="H2058" s="3">
        <v>352217608641681</v>
      </c>
      <c r="I2058" s="4">
        <f>[1]!nefin_factors__1[[#This Row],[Risk_Free]]/H2057-1</f>
        <v>6.2282665385908764E-3</v>
      </c>
      <c r="J2058">
        <v>117460</v>
      </c>
      <c r="K2058">
        <v>119256</v>
      </c>
      <c r="L2058">
        <v>117151</v>
      </c>
      <c r="M2058">
        <v>119053</v>
      </c>
      <c r="N2058">
        <v>13474400</v>
      </c>
      <c r="O2058">
        <v>119053</v>
      </c>
      <c r="P2058">
        <v>1.3587951335382299E-2</v>
      </c>
      <c r="Q2058">
        <v>1.3496462952742601E-2</v>
      </c>
      <c r="R2058" s="8">
        <v>14.0500230789185</v>
      </c>
      <c r="S2058" s="8">
        <v>5.9065942656740401E-2</v>
      </c>
      <c r="T2058" s="9">
        <v>5.7387333478325697E-2</v>
      </c>
      <c r="U2058" s="12">
        <v>4.0168000000000002E-2</v>
      </c>
      <c r="V2058" s="16">
        <v>5.1630000000000003</v>
      </c>
      <c r="W2058" s="17">
        <f t="shared" si="32"/>
        <v>-4.8379946415836317E-3</v>
      </c>
    </row>
    <row r="2059" spans="1:23" x14ac:dyDescent="0.2">
      <c r="A2059" s="15">
        <v>44566</v>
      </c>
      <c r="B2059" s="5">
        <v>-280889694118911</v>
      </c>
      <c r="C2059" s="5">
        <f>[1]!nefin_factors__1[[#This Row],[Rm_minus_Rf]]/B2058-1</f>
        <v>-0.47909101585723846</v>
      </c>
      <c r="D2059" s="5">
        <v>-241874796769451</v>
      </c>
      <c r="E2059" s="5">
        <f>[1]!nefin_factors__1[[#This Row],[SMB]]/D2058-1</f>
        <v>-3.3657766409136647E-2</v>
      </c>
      <c r="F2059" s="5">
        <v>881837855158071</v>
      </c>
      <c r="G2059" s="5">
        <f>[1]!nefin_factors__1[[#This Row],[HML]]/F2058-1</f>
        <v>6.5811004173498695</v>
      </c>
      <c r="H2059" s="5">
        <v>354396543458257</v>
      </c>
      <c r="I2059" s="6">
        <f>[1]!nefin_factors__1[[#This Row],[Risk_Free]]/H2058-1</f>
        <v>6.1863312995025233E-3</v>
      </c>
      <c r="J2059">
        <v>119062</v>
      </c>
      <c r="K2059">
        <v>119729</v>
      </c>
      <c r="L2059">
        <v>118548</v>
      </c>
      <c r="M2059">
        <v>119081</v>
      </c>
      <c r="N2059">
        <v>13814500</v>
      </c>
      <c r="O2059">
        <v>119081</v>
      </c>
      <c r="P2059">
        <v>2.3518936944055799E-4</v>
      </c>
      <c r="Q2059">
        <v>2.3516171675646899E-4</v>
      </c>
      <c r="R2059" s="8">
        <v>14.5693817138672</v>
      </c>
      <c r="S2059" s="8">
        <v>3.6964966678809899E-2</v>
      </c>
      <c r="T2059" s="9">
        <v>3.6298145339025097E-2</v>
      </c>
      <c r="U2059" s="12">
        <v>4.0168000000000002E-2</v>
      </c>
      <c r="V2059" s="16">
        <v>5.1565000000000003</v>
      </c>
      <c r="W2059" s="17">
        <f t="shared" si="32"/>
        <v>-1.2589579701723919E-3</v>
      </c>
    </row>
    <row r="2060" spans="1:23" x14ac:dyDescent="0.2">
      <c r="A2060" s="14">
        <v>44567</v>
      </c>
      <c r="B2060" s="3">
        <v>179961910709077</v>
      </c>
      <c r="C2060" s="3">
        <f>[1]!nefin_factors__1[[#This Row],[Rm_minus_Rf]]/B2059-1</f>
        <v>-1.6406853454470012</v>
      </c>
      <c r="D2060" s="3">
        <v>-127780194267506</v>
      </c>
      <c r="E2060" s="3">
        <f>[1]!nefin_factors__1[[#This Row],[SMB]]/D2059-1</f>
        <v>-0.47170934725661851</v>
      </c>
      <c r="F2060" s="3">
        <v>-114136695866122</v>
      </c>
      <c r="G2060" s="3">
        <f>[1]!nefin_factors__1[[#This Row],[HML]]/F2059-1</f>
        <v>-1.12943047885562</v>
      </c>
      <c r="H2060" s="3">
        <v>353670364207526</v>
      </c>
      <c r="I2060" s="4">
        <f>[1]!nefin_factors__1[[#This Row],[Risk_Free]]/H2059-1</f>
        <v>-2.0490585027856945E-3</v>
      </c>
      <c r="J2060">
        <v>119082</v>
      </c>
      <c r="K2060">
        <v>119444</v>
      </c>
      <c r="L2060">
        <v>118061</v>
      </c>
      <c r="M2060">
        <v>118738</v>
      </c>
      <c r="N2060">
        <v>9167700</v>
      </c>
      <c r="O2060">
        <v>118738</v>
      </c>
      <c r="P2060">
        <v>-2.8803923379884201E-3</v>
      </c>
      <c r="Q2060">
        <v>-2.8845486511258401E-3</v>
      </c>
      <c r="R2060" s="8">
        <v>14.6149396896362</v>
      </c>
      <c r="S2060" s="8">
        <v>3.1269669958389201E-3</v>
      </c>
      <c r="T2060" s="9">
        <v>3.12208820244716E-3</v>
      </c>
      <c r="U2060" s="12">
        <v>4.0168000000000002E-2</v>
      </c>
      <c r="V2060" s="16">
        <v>5.1338999999999997</v>
      </c>
      <c r="W2060" s="17">
        <f t="shared" si="32"/>
        <v>-4.3828178027732756E-3</v>
      </c>
    </row>
    <row r="2061" spans="1:23" x14ac:dyDescent="0.2">
      <c r="A2061" s="15">
        <v>44568</v>
      </c>
      <c r="B2061" s="5">
        <v>704058303868928</v>
      </c>
      <c r="C2061" s="5">
        <f>[1]!nefin_factors__1[[#This Row],[Rm_minus_Rf]]/B2060-1</f>
        <v>2.912262884378324</v>
      </c>
      <c r="D2061" s="5">
        <v>876176565025025</v>
      </c>
      <c r="E2061" s="5">
        <f>[1]!nefin_factors__1[[#This Row],[SMB]]/D2060-1</f>
        <v>-7.8569043117179955</v>
      </c>
      <c r="F2061" s="5">
        <v>-144864934938677</v>
      </c>
      <c r="G2061" s="5">
        <f>[1]!nefin_factors__1[[#This Row],[HML]]/F2060-1</f>
        <v>0.26922313493811023</v>
      </c>
      <c r="H2061" s="5">
        <v>355848505136702</v>
      </c>
      <c r="I2061" s="6">
        <f>[1]!nefin_factors__1[[#This Row],[Risk_Free]]/H2060-1</f>
        <v>6.1586752796112254E-3</v>
      </c>
      <c r="J2061">
        <v>118740</v>
      </c>
      <c r="K2061">
        <v>120900</v>
      </c>
      <c r="L2061">
        <v>118740</v>
      </c>
      <c r="M2061">
        <v>120014</v>
      </c>
      <c r="N2061">
        <v>12931900</v>
      </c>
      <c r="O2061">
        <v>120014</v>
      </c>
      <c r="P2061">
        <v>1.0746349104751699E-2</v>
      </c>
      <c r="Q2061">
        <v>1.0689017466676E-2</v>
      </c>
      <c r="R2061" s="8">
        <v>15.161634445190399</v>
      </c>
      <c r="S2061" s="8">
        <v>3.74065693847421E-2</v>
      </c>
      <c r="T2061" s="9">
        <v>3.6723915462579103E-2</v>
      </c>
      <c r="U2061" s="12">
        <v>4.0168000000000002E-2</v>
      </c>
      <c r="V2061" s="16">
        <v>5.0997000000000003</v>
      </c>
      <c r="W2061" s="17">
        <f t="shared" si="32"/>
        <v>-6.6616022906560435E-3</v>
      </c>
    </row>
    <row r="2062" spans="1:23" x14ac:dyDescent="0.2">
      <c r="A2062" s="14">
        <v>44571</v>
      </c>
      <c r="B2062" s="3">
        <v>-879690715299196</v>
      </c>
      <c r="C2062" s="3">
        <f>[1]!nefin_factors__1[[#This Row],[Rm_minus_Rf]]/B2061-1</f>
        <v>-2.2494571976001647</v>
      </c>
      <c r="D2062" s="3">
        <v>-952603211413352</v>
      </c>
      <c r="E2062" s="3">
        <f>[1]!nefin_factors__1[[#This Row],[SMB]]/D2061-1</f>
        <v>-2.0872274487119435</v>
      </c>
      <c r="F2062" s="3">
        <v>413780354168972</v>
      </c>
      <c r="G2062" s="3">
        <f>[1]!nefin_factors__1[[#This Row],[HML]]/F2061-1</f>
        <v>-3.8563182273483227</v>
      </c>
      <c r="H2062" s="3">
        <v>361288655172043</v>
      </c>
      <c r="I2062" s="4">
        <f>[1]!nefin_factors__1[[#This Row],[Risk_Free]]/H2061-1</f>
        <v>1.5287826018128392E-2</v>
      </c>
      <c r="J2062">
        <v>120013</v>
      </c>
      <c r="K2062">
        <v>120531</v>
      </c>
      <c r="L2062">
        <v>119775</v>
      </c>
      <c r="M2062">
        <v>120260</v>
      </c>
      <c r="N2062">
        <v>10893300</v>
      </c>
      <c r="O2062">
        <v>120260</v>
      </c>
      <c r="P2062">
        <v>2.04976086123287E-3</v>
      </c>
      <c r="Q2062">
        <v>2.0476629677362601E-3</v>
      </c>
      <c r="R2062" s="8">
        <v>14.8336181640625</v>
      </c>
      <c r="S2062" s="8">
        <v>-2.1634625364020901E-2</v>
      </c>
      <c r="T2062" s="9">
        <v>-2.18720850187487E-2</v>
      </c>
      <c r="U2062" s="12">
        <v>4.0168000000000002E-2</v>
      </c>
      <c r="V2062" s="16">
        <v>5.0610999999999997</v>
      </c>
      <c r="W2062" s="17">
        <f t="shared" si="32"/>
        <v>-7.5690726905505157E-3</v>
      </c>
    </row>
    <row r="2063" spans="1:23" x14ac:dyDescent="0.2">
      <c r="A2063" s="15">
        <v>44572</v>
      </c>
      <c r="B2063" s="5">
        <v>158551385692576</v>
      </c>
      <c r="C2063" s="5">
        <f>[1]!nefin_factors__1[[#This Row],[Rm_minus_Rf]]/B2062-1</f>
        <v>-1.1802353747005847</v>
      </c>
      <c r="D2063" s="5">
        <v>953054653606845</v>
      </c>
      <c r="E2063" s="5">
        <f>[1]!nefin_factors__1[[#This Row],[SMB]]/D2062-1</f>
        <v>-2.0004739037073191</v>
      </c>
      <c r="F2063" s="5">
        <v>-949652837739153</v>
      </c>
      <c r="G2063" s="5">
        <f>[1]!nefin_factors__1[[#This Row],[HML]]/F2062-1</f>
        <v>-3.2950650705648323</v>
      </c>
      <c r="H2063" s="5">
        <v>363824852839478</v>
      </c>
      <c r="I2063" s="6">
        <f>[1]!nefin_factors__1[[#This Row],[Risk_Free]]/H2062-1</f>
        <v>7.0198652272301931E-3</v>
      </c>
      <c r="J2063">
        <v>120261</v>
      </c>
      <c r="K2063">
        <v>120880</v>
      </c>
      <c r="L2063">
        <v>119999</v>
      </c>
      <c r="M2063">
        <v>119999</v>
      </c>
      <c r="N2063">
        <v>11202100</v>
      </c>
      <c r="O2063">
        <v>119999</v>
      </c>
      <c r="P2063">
        <v>-2.1702976883418699E-3</v>
      </c>
      <c r="Q2063">
        <v>-2.1726561974323199E-3</v>
      </c>
      <c r="R2063" s="8">
        <v>15.207191467285201</v>
      </c>
      <c r="S2063" s="8">
        <v>2.5184233481735201E-2</v>
      </c>
      <c r="T2063" s="9">
        <v>2.4872336421256899E-2</v>
      </c>
      <c r="U2063" s="12">
        <v>4.0168000000000002E-2</v>
      </c>
      <c r="V2063" s="16">
        <v>5.0143000000000004</v>
      </c>
      <c r="W2063" s="17">
        <f t="shared" si="32"/>
        <v>-9.2470016399595067E-3</v>
      </c>
    </row>
    <row r="2064" spans="1:23" x14ac:dyDescent="0.2">
      <c r="A2064" s="14">
        <v>44573</v>
      </c>
      <c r="B2064" s="3">
        <v>186307629595309</v>
      </c>
      <c r="C2064" s="3">
        <f>[1]!nefin_factors__1[[#This Row],[Rm_minus_Rf]]/B2063-1</f>
        <v>0.17506150313029178</v>
      </c>
      <c r="D2064" s="3">
        <v>906024994275711</v>
      </c>
      <c r="E2064" s="3">
        <f>[1]!nefin_factors__1[[#This Row],[SMB]]/D2063-1</f>
        <v>-4.9346235447410902E-2</v>
      </c>
      <c r="F2064" s="3">
        <v>-789768480484199</v>
      </c>
      <c r="G2064" s="3">
        <f>[1]!nefin_factors__1[[#This Row],[HML]]/F2063-1</f>
        <v>-0.16836084819752883</v>
      </c>
      <c r="H2064" s="3">
        <v>365635434996348</v>
      </c>
      <c r="I2064" s="4">
        <f>[1]!nefin_factors__1[[#This Row],[Risk_Free]]/H2063-1</f>
        <v>4.9765213748849124E-3</v>
      </c>
      <c r="J2064">
        <v>120001</v>
      </c>
      <c r="K2064">
        <v>121579</v>
      </c>
      <c r="L2064">
        <v>120001</v>
      </c>
      <c r="M2064">
        <v>121570</v>
      </c>
      <c r="N2064">
        <v>13780900</v>
      </c>
      <c r="O2064">
        <v>121570</v>
      </c>
      <c r="P2064">
        <v>1.30917757647981E-2</v>
      </c>
      <c r="Q2064">
        <v>1.30068191537124E-2</v>
      </c>
      <c r="R2064" s="8">
        <v>15.3529758453369</v>
      </c>
      <c r="S2064" s="8">
        <v>9.5865418914058403E-3</v>
      </c>
      <c r="T2064" s="9">
        <v>9.5408825767072693E-3</v>
      </c>
      <c r="U2064" s="12">
        <v>4.0168000000000002E-2</v>
      </c>
      <c r="V2064" s="16">
        <v>5.1173999999999999</v>
      </c>
      <c r="W2064" s="17">
        <f t="shared" si="32"/>
        <v>2.0561194982350317E-2</v>
      </c>
    </row>
    <row r="2065" spans="1:23" x14ac:dyDescent="0.2">
      <c r="A2065" s="15">
        <v>44574</v>
      </c>
      <c r="B2065" s="5">
        <v>-882259787581704</v>
      </c>
      <c r="C2065" s="5">
        <f>[1]!nefin_factors__1[[#This Row],[Rm_minus_Rf]]/B2064-1</f>
        <v>-5.7355000409705079</v>
      </c>
      <c r="D2065" s="5">
        <v>-124444326272748</v>
      </c>
      <c r="E2065" s="5">
        <f>[1]!nefin_factors__1[[#This Row],[SMB]]/D2064-1</f>
        <v>-1.1373519793151297</v>
      </c>
      <c r="F2065" s="5">
        <v>136209522090749</v>
      </c>
      <c r="G2065" s="5">
        <f>[1]!nefin_factors__1[[#This Row],[HML]]/F2064-1</f>
        <v>-1.1724676604050346</v>
      </c>
      <c r="H2065" s="5">
        <v>364911300834159</v>
      </c>
      <c r="I2065" s="6">
        <f>[1]!nefin_factors__1[[#This Row],[Risk_Free]]/H2064-1</f>
        <v>-1.9804813562346313E-3</v>
      </c>
      <c r="J2065">
        <v>121569</v>
      </c>
      <c r="K2065">
        <v>121570</v>
      </c>
      <c r="L2065">
        <v>120754</v>
      </c>
      <c r="M2065">
        <v>121280</v>
      </c>
      <c r="N2065">
        <v>8812500</v>
      </c>
      <c r="O2065">
        <v>121280</v>
      </c>
      <c r="P2065">
        <v>-2.3854569383894302E-3</v>
      </c>
      <c r="Q2065">
        <v>-2.3883066736410802E-3</v>
      </c>
      <c r="R2065" s="8">
        <v>15.5352077484131</v>
      </c>
      <c r="S2065" s="8">
        <v>1.18694841255496E-2</v>
      </c>
      <c r="T2065" s="9">
        <v>1.1799594292767401E-2</v>
      </c>
      <c r="U2065" s="12">
        <v>4.0168000000000002E-2</v>
      </c>
      <c r="V2065" s="16">
        <v>5.1394000000000002</v>
      </c>
      <c r="W2065" s="17">
        <f t="shared" si="32"/>
        <v>4.2990581154493945E-3</v>
      </c>
    </row>
    <row r="2066" spans="1:23" x14ac:dyDescent="0.2">
      <c r="A2066" s="14">
        <v>44575</v>
      </c>
      <c r="B2066" s="3">
        <v>11910915581856</v>
      </c>
      <c r="C2066" s="3">
        <f>[1]!nefin_factors__1[[#This Row],[Rm_minus_Rf]]/B2065-1</f>
        <v>-1.0135004629583131</v>
      </c>
      <c r="D2066" s="3">
        <v>-415648836715518</v>
      </c>
      <c r="E2066" s="3">
        <f>[1]!nefin_factors__1[[#This Row],[SMB]]/D2065-1</f>
        <v>2.3400384667158645</v>
      </c>
      <c r="F2066" s="3">
        <v>613912412544854</v>
      </c>
      <c r="G2066" s="3">
        <f>[1]!nefin_factors__1[[#This Row],[HML]]/F2065-1</f>
        <v>3.5071181744242343</v>
      </c>
      <c r="H2066" s="3">
        <v>367083308733696</v>
      </c>
      <c r="I2066" s="4">
        <f>[1]!nefin_factors__1[[#This Row],[Risk_Free]]/H2065-1</f>
        <v>5.9521530151902535E-3</v>
      </c>
      <c r="J2066">
        <v>121279</v>
      </c>
      <c r="K2066">
        <v>121628</v>
      </c>
      <c r="L2066">
        <v>118794</v>
      </c>
      <c r="M2066">
        <v>118885</v>
      </c>
      <c r="N2066">
        <v>11788300</v>
      </c>
      <c r="O2066">
        <v>118885</v>
      </c>
      <c r="P2066">
        <v>-1.9747691292875999E-2</v>
      </c>
      <c r="Q2066">
        <v>-1.9945282589695801E-2</v>
      </c>
      <c r="R2066" s="8">
        <v>15.7447729110718</v>
      </c>
      <c r="S2066" s="8">
        <v>1.34896916766432E-2</v>
      </c>
      <c r="T2066" s="9">
        <v>1.33995158435336E-2</v>
      </c>
      <c r="U2066" s="12">
        <v>4.0168000000000002E-2</v>
      </c>
      <c r="V2066" s="16">
        <v>5.1346999999999996</v>
      </c>
      <c r="W2066" s="17">
        <f t="shared" si="32"/>
        <v>-9.1450363855716255E-4</v>
      </c>
    </row>
    <row r="2067" spans="1:23" x14ac:dyDescent="0.2">
      <c r="A2067" s="15">
        <v>44578</v>
      </c>
      <c r="B2067" s="5">
        <v>-609046814412707</v>
      </c>
      <c r="C2067" s="5">
        <f>[1]!nefin_factors__1[[#This Row],[Rm_minus_Rf]]/B2066-1</f>
        <v>-52.133501050118532</v>
      </c>
      <c r="D2067" s="5">
        <v>110653472224835</v>
      </c>
      <c r="E2067" s="5">
        <f>[1]!nefin_factors__1[[#This Row],[SMB]]/D2066-1</f>
        <v>-1.2662186500970996</v>
      </c>
      <c r="F2067" s="5">
        <v>218585355533881</v>
      </c>
      <c r="G2067" s="5">
        <f>[1]!nefin_factors__1[[#This Row],[HML]]/F2066-1</f>
        <v>-0.6439470011238605</v>
      </c>
      <c r="H2067" s="5">
        <v>371785269076108</v>
      </c>
      <c r="I2067" s="6">
        <f>[1]!nefin_factors__1[[#This Row],[Risk_Free]]/H2066-1</f>
        <v>1.2808973414323965E-2</v>
      </c>
      <c r="J2067">
        <v>118885</v>
      </c>
      <c r="K2067">
        <v>118885</v>
      </c>
      <c r="L2067">
        <v>116791</v>
      </c>
      <c r="M2067">
        <v>118228</v>
      </c>
      <c r="N2067">
        <v>13410800</v>
      </c>
      <c r="O2067">
        <v>118228</v>
      </c>
      <c r="P2067">
        <v>-5.5263489927240804E-3</v>
      </c>
      <c r="Q2067">
        <v>-5.5416757527504404E-3</v>
      </c>
      <c r="R2067" s="8">
        <v>14.332482337951699</v>
      </c>
      <c r="S2067" s="8">
        <v>-8.9699011925855707E-2</v>
      </c>
      <c r="T2067" s="9">
        <v>-9.3979978033556802E-2</v>
      </c>
      <c r="U2067" s="12">
        <v>4.0168000000000002E-2</v>
      </c>
      <c r="V2067" s="16">
        <v>5.0479000000000003</v>
      </c>
      <c r="W2067" s="17">
        <f t="shared" si="32"/>
        <v>-1.6904590336338843E-2</v>
      </c>
    </row>
    <row r="2068" spans="1:23" x14ac:dyDescent="0.2">
      <c r="A2068" s="14">
        <v>44579</v>
      </c>
      <c r="B2068" s="3">
        <v>-202660269947847</v>
      </c>
      <c r="C2068" s="3">
        <f>[1]!nefin_factors__1[[#This Row],[Rm_minus_Rf]]/B2067-1</f>
        <v>-0.66725009448860062</v>
      </c>
      <c r="D2068" s="3">
        <v>-164764201202679</v>
      </c>
      <c r="E2068" s="3">
        <f>[1]!nefin_factors__1[[#This Row],[SMB]]/D2067-1</f>
        <v>-2.4890106735005775</v>
      </c>
      <c r="F2068" s="3">
        <v>173656030993943</v>
      </c>
      <c r="G2068" s="3">
        <f>[1]!nefin_factors__1[[#This Row],[HML]]/F2067-1</f>
        <v>-0.20554590416270546</v>
      </c>
      <c r="H2068" s="3">
        <v>373953535097504</v>
      </c>
      <c r="I2068" s="4">
        <f>[1]!nefin_factors__1[[#This Row],[Risk_Free]]/H2067-1</f>
        <v>5.8320385495211902E-3</v>
      </c>
      <c r="J2068">
        <v>118226</v>
      </c>
      <c r="K2068">
        <v>119247</v>
      </c>
      <c r="L2068">
        <v>117509</v>
      </c>
      <c r="M2068">
        <v>118862</v>
      </c>
      <c r="N2068">
        <v>11520100</v>
      </c>
      <c r="O2068">
        <v>118862</v>
      </c>
      <c r="P2068">
        <v>5.3625198768480998E-3</v>
      </c>
      <c r="Q2068">
        <v>5.3481927639282296E-3</v>
      </c>
      <c r="R2068" s="8">
        <v>14.3871507644653</v>
      </c>
      <c r="S2068" s="8">
        <v>3.81430273030325E-3</v>
      </c>
      <c r="T2068" s="9">
        <v>3.8070467228637798E-3</v>
      </c>
      <c r="U2068" s="12">
        <v>4.0168000000000002E-2</v>
      </c>
      <c r="V2068" s="16">
        <v>5.0758000000000001</v>
      </c>
      <c r="W2068" s="17">
        <f t="shared" si="32"/>
        <v>5.5270508528297846E-3</v>
      </c>
    </row>
    <row r="2069" spans="1:23" x14ac:dyDescent="0.2">
      <c r="A2069" s="15">
        <v>44580</v>
      </c>
      <c r="B2069" s="5">
        <v>118716702387484</v>
      </c>
      <c r="C2069" s="5">
        <f>[1]!nefin_factors__1[[#This Row],[Rm_minus_Rf]]/B2068-1</f>
        <v>-1.5857916917708379</v>
      </c>
      <c r="D2069" s="5">
        <v>-17391845758397</v>
      </c>
      <c r="E2069" s="5">
        <f>[1]!nefin_factors__1[[#This Row],[SMB]]/D2068-1</f>
        <v>-0.89444402587790883</v>
      </c>
      <c r="F2069" s="5">
        <v>-91407147687097</v>
      </c>
      <c r="G2069" s="5">
        <f>[1]!nefin_factors__1[[#This Row],[HML]]/F2068-1</f>
        <v>-1.5263689787444539</v>
      </c>
      <c r="H2069" s="5">
        <v>376120622155529</v>
      </c>
      <c r="I2069" s="6">
        <f>[1]!nefin_factors__1[[#This Row],[Risk_Free]]/H2068-1</f>
        <v>5.7950703887850175E-3</v>
      </c>
      <c r="J2069">
        <v>118861</v>
      </c>
      <c r="K2069">
        <v>118868</v>
      </c>
      <c r="L2069">
        <v>117487</v>
      </c>
      <c r="M2069">
        <v>118322</v>
      </c>
      <c r="N2069">
        <v>11225800</v>
      </c>
      <c r="O2069">
        <v>118322</v>
      </c>
      <c r="P2069">
        <v>-4.5430835759116004E-3</v>
      </c>
      <c r="Q2069">
        <v>-4.5534347428092996E-3</v>
      </c>
      <c r="R2069" s="8">
        <v>13.6673383712769</v>
      </c>
      <c r="S2069" s="8">
        <v>-5.0031615361002098E-2</v>
      </c>
      <c r="T2069" s="9">
        <v>-5.1326574268690299E-2</v>
      </c>
      <c r="U2069" s="12">
        <v>4.0168000000000002E-2</v>
      </c>
      <c r="V2069" s="16">
        <v>5.0579000000000001</v>
      </c>
      <c r="W2069" s="17">
        <f t="shared" si="32"/>
        <v>-3.5265376886401967E-3</v>
      </c>
    </row>
    <row r="2070" spans="1:23" x14ac:dyDescent="0.2">
      <c r="A2070" s="14">
        <v>44581</v>
      </c>
      <c r="B2070" s="3">
        <v>958140181089755</v>
      </c>
      <c r="C2070" s="3">
        <f>[1]!nefin_factors__1[[#This Row],[Rm_minus_Rf]]/B2069-1</f>
        <v>7.0708119567071908</v>
      </c>
      <c r="D2070" s="3">
        <v>340864166449362</v>
      </c>
      <c r="E2070" s="3">
        <f>[1]!nefin_factors__1[[#This Row],[SMB]]/D2069-1</f>
        <v>-20.599079429783266</v>
      </c>
      <c r="F2070" s="3">
        <v>-805300522285081</v>
      </c>
      <c r="G2070" s="3">
        <f>[1]!nefin_factors__1[[#This Row],[HML]]/F2069-1</f>
        <v>7.810038849935113</v>
      </c>
      <c r="H2070" s="3">
        <v>377564692515486</v>
      </c>
      <c r="I2070" s="4">
        <f>[1]!nefin_factors__1[[#This Row],[Risk_Free]]/H2069-1</f>
        <v>3.8393809722028216E-3</v>
      </c>
      <c r="J2070">
        <v>118320</v>
      </c>
      <c r="K2070">
        <v>118320</v>
      </c>
      <c r="L2070">
        <v>116953</v>
      </c>
      <c r="M2070">
        <v>116953</v>
      </c>
      <c r="N2070">
        <v>9558400</v>
      </c>
      <c r="O2070">
        <v>116953</v>
      </c>
      <c r="P2070">
        <v>-1.15701222088876E-2</v>
      </c>
      <c r="Q2070">
        <v>-1.16375768835239E-2</v>
      </c>
      <c r="R2070" s="8">
        <v>13.4668836593628</v>
      </c>
      <c r="S2070" s="8">
        <v>-1.46666970897081E-2</v>
      </c>
      <c r="T2070" s="9">
        <v>-1.4775316458042699E-2</v>
      </c>
      <c r="U2070" s="12">
        <v>4.0168000000000002E-2</v>
      </c>
      <c r="V2070" s="16">
        <v>5.0903</v>
      </c>
      <c r="W2070" s="17">
        <f t="shared" si="32"/>
        <v>6.4058205974810711E-3</v>
      </c>
    </row>
    <row r="2071" spans="1:23" x14ac:dyDescent="0.2">
      <c r="A2071" s="15">
        <v>44582</v>
      </c>
      <c r="B2071" s="5">
        <v>-403871236445917</v>
      </c>
      <c r="C2071" s="5">
        <f>[1]!nefin_factors__1[[#This Row],[Rm_minus_Rf]]/B2070-1</f>
        <v>-1.4215158120042184</v>
      </c>
      <c r="D2071" s="5">
        <v>231159318325122</v>
      </c>
      <c r="E2071" s="5">
        <f>[1]!nefin_factors__1[[#This Row],[SMB]]/D2070-1</f>
        <v>-0.32184329983110005</v>
      </c>
      <c r="F2071" s="5">
        <v>-553728533077339</v>
      </c>
      <c r="G2071" s="5">
        <f>[1]!nefin_factors__1[[#This Row],[HML]]/F2070-1</f>
        <v>-0.31239516459506789</v>
      </c>
      <c r="H2071" s="5">
        <v>379008239842271</v>
      </c>
      <c r="I2071" s="6">
        <f>[1]!nefin_factors__1[[#This Row],[Risk_Free]]/H2070-1</f>
        <v>3.8233112242767042E-3</v>
      </c>
      <c r="J2071">
        <v>116963</v>
      </c>
      <c r="K2071">
        <v>118615</v>
      </c>
      <c r="L2071">
        <v>116054</v>
      </c>
      <c r="M2071">
        <v>116147</v>
      </c>
      <c r="N2071">
        <v>11406800</v>
      </c>
      <c r="O2071">
        <v>116147</v>
      </c>
      <c r="P2071">
        <v>-6.8916573324326897E-3</v>
      </c>
      <c r="Q2071">
        <v>-6.9155144761816802E-3</v>
      </c>
      <c r="R2071" s="8">
        <v>13.6217803955078</v>
      </c>
      <c r="S2071" s="8">
        <v>1.1502047545894499E-2</v>
      </c>
      <c r="T2071" s="9">
        <v>1.14364018904402E-2</v>
      </c>
      <c r="U2071" s="12">
        <v>4.0168000000000002E-2</v>
      </c>
      <c r="V2071" s="16">
        <v>5.0094000000000003</v>
      </c>
      <c r="W2071" s="17">
        <f t="shared" si="32"/>
        <v>-1.5892972909258729E-2</v>
      </c>
    </row>
    <row r="2072" spans="1:23" x14ac:dyDescent="0.2">
      <c r="A2072" s="14">
        <v>44585</v>
      </c>
      <c r="B2072" s="3">
        <v>-922654334695503</v>
      </c>
      <c r="C2072" s="3">
        <f>[1]!nefin_factors__1[[#This Row],[Rm_minus_Rf]]/B2071-1</f>
        <v>1.2845259860912552</v>
      </c>
      <c r="D2072" s="3">
        <v>-731366269838224</v>
      </c>
      <c r="E2072" s="3">
        <f>[1]!nefin_factors__1[[#This Row],[SMB]]/D2071-1</f>
        <v>-4.1639056350286019</v>
      </c>
      <c r="F2072" s="3">
        <v>863732224294904</v>
      </c>
      <c r="G2072" s="3">
        <f>[1]!nefin_factors__1[[#This Row],[HML]]/F2071-1</f>
        <v>-2.5598477822602415</v>
      </c>
      <c r="H2072" s="3">
        <v>382254310952845</v>
      </c>
      <c r="I2072" s="4">
        <f>[1]!nefin_factors__1[[#This Row],[Risk_Free]]/H2071-1</f>
        <v>8.5646452222909453E-3</v>
      </c>
      <c r="J2072">
        <v>116150</v>
      </c>
      <c r="K2072">
        <v>117329</v>
      </c>
      <c r="L2072">
        <v>116150</v>
      </c>
      <c r="M2072">
        <v>116782</v>
      </c>
      <c r="N2072">
        <v>12070500</v>
      </c>
      <c r="O2072">
        <v>116782</v>
      </c>
      <c r="P2072">
        <v>5.4672096567280901E-3</v>
      </c>
      <c r="Q2072">
        <v>5.4523187159538798E-3</v>
      </c>
      <c r="R2072" s="8">
        <v>13.2390947341919</v>
      </c>
      <c r="S2072" s="8">
        <v>-2.8093659580807801E-2</v>
      </c>
      <c r="T2072" s="9">
        <v>-2.8495836757812799E-2</v>
      </c>
      <c r="U2072" s="12">
        <v>4.0168000000000002E-2</v>
      </c>
      <c r="V2072" s="16">
        <v>5.0513000000000003</v>
      </c>
      <c r="W2072" s="17">
        <f t="shared" si="32"/>
        <v>8.3642751626942236E-3</v>
      </c>
    </row>
    <row r="2073" spans="1:23" x14ac:dyDescent="0.2">
      <c r="A2073" s="15">
        <v>44586</v>
      </c>
      <c r="B2073" s="5">
        <v>224207271435822</v>
      </c>
      <c r="C2073" s="5">
        <f>[1]!nefin_factors__1[[#This Row],[Rm_minus_Rf]]/B2072-1</f>
        <v>-1.2430024582389412</v>
      </c>
      <c r="D2073" s="5">
        <v>18725756791961</v>
      </c>
      <c r="E2073" s="5">
        <f>[1]!nefin_factors__1[[#This Row],[SMB]]/D2072-1</f>
        <v>-1.0256038014934747</v>
      </c>
      <c r="F2073" s="5">
        <v>532750503633725</v>
      </c>
      <c r="G2073" s="5">
        <f>[1]!nefin_factors__1[[#This Row],[HML]]/F2072-1</f>
        <v>-0.38319945852590065</v>
      </c>
      <c r="H2073" s="5">
        <v>384777206402287</v>
      </c>
      <c r="I2073" s="6">
        <f>[1]!nefin_factors__1[[#This Row],[Risk_Free]]/H2072-1</f>
        <v>6.6000444655631707E-3</v>
      </c>
      <c r="J2073">
        <v>116781</v>
      </c>
      <c r="K2073">
        <v>116781</v>
      </c>
      <c r="L2073">
        <v>115624</v>
      </c>
      <c r="M2073">
        <v>116182</v>
      </c>
      <c r="N2073">
        <v>10365400</v>
      </c>
      <c r="O2073">
        <v>116182</v>
      </c>
      <c r="P2073">
        <v>-5.1377780822387002E-3</v>
      </c>
      <c r="Q2073">
        <v>-5.1510218458707402E-3</v>
      </c>
      <c r="R2073" s="8">
        <v>13.0841979980469</v>
      </c>
      <c r="S2073" s="8">
        <v>-1.16999492227347E-2</v>
      </c>
      <c r="T2073" s="9">
        <v>-1.17689322216076E-2</v>
      </c>
      <c r="U2073" s="12">
        <v>4.0168000000000002E-2</v>
      </c>
      <c r="V2073" s="16">
        <v>5.0255000000000001</v>
      </c>
      <c r="W2073" s="17">
        <f t="shared" si="32"/>
        <v>-5.1075960643794938E-3</v>
      </c>
    </row>
    <row r="2074" spans="1:23" x14ac:dyDescent="0.2">
      <c r="A2074" s="14">
        <v>44587</v>
      </c>
      <c r="B2074" s="3">
        <v>775105008394661</v>
      </c>
      <c r="C2074" s="3">
        <f>[1]!nefin_factors__1[[#This Row],[Rm_minus_Rf]]/B2073-1</f>
        <v>2.4570913040905999</v>
      </c>
      <c r="D2074" s="3">
        <v>785831077862129</v>
      </c>
      <c r="E2074" s="3">
        <f>[1]!nefin_factors__1[[#This Row],[SMB]]/D2073-1</f>
        <v>40.965250675448679</v>
      </c>
      <c r="F2074" s="3">
        <v>-103177175337476</v>
      </c>
      <c r="G2074" s="3">
        <f>[1]!nefin_factors__1[[#This Row],[HML]]/F2073-1</f>
        <v>-1.193668846174216</v>
      </c>
      <c r="H2074" s="3">
        <v>386938417861193</v>
      </c>
      <c r="I2074" s="4">
        <f>[1]!nefin_factors__1[[#This Row],[Risk_Free]]/H2073-1</f>
        <v>5.6167866051983761E-3</v>
      </c>
      <c r="J2074">
        <v>116182</v>
      </c>
      <c r="K2074">
        <v>116191</v>
      </c>
      <c r="L2074">
        <v>115177</v>
      </c>
      <c r="M2074">
        <v>115687</v>
      </c>
      <c r="N2074">
        <v>8404900</v>
      </c>
      <c r="O2074">
        <v>115687</v>
      </c>
      <c r="P2074">
        <v>-4.2605567127438296E-3</v>
      </c>
      <c r="Q2074">
        <v>-4.26965874685008E-3</v>
      </c>
      <c r="R2074" s="8">
        <v>13.05686378479</v>
      </c>
      <c r="S2074" s="8">
        <v>-2.0891011631676299E-3</v>
      </c>
      <c r="T2074" s="9">
        <v>-2.0912863789575901E-3</v>
      </c>
      <c r="U2074" s="12">
        <v>4.0168000000000002E-2</v>
      </c>
      <c r="V2074" s="16">
        <v>5.0647000000000002</v>
      </c>
      <c r="W2074" s="17">
        <f t="shared" si="32"/>
        <v>7.8002188836931996E-3</v>
      </c>
    </row>
    <row r="2075" spans="1:23" x14ac:dyDescent="0.2">
      <c r="A2075" s="15">
        <v>44588</v>
      </c>
      <c r="B2075" s="5">
        <v>12042437227614</v>
      </c>
      <c r="C2075" s="5">
        <f>[1]!nefin_factors__1[[#This Row],[Rm_minus_Rf]]/B2074-1</f>
        <v>-0.98446347643585042</v>
      </c>
      <c r="D2075" s="5">
        <v>410703748911839</v>
      </c>
      <c r="E2075" s="5">
        <f>[1]!nefin_factors__1[[#This Row],[SMB]]/D2074-1</f>
        <v>-0.47736382476859052</v>
      </c>
      <c r="F2075" s="5">
        <v>-69442814951649</v>
      </c>
      <c r="G2075" s="5">
        <f>[1]!nefin_factors__1[[#This Row],[HML]]/F2074-1</f>
        <v>-0.32695564959485768</v>
      </c>
      <c r="H2075" s="5">
        <v>389098458029258</v>
      </c>
      <c r="I2075" s="6">
        <f>[1]!nefin_factors__1[[#This Row],[Risk_Free]]/H2074-1</f>
        <v>5.5823874507077154E-3</v>
      </c>
      <c r="J2075">
        <v>115687</v>
      </c>
      <c r="K2075">
        <v>115687</v>
      </c>
      <c r="L2075">
        <v>114277</v>
      </c>
      <c r="M2075">
        <v>115057</v>
      </c>
      <c r="N2075">
        <v>0</v>
      </c>
      <c r="O2075">
        <v>115057</v>
      </c>
      <c r="P2075">
        <v>-5.4457285606852599E-3</v>
      </c>
      <c r="Q2075">
        <v>-5.4606105940634697E-3</v>
      </c>
      <c r="R2075" s="8">
        <v>13.2026481628418</v>
      </c>
      <c r="S2075" s="8">
        <v>1.1165344178713401E-2</v>
      </c>
      <c r="T2075" s="9">
        <v>1.1103471847993601E-2</v>
      </c>
      <c r="U2075" s="12">
        <v>4.0168000000000002E-2</v>
      </c>
      <c r="V2075" s="16">
        <v>5.1314000000000002</v>
      </c>
      <c r="W2075" s="17">
        <f t="shared" si="32"/>
        <v>1.316958556281711E-2</v>
      </c>
    </row>
    <row r="2076" spans="1:23" x14ac:dyDescent="0.2">
      <c r="A2076" s="14">
        <v>44589</v>
      </c>
      <c r="B2076" s="3">
        <v>-619665412965598</v>
      </c>
      <c r="C2076" s="3">
        <f>[1]!nefin_factors__1[[#This Row],[Rm_minus_Rf]]/B2075-1</f>
        <v>-52.456810714750468</v>
      </c>
      <c r="D2076" s="3">
        <v>281365538261641</v>
      </c>
      <c r="E2076" s="3">
        <f>[1]!nefin_factors__1[[#This Row],[SMB]]/D2075-1</f>
        <v>-0.31491850510953467</v>
      </c>
      <c r="F2076" s="3">
        <v>107892590526255</v>
      </c>
      <c r="G2076" s="3">
        <f>[1]!nefin_factors__1[[#This Row],[HML]]/F2075-1</f>
        <v>-2.5536897604363742</v>
      </c>
      <c r="H2076" s="3">
        <v>391257328177463</v>
      </c>
      <c r="I2076" s="4">
        <f>[1]!nefin_factors__1[[#This Row],[Risk_Free]]/H2075-1</f>
        <v>5.5483903974831161E-3</v>
      </c>
      <c r="J2076">
        <v>115057</v>
      </c>
      <c r="K2076">
        <v>115057</v>
      </c>
      <c r="L2076">
        <v>113945</v>
      </c>
      <c r="M2076">
        <v>114344</v>
      </c>
      <c r="N2076">
        <v>10747700</v>
      </c>
      <c r="O2076">
        <v>114344</v>
      </c>
      <c r="P2076">
        <v>-6.1969284789278297E-3</v>
      </c>
      <c r="Q2076">
        <v>-6.2162091353843204E-3</v>
      </c>
      <c r="R2076" s="8">
        <v>13.138868331909199</v>
      </c>
      <c r="S2076" s="8">
        <v>-4.8308362190642197E-3</v>
      </c>
      <c r="T2076" s="9">
        <v>-4.8425424240743304E-3</v>
      </c>
      <c r="U2076" s="12">
        <v>4.0168000000000002E-2</v>
      </c>
      <c r="V2076" s="16">
        <v>5.1287000000000003</v>
      </c>
      <c r="W2076" s="17">
        <f t="shared" si="32"/>
        <v>-5.2617219472261834E-4</v>
      </c>
    </row>
    <row r="2077" spans="1:23" x14ac:dyDescent="0.2">
      <c r="A2077" s="15">
        <v>44592</v>
      </c>
      <c r="B2077" s="5">
        <v>654281199040781</v>
      </c>
      <c r="C2077" s="5">
        <f>[1]!nefin_factors__1[[#This Row],[Rm_minus_Rf]]/B2076-1</f>
        <v>-2.0558620593483159</v>
      </c>
      <c r="D2077" s="5">
        <v>297036047504734</v>
      </c>
      <c r="E2077" s="5">
        <f>[1]!nefin_factors__1[[#This Row],[SMB]]/D2076-1</f>
        <v>5.5694486751682648E-2</v>
      </c>
      <c r="F2077" s="5">
        <v>-658994328975344</v>
      </c>
      <c r="G2077" s="5">
        <f>[1]!nefin_factors__1[[#This Row],[HML]]/F2076-1</f>
        <v>-7.1078738193331432</v>
      </c>
      <c r="H2077" s="5">
        <v>394134003871782</v>
      </c>
      <c r="I2077" s="6">
        <f>[1]!nefin_factors__1[[#This Row],[Risk_Free]]/H2076-1</f>
        <v>7.3523880248300699E-3</v>
      </c>
      <c r="J2077">
        <v>114343</v>
      </c>
      <c r="K2077">
        <v>114343</v>
      </c>
      <c r="L2077">
        <v>110591</v>
      </c>
      <c r="M2077">
        <v>111078</v>
      </c>
      <c r="N2077">
        <v>10877300</v>
      </c>
      <c r="O2077">
        <v>111078</v>
      </c>
      <c r="P2077">
        <v>-2.85629329042189E-2</v>
      </c>
      <c r="Q2077">
        <v>-2.89787913717196E-2</v>
      </c>
      <c r="R2077" s="8">
        <v>12.5192823410034</v>
      </c>
      <c r="S2077" s="8">
        <v>-4.71567242515879E-2</v>
      </c>
      <c r="T2077" s="9">
        <v>-4.8304842421253102E-2</v>
      </c>
      <c r="U2077" s="12">
        <v>4.3739E-2</v>
      </c>
      <c r="V2077" s="16">
        <v>5.0763999999999996</v>
      </c>
      <c r="W2077" s="17">
        <f t="shared" si="32"/>
        <v>-1.0197515939711965E-2</v>
      </c>
    </row>
    <row r="2078" spans="1:23" x14ac:dyDescent="0.2">
      <c r="A2078" s="14">
        <v>44593</v>
      </c>
      <c r="B2078" s="3">
        <v>624562994128051</v>
      </c>
      <c r="C2078" s="3">
        <f>[1]!nefin_factors__1[[#This Row],[Rm_minus_Rf]]/B2077-1</f>
        <v>-4.5421150655557296E-2</v>
      </c>
      <c r="D2078" s="3">
        <v>35659520946853</v>
      </c>
      <c r="E2078" s="3">
        <f>[1]!nefin_factors__1[[#This Row],[SMB]]/D2077-1</f>
        <v>-0.87994884376353455</v>
      </c>
      <c r="F2078" s="3">
        <v>-171287076566871</v>
      </c>
      <c r="G2078" s="3">
        <f>[1]!nefin_factors__1[[#This Row],[HML]]/F2077-1</f>
        <v>-0.74007807194152708</v>
      </c>
      <c r="H2078" s="3">
        <v>396649393037629</v>
      </c>
      <c r="I2078" s="4">
        <f>[1]!nefin_factors__1[[#This Row],[Risk_Free]]/H2077-1</f>
        <v>6.382065848510976E-3</v>
      </c>
      <c r="J2078">
        <v>111077</v>
      </c>
      <c r="K2078">
        <v>111155</v>
      </c>
      <c r="L2078">
        <v>109222</v>
      </c>
      <c r="M2078">
        <v>110685</v>
      </c>
      <c r="N2078">
        <v>11098300</v>
      </c>
      <c r="O2078">
        <v>110685</v>
      </c>
      <c r="P2078">
        <v>-3.5380543401933901E-3</v>
      </c>
      <c r="Q2078">
        <v>-3.5443280566548499E-3</v>
      </c>
      <c r="R2078" s="8">
        <v>12.7197360992432</v>
      </c>
      <c r="S2078" s="8">
        <v>1.6011601366574799E-2</v>
      </c>
      <c r="T2078" s="9">
        <v>1.5884767758986201E-2</v>
      </c>
      <c r="U2078" s="12">
        <v>4.3739E-2</v>
      </c>
      <c r="V2078" s="16">
        <v>5.0411000000000001</v>
      </c>
      <c r="W2078" s="17">
        <f t="shared" si="32"/>
        <v>-6.9537467496649796E-3</v>
      </c>
    </row>
    <row r="2079" spans="1:23" x14ac:dyDescent="0.2">
      <c r="A2079" s="15">
        <v>44594</v>
      </c>
      <c r="B2079" s="5">
        <v>-121044181815543</v>
      </c>
      <c r="C2079" s="5">
        <f>[1]!nefin_factors__1[[#This Row],[Rm_minus_Rf]]/B2078-1</f>
        <v>-1.1938062020221549</v>
      </c>
      <c r="D2079" s="5">
        <v>555962701504286</v>
      </c>
      <c r="E2079" s="5">
        <f>[1]!nefin_factors__1[[#This Row],[SMB]]/D2078-1</f>
        <v>14.590862881553949</v>
      </c>
      <c r="F2079" s="5">
        <v>630509392961539</v>
      </c>
      <c r="G2079" s="5">
        <f>[1]!nefin_factors__1[[#This Row],[HML]]/F2078-1</f>
        <v>-4.6810097153791181</v>
      </c>
      <c r="H2079" s="5">
        <v>400957798838641</v>
      </c>
      <c r="I2079" s="6">
        <f>[1]!nefin_factors__1[[#This Row],[Risk_Free]]/H2078-1</f>
        <v>1.0862000236574909E-2</v>
      </c>
      <c r="J2079">
        <v>110684</v>
      </c>
      <c r="K2079">
        <v>110685</v>
      </c>
      <c r="L2079">
        <v>107978</v>
      </c>
      <c r="M2079">
        <v>108213</v>
      </c>
      <c r="N2079">
        <v>11747500</v>
      </c>
      <c r="O2079">
        <v>108213</v>
      </c>
      <c r="P2079">
        <v>-2.2333649546008898E-2</v>
      </c>
      <c r="Q2079">
        <v>-2.25868221089294E-2</v>
      </c>
      <c r="R2079" s="8">
        <v>11.9361419677734</v>
      </c>
      <c r="S2079" s="8">
        <v>-6.1604590327652399E-2</v>
      </c>
      <c r="T2079" s="9">
        <v>-6.3583873308344099E-2</v>
      </c>
      <c r="U2079" s="12">
        <v>4.3739E-2</v>
      </c>
      <c r="V2079" s="16">
        <v>4.9665999999999997</v>
      </c>
      <c r="W2079" s="17">
        <f t="shared" si="32"/>
        <v>-1.4778520560988717E-2</v>
      </c>
    </row>
    <row r="2080" spans="1:23" x14ac:dyDescent="0.2">
      <c r="A2080" s="14">
        <v>44595</v>
      </c>
      <c r="B2080" s="3">
        <v>-322167959079043</v>
      </c>
      <c r="C2080" s="3">
        <f>[1]!nefin_factors__1[[#This Row],[Rm_minus_Rf]]/B2079-1</f>
        <v>1.6615732722287206</v>
      </c>
      <c r="D2080" s="3">
        <v>148396777152406</v>
      </c>
      <c r="E2080" s="3">
        <f>[1]!nefin_factors__1[[#This Row],[SMB]]/D2079-1</f>
        <v>-0.73308141580202391</v>
      </c>
      <c r="F2080" s="3">
        <v>121987447643615</v>
      </c>
      <c r="G2080" s="3">
        <f>[1]!nefin_factors__1[[#This Row],[HML]]/F2079-1</f>
        <v>-0.80652556646201112</v>
      </c>
      <c r="H2080" s="3">
        <v>403468886472247</v>
      </c>
      <c r="I2080" s="4">
        <f>[1]!nefin_factors__1[[#This Row],[Risk_Free]]/H2079-1</f>
        <v>6.2627230119460808E-3</v>
      </c>
      <c r="J2080">
        <v>108214</v>
      </c>
      <c r="K2080">
        <v>110107</v>
      </c>
      <c r="L2080">
        <v>108214</v>
      </c>
      <c r="M2080">
        <v>109349</v>
      </c>
      <c r="N2080">
        <v>11515700</v>
      </c>
      <c r="O2080">
        <v>109349</v>
      </c>
      <c r="P2080">
        <v>1.04978144954857E-2</v>
      </c>
      <c r="Q2080">
        <v>1.0443095064034701E-2</v>
      </c>
      <c r="R2080" s="8">
        <v>12.218600273132299</v>
      </c>
      <c r="S2080" s="8">
        <v>2.3664120795605401E-2</v>
      </c>
      <c r="T2080" s="9">
        <v>2.3388465775700602E-2</v>
      </c>
      <c r="U2080" s="12">
        <v>4.3739E-2</v>
      </c>
      <c r="V2080" s="16">
        <v>4.9207999999999998</v>
      </c>
      <c r="W2080" s="17">
        <f t="shared" si="32"/>
        <v>-9.2216002899367933E-3</v>
      </c>
    </row>
    <row r="2081" spans="1:23" x14ac:dyDescent="0.2">
      <c r="A2081" s="15">
        <v>44596</v>
      </c>
      <c r="B2081" s="5">
        <v>132429095597513</v>
      </c>
      <c r="C2081" s="5">
        <f>[1]!nefin_factors__1[[#This Row],[Rm_minus_Rf]]/B2080-1</f>
        <v>-1.4110560714233593</v>
      </c>
      <c r="D2081" s="5">
        <v>-235835022800111</v>
      </c>
      <c r="E2081" s="5">
        <f>[1]!nefin_factors__1[[#This Row],[SMB]]/D2080-1</f>
        <v>-2.5892193033134703</v>
      </c>
      <c r="F2081" s="5">
        <v>-94866557800547</v>
      </c>
      <c r="G2081" s="5">
        <f>[1]!nefin_factors__1[[#This Row],[HML]]/F2080-1</f>
        <v>-1.7776747495996359</v>
      </c>
      <c r="H2081" s="5">
        <v>404186049595578</v>
      </c>
      <c r="I2081" s="6">
        <f>[1]!nefin_factors__1[[#This Row],[Risk_Free]]/H2080-1</f>
        <v>1.7774930047309567E-3</v>
      </c>
      <c r="J2081">
        <v>109349</v>
      </c>
      <c r="K2081">
        <v>110702</v>
      </c>
      <c r="L2081">
        <v>108905</v>
      </c>
      <c r="M2081">
        <v>109919</v>
      </c>
      <c r="N2081">
        <v>11129900</v>
      </c>
      <c r="O2081">
        <v>109919</v>
      </c>
      <c r="P2081">
        <v>5.2126676970067898E-3</v>
      </c>
      <c r="Q2081">
        <v>5.1991287736383503E-3</v>
      </c>
      <c r="R2081" s="8">
        <v>12.145708084106399</v>
      </c>
      <c r="S2081" s="8">
        <v>-5.9656742504428104E-3</v>
      </c>
      <c r="T2081" s="9">
        <v>-5.9835399745708801E-3</v>
      </c>
      <c r="U2081" s="12">
        <v>4.3739E-2</v>
      </c>
      <c r="V2081" s="16">
        <v>4.8704000000000001</v>
      </c>
      <c r="W2081" s="17">
        <f t="shared" si="32"/>
        <v>-1.0242237034628454E-2</v>
      </c>
    </row>
    <row r="2082" spans="1:23" x14ac:dyDescent="0.2">
      <c r="A2082" s="14">
        <v>44599</v>
      </c>
      <c r="B2082" s="3">
        <v>-275675585380233</v>
      </c>
      <c r="C2082" s="3">
        <f>[1]!nefin_factors__1[[#This Row],[Rm_minus_Rf]]/B2081-1</f>
        <v>-3.0816844224178945</v>
      </c>
      <c r="D2082" s="3">
        <v>-304137603055445</v>
      </c>
      <c r="E2082" s="3">
        <f>[1]!nefin_factors__1[[#This Row],[SMB]]/D2081-1</f>
        <v>0.2896201736466677</v>
      </c>
      <c r="F2082" s="3">
        <v>449395727936429</v>
      </c>
      <c r="G2082" s="3">
        <f>[1]!nefin_factors__1[[#This Row],[HML]]/F2081-1</f>
        <v>-5.7371353863314498</v>
      </c>
      <c r="H2082" s="3">
        <v>40669510480229</v>
      </c>
      <c r="I2082" s="4">
        <f>[1]!nefin_factors__1[[#This Row],[Risk_Free]]/H2081-1</f>
        <v>-0.89937923260606778</v>
      </c>
      <c r="J2082">
        <v>109922</v>
      </c>
      <c r="K2082">
        <v>111819</v>
      </c>
      <c r="L2082">
        <v>107876</v>
      </c>
      <c r="M2082">
        <v>107876</v>
      </c>
      <c r="N2082">
        <v>13662200</v>
      </c>
      <c r="O2082">
        <v>107876</v>
      </c>
      <c r="P2082">
        <v>-1.8586413631856199E-2</v>
      </c>
      <c r="Q2082">
        <v>-1.8761311558145002E-2</v>
      </c>
      <c r="R2082" s="8">
        <v>12.081927299499499</v>
      </c>
      <c r="S2082" s="8">
        <v>-5.2513022843348996E-3</v>
      </c>
      <c r="T2082" s="9">
        <v>-5.26513883336729E-3</v>
      </c>
      <c r="U2082" s="12">
        <v>4.3739E-2</v>
      </c>
      <c r="V2082" s="16">
        <v>4.8067000000000002</v>
      </c>
      <c r="W2082" s="17">
        <f t="shared" si="32"/>
        <v>-1.307900788436267E-2</v>
      </c>
    </row>
    <row r="2083" spans="1:23" x14ac:dyDescent="0.2">
      <c r="A2083" s="15">
        <v>44600</v>
      </c>
      <c r="B2083" s="5">
        <v>914123515803627</v>
      </c>
      <c r="C2083" s="5">
        <f>[1]!nefin_factors__1[[#This Row],[Rm_minus_Rf]]/B2082-1</f>
        <v>-4.3159393297117603</v>
      </c>
      <c r="D2083" s="5">
        <v>-262886845022792</v>
      </c>
      <c r="E2083" s="5">
        <f>[1]!nefin_factors__1[[#This Row],[SMB]]/D2082-1</f>
        <v>-0.13563189036224799</v>
      </c>
      <c r="F2083" s="5">
        <v>-214717288434333</v>
      </c>
      <c r="G2083" s="5">
        <f>[1]!nefin_factors__1[[#This Row],[HML]]/F2082-1</f>
        <v>-1.477791120579381</v>
      </c>
      <c r="H2083" s="5">
        <v>407411687703085</v>
      </c>
      <c r="I2083" s="6">
        <f>[1]!nefin_factors__1[[#This Row],[Risk_Free]]/H2082-1</f>
        <v>9.0176196588632003</v>
      </c>
      <c r="J2083">
        <v>107876</v>
      </c>
      <c r="K2083">
        <v>107884</v>
      </c>
      <c r="L2083">
        <v>105218</v>
      </c>
      <c r="M2083">
        <v>106639</v>
      </c>
      <c r="N2083">
        <v>11935100</v>
      </c>
      <c r="O2083">
        <v>106639</v>
      </c>
      <c r="P2083">
        <v>-1.1466869368534201E-2</v>
      </c>
      <c r="Q2083">
        <v>-1.15331208668889E-2</v>
      </c>
      <c r="R2083" s="8">
        <v>11.6992406845093</v>
      </c>
      <c r="S2083" s="8">
        <v>-3.16743020797755E-2</v>
      </c>
      <c r="T2083" s="9">
        <v>-3.2186783503524698E-2</v>
      </c>
      <c r="U2083" s="12">
        <v>4.3739E-2</v>
      </c>
      <c r="V2083" s="16">
        <v>4.7782</v>
      </c>
      <c r="W2083" s="17">
        <f t="shared" si="32"/>
        <v>-5.9292237917906165E-3</v>
      </c>
    </row>
    <row r="2084" spans="1:23" x14ac:dyDescent="0.2">
      <c r="A2084" s="14">
        <v>44601</v>
      </c>
      <c r="B2084" s="3">
        <v>233099997416271</v>
      </c>
      <c r="C2084" s="3">
        <f>[1]!nefin_factors__1[[#This Row],[Rm_minus_Rf]]/B2083-1</f>
        <v>-0.74500163994649293</v>
      </c>
      <c r="D2084" s="3">
        <v>-133835827961164</v>
      </c>
      <c r="E2084" s="3">
        <f>[1]!nefin_factors__1[[#This Row],[SMB]]/D2083-1</f>
        <v>-0.49089948586221355</v>
      </c>
      <c r="F2084" s="3">
        <v>-604702432975208</v>
      </c>
      <c r="G2084" s="3">
        <f>[1]!nefin_factors__1[[#This Row],[HML]]/F2083-1</f>
        <v>1.816272678295042</v>
      </c>
      <c r="H2084" s="3">
        <v>408486320548684</v>
      </c>
      <c r="I2084" s="4">
        <f>[1]!nefin_factors__1[[#This Row],[Risk_Free]]/H2083-1</f>
        <v>2.6377074542400791E-3</v>
      </c>
      <c r="J2084">
        <v>106640</v>
      </c>
      <c r="K2084">
        <v>107127</v>
      </c>
      <c r="L2084">
        <v>106033</v>
      </c>
      <c r="M2084">
        <v>106528</v>
      </c>
      <c r="N2084">
        <v>9935500</v>
      </c>
      <c r="O2084">
        <v>106528</v>
      </c>
      <c r="P2084">
        <v>-1.040894982136E-3</v>
      </c>
      <c r="Q2084">
        <v>-1.04143708953515E-3</v>
      </c>
      <c r="R2084" s="8">
        <v>11.362113952636699</v>
      </c>
      <c r="S2084" s="8">
        <v>-2.88161207178976E-2</v>
      </c>
      <c r="T2084" s="9">
        <v>-2.92394575769147E-2</v>
      </c>
      <c r="U2084" s="12">
        <v>4.3739E-2</v>
      </c>
      <c r="V2084" s="16">
        <v>4.7904999999999998</v>
      </c>
      <c r="W2084" s="17">
        <f t="shared" si="32"/>
        <v>2.5741911179941734E-3</v>
      </c>
    </row>
    <row r="2085" spans="1:23" x14ac:dyDescent="0.2">
      <c r="A2085" s="15">
        <v>44602</v>
      </c>
      <c r="B2085" s="5">
        <v>6685169145331</v>
      </c>
      <c r="C2085" s="5">
        <f>[1]!nefin_factors__1[[#This Row],[Rm_minus_Rf]]/B2084-1</f>
        <v>-0.97132059536923721</v>
      </c>
      <c r="D2085" s="5">
        <v>-255540945052296</v>
      </c>
      <c r="E2085" s="5">
        <f>[1]!nefin_factors__1[[#This Row],[SMB]]/D2084-1</f>
        <v>0.90936125957578384</v>
      </c>
      <c r="F2085" s="5">
        <v>692130860062361</v>
      </c>
      <c r="G2085" s="5">
        <f>[1]!nefin_factors__1[[#This Row],[HML]]/F2084-1</f>
        <v>-2.1445809084263061</v>
      </c>
      <c r="H2085" s="5">
        <v>409202581510115</v>
      </c>
      <c r="I2085" s="6">
        <f>[1]!nefin_factors__1[[#This Row],[Risk_Free]]/H2084-1</f>
        <v>1.7534515243224913E-3</v>
      </c>
      <c r="J2085">
        <v>106529</v>
      </c>
      <c r="K2085">
        <v>108382</v>
      </c>
      <c r="L2085">
        <v>104933</v>
      </c>
      <c r="M2085">
        <v>108344</v>
      </c>
      <c r="N2085">
        <v>14558600</v>
      </c>
      <c r="O2085">
        <v>108344</v>
      </c>
      <c r="P2085">
        <v>1.7047161309702501E-2</v>
      </c>
      <c r="Q2085">
        <v>1.6903488960455699E-2</v>
      </c>
      <c r="R2085" s="8">
        <v>11.8450260162354</v>
      </c>
      <c r="S2085" s="8">
        <v>4.2501955675824599E-2</v>
      </c>
      <c r="T2085" s="9">
        <v>4.1623550637093103E-2</v>
      </c>
      <c r="U2085" s="12">
        <v>4.3739E-2</v>
      </c>
      <c r="V2085" s="16">
        <v>4.7485999999999997</v>
      </c>
      <c r="W2085" s="17">
        <f t="shared" si="32"/>
        <v>-8.7464774031937864E-3</v>
      </c>
    </row>
    <row r="2086" spans="1:23" x14ac:dyDescent="0.2">
      <c r="A2086" s="14">
        <v>44603</v>
      </c>
      <c r="B2086" s="3">
        <v>388977197944154</v>
      </c>
      <c r="C2086" s="3">
        <f>[1]!nefin_factors__1[[#This Row],[Rm_minus_Rf]]/B2085-1</f>
        <v>57.185094421405957</v>
      </c>
      <c r="D2086" s="3">
        <v>-833200536958644</v>
      </c>
      <c r="E2086" s="3">
        <f>[1]!nefin_factors__1[[#This Row],[SMB]]/D2085-1</f>
        <v>2.2605363370951412</v>
      </c>
      <c r="F2086" s="3">
        <v>433714835192623</v>
      </c>
      <c r="G2086" s="3">
        <f>[1]!nefin_factors__1[[#This Row],[HML]]/F2085-1</f>
        <v>-0.37336295747086712</v>
      </c>
      <c r="H2086" s="3">
        <v>409918713776491</v>
      </c>
      <c r="I2086" s="4">
        <f>[1]!nefin_factors__1[[#This Row],[Risk_Free]]/H2085-1</f>
        <v>1.7500678117259305E-3</v>
      </c>
      <c r="J2086">
        <v>108337</v>
      </c>
      <c r="K2086">
        <v>108337</v>
      </c>
      <c r="L2086">
        <v>103923</v>
      </c>
      <c r="M2086">
        <v>105304</v>
      </c>
      <c r="N2086">
        <v>13826200</v>
      </c>
      <c r="O2086">
        <v>105304</v>
      </c>
      <c r="P2086">
        <v>-2.8058775751310699E-2</v>
      </c>
      <c r="Q2086">
        <v>-2.8459945229963601E-2</v>
      </c>
      <c r="R2086" s="8">
        <v>11.1525478363037</v>
      </c>
      <c r="S2086" s="8">
        <v>-5.8461516165730497E-2</v>
      </c>
      <c r="T2086" s="9">
        <v>-6.0240056697168802E-2</v>
      </c>
      <c r="U2086" s="12">
        <v>4.3739E-2</v>
      </c>
      <c r="V2086" s="16">
        <v>4.7496999999999998</v>
      </c>
      <c r="W2086" s="17">
        <f t="shared" si="32"/>
        <v>2.3164722233914858E-4</v>
      </c>
    </row>
    <row r="2087" spans="1:23" x14ac:dyDescent="0.2">
      <c r="A2087" s="15">
        <v>44606</v>
      </c>
      <c r="B2087" s="5">
        <v>309401317184586</v>
      </c>
      <c r="C2087" s="5">
        <f>[1]!nefin_factors__1[[#This Row],[Rm_minus_Rf]]/B2086-1</f>
        <v>-0.2045772378950419</v>
      </c>
      <c r="D2087" s="5">
        <v>-959265179979767</v>
      </c>
      <c r="E2087" s="5">
        <f>[1]!nefin_factors__1[[#This Row],[SMB]]/D2086-1</f>
        <v>0.15130168240323671</v>
      </c>
      <c r="F2087" s="5">
        <v>-69059259832461</v>
      </c>
      <c r="G2087" s="5">
        <f>[1]!nefin_factors__1[[#This Row],[HML]]/F2086-1</f>
        <v>-1.1592273407059968</v>
      </c>
      <c r="H2087" s="5">
        <v>412066338871364</v>
      </c>
      <c r="I2087" s="6">
        <f>[1]!nefin_factors__1[[#This Row],[Risk_Free]]/H2086-1</f>
        <v>5.2391486963045963E-3</v>
      </c>
      <c r="J2087">
        <v>105303</v>
      </c>
      <c r="K2087">
        <v>106268</v>
      </c>
      <c r="L2087">
        <v>103984</v>
      </c>
      <c r="M2087">
        <v>105135</v>
      </c>
      <c r="N2087">
        <v>14137700</v>
      </c>
      <c r="O2087">
        <v>105135</v>
      </c>
      <c r="P2087">
        <v>-1.60487730760461E-3</v>
      </c>
      <c r="Q2087">
        <v>-1.60616650270879E-3</v>
      </c>
      <c r="R2087" s="8">
        <v>10.9338703155518</v>
      </c>
      <c r="S2087" s="8">
        <v>-1.96078531974654E-2</v>
      </c>
      <c r="T2087" s="9">
        <v>-1.98026375575945E-2</v>
      </c>
      <c r="U2087" s="12">
        <v>4.3739E-2</v>
      </c>
      <c r="V2087" s="16">
        <v>4.7378</v>
      </c>
      <c r="W2087" s="17">
        <f t="shared" si="32"/>
        <v>-2.505421395035401E-3</v>
      </c>
    </row>
    <row r="2088" spans="1:23" x14ac:dyDescent="0.2">
      <c r="A2088" s="14">
        <v>44607</v>
      </c>
      <c r="B2088" s="3">
        <v>959341149388707</v>
      </c>
      <c r="C2088" s="3">
        <f>[1]!nefin_factors__1[[#This Row],[Rm_minus_Rf]]/B2087-1</f>
        <v>2.1006369272060108</v>
      </c>
      <c r="D2088" s="3">
        <v>179225675978982</v>
      </c>
      <c r="E2088" s="3">
        <f>[1]!nefin_factors__1[[#This Row],[SMB]]/D2087-1</f>
        <v>-1.1868364240874065</v>
      </c>
      <c r="F2088" s="3">
        <v>-667874964182439</v>
      </c>
      <c r="G2088" s="3">
        <f>[1]!nefin_factors__1[[#This Row],[HML]]/F2087-1</f>
        <v>8.6710414476308557</v>
      </c>
      <c r="H2088" s="3">
        <v>412424163907632</v>
      </c>
      <c r="I2088" s="4">
        <f>[1]!nefin_factors__1[[#This Row],[Risk_Free]]/H2087-1</f>
        <v>8.6836754792463111E-4</v>
      </c>
      <c r="J2088">
        <v>105109</v>
      </c>
      <c r="K2088">
        <v>105109</v>
      </c>
      <c r="L2088">
        <v>102768</v>
      </c>
      <c r="M2088">
        <v>103250</v>
      </c>
      <c r="N2088">
        <v>13196700</v>
      </c>
      <c r="O2088">
        <v>103250</v>
      </c>
      <c r="P2088">
        <v>-1.7929328958006401E-2</v>
      </c>
      <c r="Q2088">
        <v>-1.8092006779255598E-2</v>
      </c>
      <c r="R2088" s="8">
        <v>10.2505025863647</v>
      </c>
      <c r="S2088" s="8">
        <v>-6.2500076319272305E-2</v>
      </c>
      <c r="T2088" s="9">
        <v>-6.4538602544798304E-2</v>
      </c>
      <c r="U2088" s="12">
        <v>4.3739E-2</v>
      </c>
      <c r="V2088" s="16">
        <v>4.6984000000000004</v>
      </c>
      <c r="W2088" s="17">
        <f t="shared" si="32"/>
        <v>-8.3160960783484894E-3</v>
      </c>
    </row>
    <row r="2089" spans="1:23" x14ac:dyDescent="0.2">
      <c r="A2089" s="15">
        <v>44608</v>
      </c>
      <c r="B2089" s="5">
        <v>9158502483</v>
      </c>
      <c r="C2089" s="5">
        <f>[1]!nefin_factors__1[[#This Row],[Rm_minus_Rf]]/B2088-1</f>
        <v>-0.99999045334134906</v>
      </c>
      <c r="D2089" s="5">
        <v>225230737876956</v>
      </c>
      <c r="E2089" s="5">
        <f>[1]!nefin_factors__1[[#This Row],[SMB]]/D2088-1</f>
        <v>0.25668789723727459</v>
      </c>
      <c r="F2089" s="5">
        <v>336149443697325</v>
      </c>
      <c r="G2089" s="5">
        <f>[1]!nefin_factors__1[[#This Row],[HML]]/F2088-1</f>
        <v>-1.503311939696397</v>
      </c>
      <c r="H2089" s="5">
        <v>413139717621247</v>
      </c>
      <c r="I2089" s="6">
        <f>[1]!nefin_factors__1[[#This Row],[Risk_Free]]/H2088-1</f>
        <v>1.7349946395848193E-3</v>
      </c>
      <c r="J2089">
        <v>103251</v>
      </c>
      <c r="K2089">
        <v>104286</v>
      </c>
      <c r="L2089">
        <v>102386</v>
      </c>
      <c r="M2089">
        <v>103110</v>
      </c>
      <c r="N2089">
        <v>13507400</v>
      </c>
      <c r="O2089">
        <v>103110</v>
      </c>
      <c r="P2089">
        <v>-1.35593220338981E-3</v>
      </c>
      <c r="Q2089">
        <v>-1.3568523112899101E-3</v>
      </c>
      <c r="R2089" s="8">
        <v>10.8336429595947</v>
      </c>
      <c r="S2089" s="8">
        <v>5.6888954304121303E-2</v>
      </c>
      <c r="T2089" s="9">
        <v>5.5329643946402801E-2</v>
      </c>
      <c r="U2089" s="12">
        <v>4.3739E-2</v>
      </c>
      <c r="V2089" s="16">
        <v>4.6174999999999997</v>
      </c>
      <c r="W2089" s="17">
        <f t="shared" si="32"/>
        <v>-1.7218627617912596E-2</v>
      </c>
    </row>
    <row r="2090" spans="1:23" x14ac:dyDescent="0.2">
      <c r="A2090" s="14">
        <v>44609</v>
      </c>
      <c r="B2090" s="3">
        <v>-130803008109542</v>
      </c>
      <c r="C2090" s="3">
        <f>[1]!nefin_factors__1[[#This Row],[Rm_minus_Rf]]/B2089-1</f>
        <v>-14283.139285580624</v>
      </c>
      <c r="D2090" s="3">
        <v>-535754396333084</v>
      </c>
      <c r="E2090" s="3">
        <f>[1]!nefin_factors__1[[#This Row],[SMB]]/D2089-1</f>
        <v>-3.3786912984575297</v>
      </c>
      <c r="F2090" s="3">
        <v>-376250659762946</v>
      </c>
      <c r="G2090" s="3">
        <f>[1]!nefin_factors__1[[#This Row],[HML]]/F2089-1</f>
        <v>-2.1192957977991744</v>
      </c>
      <c r="H2090" s="3">
        <v>413855142894493</v>
      </c>
      <c r="I2090" s="4">
        <f>[1]!nefin_factors__1[[#This Row],[Risk_Free]]/H2089-1</f>
        <v>1.7316787583756543E-3</v>
      </c>
      <c r="J2090">
        <v>103110</v>
      </c>
      <c r="K2090">
        <v>105374</v>
      </c>
      <c r="L2090">
        <v>103008</v>
      </c>
      <c r="M2090">
        <v>104397</v>
      </c>
      <c r="N2090">
        <v>13425100</v>
      </c>
      <c r="O2090">
        <v>104397</v>
      </c>
      <c r="P2090">
        <v>1.2481815536805401E-2</v>
      </c>
      <c r="Q2090">
        <v>1.2404559873626099E-2</v>
      </c>
      <c r="R2090" s="8">
        <v>10.241392135620099</v>
      </c>
      <c r="S2090" s="8">
        <v>-5.4667744375873899E-2</v>
      </c>
      <c r="T2090" s="9">
        <v>-5.6218820029774602E-2</v>
      </c>
      <c r="U2090" s="12">
        <v>4.3739E-2</v>
      </c>
      <c r="V2090" s="16">
        <v>4.6399999999999997</v>
      </c>
      <c r="W2090" s="17">
        <f t="shared" si="32"/>
        <v>4.8727666486194643E-3</v>
      </c>
    </row>
    <row r="2091" spans="1:23" x14ac:dyDescent="0.2">
      <c r="A2091" s="15">
        <v>44610</v>
      </c>
      <c r="B2091" s="5">
        <v>-626101221960326</v>
      </c>
      <c r="C2091" s="5">
        <f>[1]!nefin_factors__1[[#This Row],[Rm_minus_Rf]]/B2090-1</f>
        <v>3.7865965088202911</v>
      </c>
      <c r="D2091" s="5">
        <v>100299161047379</v>
      </c>
      <c r="E2091" s="5">
        <f>[1]!nefin_factors__1[[#This Row],[SMB]]/D2090-1</f>
        <v>-1.1872110835372818</v>
      </c>
      <c r="F2091" s="5">
        <v>140457972672139</v>
      </c>
      <c r="G2091" s="5">
        <f>[1]!nefin_factors__1[[#This Row],[HML]]/F2090-1</f>
        <v>-1.3733095717642954</v>
      </c>
      <c r="H2091" s="5">
        <v>414570439773998</v>
      </c>
      <c r="I2091" s="6">
        <f>[1]!nefin_factors__1[[#This Row],[Risk_Free]]/H2090-1</f>
        <v>1.7283749925209868E-3</v>
      </c>
      <c r="J2091">
        <v>104395</v>
      </c>
      <c r="K2091">
        <v>105708</v>
      </c>
      <c r="L2091">
        <v>103579</v>
      </c>
      <c r="M2091">
        <v>105688</v>
      </c>
      <c r="N2091">
        <v>13995600</v>
      </c>
      <c r="O2091">
        <v>105688</v>
      </c>
      <c r="P2091">
        <v>1.2366255735318099E-2</v>
      </c>
      <c r="Q2091">
        <v>1.2290418172574801E-2</v>
      </c>
      <c r="R2091" s="8">
        <v>10.842755317688001</v>
      </c>
      <c r="S2091" s="8">
        <v>5.8718890371973802E-2</v>
      </c>
      <c r="T2091" s="9">
        <v>5.7059583196558898E-2</v>
      </c>
      <c r="U2091" s="12">
        <v>4.3739E-2</v>
      </c>
      <c r="V2091" s="16">
        <v>4.6966999999999999</v>
      </c>
      <c r="W2091" s="17">
        <f t="shared" si="32"/>
        <v>1.2219827586206877E-2</v>
      </c>
    </row>
    <row r="2092" spans="1:23" x14ac:dyDescent="0.2">
      <c r="A2092" s="14">
        <v>44613</v>
      </c>
      <c r="B2092" s="3">
        <v>-128658886418989</v>
      </c>
      <c r="C2092" s="3">
        <f>[1]!nefin_factors__1[[#This Row],[Rm_minus_Rf]]/B2091-1</f>
        <v>-0.79450784967938981</v>
      </c>
      <c r="D2092" s="3">
        <v>-240787359844048</v>
      </c>
      <c r="E2092" s="3">
        <f>[1]!nefin_factors__1[[#This Row],[SMB]]/D2091-1</f>
        <v>-3.400691664113777</v>
      </c>
      <c r="F2092" s="3">
        <v>465782213521459</v>
      </c>
      <c r="G2092" s="3">
        <f>[1]!nefin_factors__1[[#This Row],[HML]]/F2091-1</f>
        <v>2.3161678519218065</v>
      </c>
      <c r="H2092" s="3">
        <v>41635812055163</v>
      </c>
      <c r="I2092" s="4">
        <f>[1]!nefin_factors__1[[#This Row],[Risk_Free]]/H2091-1</f>
        <v>-0.89956878720571432</v>
      </c>
      <c r="J2092">
        <v>105691</v>
      </c>
      <c r="K2092">
        <v>107773</v>
      </c>
      <c r="L2092">
        <v>105691</v>
      </c>
      <c r="M2092">
        <v>106924</v>
      </c>
      <c r="N2092">
        <v>12369300</v>
      </c>
      <c r="O2092">
        <v>106924</v>
      </c>
      <c r="P2092">
        <v>1.1694799788055399E-2</v>
      </c>
      <c r="Q2092">
        <v>1.1626944143407999E-2</v>
      </c>
      <c r="R2092" s="8">
        <v>11.899696350097701</v>
      </c>
      <c r="S2092" s="8">
        <v>9.7479008005046497E-2</v>
      </c>
      <c r="T2092" s="9">
        <v>9.30157386818007E-2</v>
      </c>
      <c r="U2092" s="12">
        <v>4.3739E-2</v>
      </c>
      <c r="V2092" s="16">
        <v>4.7422000000000004</v>
      </c>
      <c r="W2092" s="17">
        <f t="shared" si="32"/>
        <v>9.687653032980803E-3</v>
      </c>
    </row>
    <row r="2093" spans="1:23" x14ac:dyDescent="0.2">
      <c r="A2093" s="15">
        <v>44614</v>
      </c>
      <c r="B2093" s="5">
        <v>911136625645346</v>
      </c>
      <c r="C2093" s="5">
        <f>[1]!nefin_factors__1[[#This Row],[Rm_minus_Rf]]/B2092-1</f>
        <v>-8.0818009622603864</v>
      </c>
      <c r="D2093" s="5">
        <v>28401820670991</v>
      </c>
      <c r="E2093" s="5">
        <f>[1]!nefin_factors__1[[#This Row],[SMB]]/D2092-1</f>
        <v>-1.1179539519407753</v>
      </c>
      <c r="F2093" s="5">
        <v>-986642384081889</v>
      </c>
      <c r="G2093" s="5">
        <f>[1]!nefin_factors__1[[#This Row],[HML]]/F2092-1</f>
        <v>-3.1182483045511002</v>
      </c>
      <c r="H2093" s="5">
        <v>417430344274772</v>
      </c>
      <c r="I2093" s="6">
        <f>[1]!nefin_factors__1[[#This Row],[Risk_Free]]/H2092-1</f>
        <v>9.0257524393116544</v>
      </c>
      <c r="J2093">
        <v>108685</v>
      </c>
      <c r="K2093">
        <v>108685</v>
      </c>
      <c r="L2093">
        <v>108199</v>
      </c>
      <c r="M2093">
        <v>108233</v>
      </c>
      <c r="N2093">
        <v>10596900</v>
      </c>
      <c r="O2093">
        <v>108233</v>
      </c>
      <c r="P2093">
        <v>1.22423403538963E-2</v>
      </c>
      <c r="Q2093">
        <v>1.2168008950549401E-2</v>
      </c>
      <c r="R2093" s="8">
        <v>11.899696350097701</v>
      </c>
      <c r="S2093" s="8">
        <v>0</v>
      </c>
      <c r="T2093" s="9">
        <v>0</v>
      </c>
      <c r="U2093" s="12">
        <v>4.3739E-2</v>
      </c>
      <c r="V2093" s="16">
        <v>4.7512999999999996</v>
      </c>
      <c r="W2093" s="17">
        <f t="shared" si="32"/>
        <v>1.9189405761037559E-3</v>
      </c>
    </row>
    <row r="2094" spans="1:23" x14ac:dyDescent="0.2">
      <c r="A2094" s="14">
        <v>44615</v>
      </c>
      <c r="B2094" s="3">
        <v>-571086909098579</v>
      </c>
      <c r="C2094" s="3">
        <f>[1]!nefin_factors__1[[#This Row],[Rm_minus_Rf]]/B2093-1</f>
        <v>-1.6267851527690325</v>
      </c>
      <c r="D2094" s="3">
        <v>133770480072132</v>
      </c>
      <c r="E2094" s="3">
        <f>[1]!nefin_factors__1[[#This Row],[SMB]]/D2093-1</f>
        <v>3.7099262269746758</v>
      </c>
      <c r="F2094" s="3">
        <v>169540874881927</v>
      </c>
      <c r="G2094" s="3">
        <f>[1]!nefin_factors__1[[#This Row],[HML]]/F2093-1</f>
        <v>-1.1718361967996049</v>
      </c>
      <c r="H2094" s="3">
        <v>417430344274772</v>
      </c>
      <c r="I2094" s="4">
        <f>[1]!nefin_factors__1[[#This Row],[Risk_Free]]/H2093-1</f>
        <v>0</v>
      </c>
      <c r="J2094">
        <v>108246</v>
      </c>
      <c r="K2094">
        <v>109774</v>
      </c>
      <c r="L2094">
        <v>108245</v>
      </c>
      <c r="M2094">
        <v>108789</v>
      </c>
      <c r="N2094">
        <v>16503400</v>
      </c>
      <c r="O2094">
        <v>108789</v>
      </c>
      <c r="P2094">
        <v>5.1370654051905397E-3</v>
      </c>
      <c r="Q2094">
        <v>5.1239156994084996E-3</v>
      </c>
      <c r="R2094" s="8">
        <v>11.8905839920044</v>
      </c>
      <c r="S2094" s="8">
        <v>-7.6576391742866302E-4</v>
      </c>
      <c r="T2094" s="9">
        <v>-7.6605726438318397E-4</v>
      </c>
      <c r="U2094" s="12">
        <v>4.3739E-2</v>
      </c>
      <c r="V2094" s="16">
        <v>4.7024999999999997</v>
      </c>
      <c r="W2094" s="17">
        <f t="shared" si="32"/>
        <v>-1.0270873234693667E-2</v>
      </c>
    </row>
    <row r="2095" spans="1:23" x14ac:dyDescent="0.2">
      <c r="A2095" s="15">
        <v>44616</v>
      </c>
      <c r="B2095" s="5">
        <v>-624462056224276</v>
      </c>
      <c r="C2095" s="5">
        <f>[1]!nefin_factors__1[[#This Row],[Rm_minus_Rf]]/B2094-1</f>
        <v>9.3462389481044017E-2</v>
      </c>
      <c r="D2095" s="5">
        <v>-307128476322239</v>
      </c>
      <c r="E2095" s="5">
        <f>[1]!nefin_factors__1[[#This Row],[SMB]]/D2094-1</f>
        <v>-3.2959361150279833</v>
      </c>
      <c r="F2095" s="5">
        <v>-127019557518637</v>
      </c>
      <c r="G2095" s="5">
        <f>[1]!nefin_factors__1[[#This Row],[HML]]/F2094-1</f>
        <v>-1.7491972517370633</v>
      </c>
      <c r="H2095" s="5">
        <v>418859527360427</v>
      </c>
      <c r="I2095" s="6">
        <f>[1]!nefin_factors__1[[#This Row],[Risk_Free]]/H2094-1</f>
        <v>3.4237642405656743E-3</v>
      </c>
      <c r="J2095">
        <v>107903</v>
      </c>
      <c r="K2095">
        <v>108096</v>
      </c>
      <c r="L2095">
        <v>106038</v>
      </c>
      <c r="M2095">
        <v>106247</v>
      </c>
      <c r="N2095">
        <v>14752800</v>
      </c>
      <c r="O2095">
        <v>106247</v>
      </c>
      <c r="P2095">
        <v>-2.3366332993225401E-2</v>
      </c>
      <c r="Q2095">
        <v>-2.36436542576338E-2</v>
      </c>
      <c r="R2095" s="8">
        <v>11.4714517593384</v>
      </c>
      <c r="S2095" s="8">
        <v>-3.5249087256593398E-2</v>
      </c>
      <c r="T2095" s="9">
        <v>-3.5885332471664803E-2</v>
      </c>
      <c r="U2095" s="12">
        <v>4.3739E-2</v>
      </c>
      <c r="V2095" s="16">
        <v>4.6482999999999999</v>
      </c>
      <c r="W2095" s="17">
        <f t="shared" si="32"/>
        <v>-1.152578415736305E-2</v>
      </c>
    </row>
    <row r="2096" spans="1:23" x14ac:dyDescent="0.2">
      <c r="A2096" s="14">
        <v>44617</v>
      </c>
      <c r="B2096" s="3">
        <v>118113082788431</v>
      </c>
      <c r="C2096" s="3">
        <f>[1]!nefin_factors__1[[#This Row],[Rm_minus_Rf]]/B2095-1</f>
        <v>-1.1891437303694408</v>
      </c>
      <c r="D2096" s="3">
        <v>-658941379979929</v>
      </c>
      <c r="E2096" s="3">
        <f>[1]!nefin_factors__1[[#This Row],[SMB]]/D2095-1</f>
        <v>1.1454909940964515</v>
      </c>
      <c r="F2096" s="3">
        <v>43922038900839</v>
      </c>
      <c r="G2096" s="3">
        <f>[1]!nefin_factors__1[[#This Row],[HML]]/F2095-1</f>
        <v>-1.3457895757068319</v>
      </c>
      <c r="H2096" s="3">
        <v>419216743072992</v>
      </c>
      <c r="I2096" s="4">
        <f>[1]!nefin_factors__1[[#This Row],[Risk_Free]]/H2095-1</f>
        <v>8.5282938367448047E-4</v>
      </c>
      <c r="J2096">
        <v>106249</v>
      </c>
      <c r="K2096">
        <v>107420</v>
      </c>
      <c r="L2096">
        <v>105760</v>
      </c>
      <c r="M2096">
        <v>107005</v>
      </c>
      <c r="N2096">
        <v>11426400</v>
      </c>
      <c r="O2096">
        <v>107005</v>
      </c>
      <c r="P2096">
        <v>7.1343190866566299E-3</v>
      </c>
      <c r="Q2096">
        <v>7.1089902303193104E-3</v>
      </c>
      <c r="R2096" s="8">
        <v>11.4805641174316</v>
      </c>
      <c r="S2096" s="8">
        <v>7.9435090557256104E-4</v>
      </c>
      <c r="T2096" s="9">
        <v>7.9403557586920997E-4</v>
      </c>
      <c r="U2096" s="12">
        <v>4.3739E-2</v>
      </c>
      <c r="V2096" s="16">
        <v>4.6810999999999998</v>
      </c>
      <c r="W2096" s="17">
        <f t="shared" si="32"/>
        <v>7.056343179226765E-3</v>
      </c>
    </row>
    <row r="2097" spans="1:23" x14ac:dyDescent="0.2">
      <c r="A2097" s="15">
        <v>44622</v>
      </c>
      <c r="B2097" s="5">
        <v>125334185284935</v>
      </c>
      <c r="C2097" s="5">
        <f>[1]!nefin_factors__1[[#This Row],[Rm_minus_Rf]]/B2096-1</f>
        <v>6.1137194339756062E-2</v>
      </c>
      <c r="D2097" s="5">
        <v>-157164018911762</v>
      </c>
      <c r="E2097" s="5">
        <f>[1]!nefin_factors__1[[#This Row],[SMB]]/D2096-1</f>
        <v>-0.76149013601703208</v>
      </c>
      <c r="F2097" s="5">
        <v>-675772179807922</v>
      </c>
      <c r="G2097" s="5">
        <f>[1]!nefin_factors__1[[#This Row],[HML]]/F2096-1</f>
        <v>-16.385719714277961</v>
      </c>
      <c r="H2097" s="5">
        <v>420288198160979</v>
      </c>
      <c r="I2097" s="6">
        <f>[1]!nefin_factors__1[[#This Row],[Risk_Free]]/H2096-1</f>
        <v>2.5558499408513402E-3</v>
      </c>
      <c r="J2097">
        <v>108520</v>
      </c>
      <c r="K2097">
        <v>108795</v>
      </c>
      <c r="L2097">
        <v>107351</v>
      </c>
      <c r="M2097">
        <v>108488</v>
      </c>
      <c r="N2097">
        <v>12866400</v>
      </c>
      <c r="O2097">
        <v>108488</v>
      </c>
      <c r="P2097">
        <v>1.38591654595579E-2</v>
      </c>
      <c r="Q2097">
        <v>1.3764005443539701E-2</v>
      </c>
      <c r="R2097" s="8">
        <v>11.3347787857056</v>
      </c>
      <c r="S2097" s="8">
        <v>-1.2698446716979599E-2</v>
      </c>
      <c r="T2097" s="9">
        <v>-1.2779761102504301E-2</v>
      </c>
      <c r="U2097" s="12">
        <v>4.3739E-2</v>
      </c>
      <c r="V2097" s="16">
        <v>4.7157999999999998</v>
      </c>
      <c r="W2097" s="17">
        <f t="shared" si="32"/>
        <v>7.4127875926597309E-3</v>
      </c>
    </row>
    <row r="2098" spans="1:23" x14ac:dyDescent="0.2">
      <c r="A2098" s="14">
        <v>44623</v>
      </c>
      <c r="B2098" s="3">
        <v>7558714902</v>
      </c>
      <c r="C2098" s="3">
        <f>[1]!nefin_factors__1[[#This Row],[Rm_minus_Rf]]/B2097-1</f>
        <v>-0.99993969151445139</v>
      </c>
      <c r="D2098" s="3">
        <v>-602042369444713</v>
      </c>
      <c r="E2098" s="3">
        <f>[1]!nefin_factors__1[[#This Row],[SMB]]/D2097-1</f>
        <v>2.8306628553620978</v>
      </c>
      <c r="F2098" s="3">
        <v>109767630532205</v>
      </c>
      <c r="G2098" s="3">
        <f>[1]!nefin_factors__1[[#This Row],[HML]]/F2097-1</f>
        <v>-1.1624328935284147</v>
      </c>
      <c r="H2098" s="3">
        <v>422787140481384</v>
      </c>
      <c r="I2098" s="4">
        <f>[1]!nefin_factors__1[[#This Row],[Risk_Free]]/H2097-1</f>
        <v>5.9457827541657959E-3</v>
      </c>
      <c r="J2098">
        <v>108500</v>
      </c>
      <c r="K2098">
        <v>110680</v>
      </c>
      <c r="L2098">
        <v>108500</v>
      </c>
      <c r="M2098">
        <v>110346</v>
      </c>
      <c r="N2098">
        <v>10682700</v>
      </c>
      <c r="O2098">
        <v>110346</v>
      </c>
      <c r="P2098">
        <v>1.7126318118132901E-2</v>
      </c>
      <c r="Q2098">
        <v>1.6981315959254801E-2</v>
      </c>
      <c r="R2098" s="8">
        <v>10.9885396957397</v>
      </c>
      <c r="S2098" s="8">
        <v>-3.0546612025853299E-2</v>
      </c>
      <c r="T2098" s="9">
        <v>-3.1022883872824501E-2</v>
      </c>
      <c r="U2098" s="12">
        <v>4.3739E-2</v>
      </c>
      <c r="V2098" s="16">
        <v>4.6745999999999999</v>
      </c>
      <c r="W2098" s="17">
        <f t="shared" si="32"/>
        <v>-8.7365876415453902E-3</v>
      </c>
    </row>
    <row r="2099" spans="1:23" x14ac:dyDescent="0.2">
      <c r="A2099" s="15">
        <v>44624</v>
      </c>
      <c r="B2099" s="5">
        <v>-766178422799256</v>
      </c>
      <c r="C2099" s="5">
        <f>[1]!nefin_factors__1[[#This Row],[Rm_minus_Rf]]/B2098-1</f>
        <v>-101364.58266357273</v>
      </c>
      <c r="D2099" s="5">
        <v>-847674201251982</v>
      </c>
      <c r="E2099" s="5">
        <f>[1]!nefin_factors__1[[#This Row],[SMB]]/D2098-1</f>
        <v>0.40799758334919978</v>
      </c>
      <c r="F2099" s="5">
        <v>149936201493879</v>
      </c>
      <c r="G2099" s="5">
        <f>[1]!nefin_factors__1[[#This Row],[HML]]/F2098-1</f>
        <v>0.3659418607008087</v>
      </c>
      <c r="H2099" s="5">
        <v>425641157396406</v>
      </c>
      <c r="I2099" s="6">
        <f>[1]!nefin_factors__1[[#This Row],[Risk_Free]]/H2098-1</f>
        <v>6.7504818424051205E-3</v>
      </c>
      <c r="J2099">
        <v>110340</v>
      </c>
      <c r="K2099">
        <v>110635</v>
      </c>
      <c r="L2099">
        <v>108399</v>
      </c>
      <c r="M2099">
        <v>110581</v>
      </c>
      <c r="N2099">
        <v>11724400</v>
      </c>
      <c r="O2099">
        <v>110581</v>
      </c>
      <c r="P2099">
        <v>2.1296648723108098E-3</v>
      </c>
      <c r="Q2099">
        <v>2.1274003506215498E-3</v>
      </c>
      <c r="R2099" s="8">
        <v>10.2960605621338</v>
      </c>
      <c r="S2099" s="8">
        <v>-6.3018303867476602E-2</v>
      </c>
      <c r="T2099" s="9">
        <v>-6.5091531478248296E-2</v>
      </c>
      <c r="U2099" s="12">
        <v>4.3739E-2</v>
      </c>
      <c r="V2099" s="16">
        <v>4.6664000000000003</v>
      </c>
      <c r="W2099" s="17">
        <f t="shared" si="32"/>
        <v>-1.7541607838102991E-3</v>
      </c>
    </row>
    <row r="2100" spans="1:23" x14ac:dyDescent="0.2">
      <c r="A2100" s="14">
        <v>44627</v>
      </c>
      <c r="B2100" s="3">
        <v>-272869135641944</v>
      </c>
      <c r="C2100" s="3">
        <f>[1]!nefin_factors__1[[#This Row],[Rm_minus_Rf]]/B2099-1</f>
        <v>-0.64385693002811495</v>
      </c>
      <c r="D2100" s="3">
        <v>-202926464520023</v>
      </c>
      <c r="E2100" s="3">
        <f>[1]!nefin_factors__1[[#This Row],[SMB]]/D2099-1</f>
        <v>-0.76060795029469053</v>
      </c>
      <c r="F2100" s="3">
        <v>-275284471751452</v>
      </c>
      <c r="G2100" s="3">
        <f>[1]!nefin_factors__1[[#This Row],[HML]]/F2099-1</f>
        <v>-2.836010709946458</v>
      </c>
      <c r="H2100" s="3">
        <v>428849485544447</v>
      </c>
      <c r="I2100" s="4">
        <f>[1]!nefin_factors__1[[#This Row],[Risk_Free]]/H2099-1</f>
        <v>7.5376360868528725E-3</v>
      </c>
      <c r="J2100">
        <v>110085</v>
      </c>
      <c r="K2100">
        <v>111006</v>
      </c>
      <c r="L2100">
        <v>109699</v>
      </c>
      <c r="M2100">
        <v>110580</v>
      </c>
      <c r="N2100">
        <v>10737700</v>
      </c>
      <c r="O2100">
        <v>110580</v>
      </c>
      <c r="P2100">
        <v>-9.0431448440675393E-6</v>
      </c>
      <c r="Q2100">
        <v>-9.0431857335483902E-6</v>
      </c>
      <c r="R2100" s="8">
        <v>9.8587064743041992</v>
      </c>
      <c r="S2100" s="8">
        <v>-4.24778083996575E-2</v>
      </c>
      <c r="T2100" s="9">
        <v>-4.3406381589807599E-2</v>
      </c>
      <c r="U2100" s="12">
        <v>4.3739E-2</v>
      </c>
      <c r="V2100" s="16">
        <v>4.6397000000000004</v>
      </c>
      <c r="W2100" s="17">
        <f t="shared" si="32"/>
        <v>-5.7217555288873179E-3</v>
      </c>
    </row>
    <row r="2101" spans="1:23" x14ac:dyDescent="0.2">
      <c r="A2101" s="15">
        <v>44628</v>
      </c>
      <c r="B2101" s="5">
        <v>-120820366960255</v>
      </c>
      <c r="C2101" s="5">
        <f>[1]!nefin_factors__1[[#This Row],[Rm_minus_Rf]]/B2100-1</f>
        <v>-0.55722230483848412</v>
      </c>
      <c r="D2101" s="5">
        <v>10977812496517</v>
      </c>
      <c r="E2101" s="5">
        <f>[1]!nefin_factors__1[[#This Row],[SMB]]/D2100-1</f>
        <v>-1.0540974905490152</v>
      </c>
      <c r="F2101" s="5">
        <v>419758647910719</v>
      </c>
      <c r="G2101" s="5">
        <f>[1]!nefin_factors__1[[#This Row],[HML]]/F2100-1</f>
        <v>-2.5248177466751898</v>
      </c>
      <c r="H2101" s="5">
        <v>42991835462125</v>
      </c>
      <c r="I2101" s="6">
        <f>[1]!nefin_factors__1[[#This Row],[Risk_Free]]/H2100-1</f>
        <v>-0.89975075892292466</v>
      </c>
      <c r="J2101">
        <v>110577</v>
      </c>
      <c r="K2101">
        <v>112102</v>
      </c>
      <c r="L2101">
        <v>110388</v>
      </c>
      <c r="M2101">
        <v>111890</v>
      </c>
      <c r="N2101">
        <v>13077400</v>
      </c>
      <c r="O2101">
        <v>111890</v>
      </c>
      <c r="P2101">
        <v>1.18466268764694E-2</v>
      </c>
      <c r="Q2101">
        <v>1.1777004909842801E-2</v>
      </c>
      <c r="R2101" s="8">
        <v>10.523850440979</v>
      </c>
      <c r="S2101" s="8">
        <v>6.7467671180640107E-2</v>
      </c>
      <c r="T2101" s="9">
        <v>6.5289181053754905E-2</v>
      </c>
      <c r="U2101" s="12">
        <v>4.3739E-2</v>
      </c>
      <c r="V2101" s="16">
        <v>4.7325999999999997</v>
      </c>
      <c r="W2101" s="17">
        <f t="shared" si="32"/>
        <v>2.0022846304717845E-2</v>
      </c>
    </row>
    <row r="2102" spans="1:23" x14ac:dyDescent="0.2">
      <c r="A2102" s="14">
        <v>44629</v>
      </c>
      <c r="B2102" s="3">
        <v>266644791175525</v>
      </c>
      <c r="C2102" s="3">
        <f>[1]!nefin_factors__1[[#This Row],[Rm_minus_Rf]]/B2101-1</f>
        <v>-3.2069523366307959</v>
      </c>
      <c r="D2102" s="3">
        <v>761042421872388</v>
      </c>
      <c r="E2102" s="3">
        <f>[1]!nefin_factors__1[[#This Row],[SMB]]/D2101-1</f>
        <v>68.325507437283036</v>
      </c>
      <c r="F2102" s="3">
        <v>-10446566590517</v>
      </c>
      <c r="G2102" s="3">
        <f>[1]!nefin_factors__1[[#This Row],[HML]]/F2101-1</f>
        <v>-1.0248870789023956</v>
      </c>
      <c r="H2102" s="3">
        <v>4302745806255</v>
      </c>
      <c r="I2102" s="4">
        <f>[1]!nefin_factors__1[[#This Row],[Risk_Free]]/H2101-1</f>
        <v>-0.8999171410105149</v>
      </c>
      <c r="J2102">
        <v>111890</v>
      </c>
      <c r="K2102">
        <v>112441</v>
      </c>
      <c r="L2102">
        <v>111558</v>
      </c>
      <c r="M2102">
        <v>111942</v>
      </c>
      <c r="N2102">
        <v>9979300</v>
      </c>
      <c r="O2102">
        <v>111942</v>
      </c>
      <c r="P2102">
        <v>4.6474215747616099E-4</v>
      </c>
      <c r="Q2102">
        <v>4.6463419828718898E-4</v>
      </c>
      <c r="R2102" s="8">
        <v>10.305172920226999</v>
      </c>
      <c r="S2102" s="8">
        <v>-2.0779231135824701E-2</v>
      </c>
      <c r="T2102" s="9">
        <v>-2.0998157416146201E-2</v>
      </c>
      <c r="U2102" s="12">
        <v>4.3739E-2</v>
      </c>
      <c r="V2102" s="16">
        <v>4.8818000000000001</v>
      </c>
      <c r="W2102" s="17">
        <f t="shared" si="32"/>
        <v>3.1526011072138038E-2</v>
      </c>
    </row>
    <row r="2103" spans="1:23" x14ac:dyDescent="0.2">
      <c r="A2103" s="15">
        <v>44630</v>
      </c>
      <c r="B2103" s="5">
        <v>-326891542926944</v>
      </c>
      <c r="C2103" s="5">
        <f>[1]!nefin_factors__1[[#This Row],[Rm_minus_Rf]]/B2102-1</f>
        <v>-2.2259438539407288</v>
      </c>
      <c r="D2103" s="5">
        <v>10634595691416</v>
      </c>
      <c r="E2103" s="5">
        <f>[1]!nefin_factors__1[[#This Row],[SMB]]/D2102-1</f>
        <v>-0.98602627739824045</v>
      </c>
      <c r="F2103" s="5">
        <v>442701523728671</v>
      </c>
      <c r="G2103" s="5">
        <f>[1]!nefin_factors__1[[#This Row],[HML]]/F2102-1</f>
        <v>-43.377705621532989</v>
      </c>
      <c r="H2103" s="5">
        <v>43205523324108</v>
      </c>
      <c r="I2103" s="6">
        <f>[1]!nefin_factors__1[[#This Row],[Risk_Free]]/H2102-1</f>
        <v>9.0413840997297914</v>
      </c>
      <c r="J2103">
        <v>111944</v>
      </c>
      <c r="K2103">
        <v>112690</v>
      </c>
      <c r="L2103">
        <v>110655</v>
      </c>
      <c r="M2103">
        <v>111032</v>
      </c>
      <c r="N2103">
        <v>7284500</v>
      </c>
      <c r="O2103">
        <v>111032</v>
      </c>
      <c r="P2103">
        <v>-8.1292097693448397E-3</v>
      </c>
      <c r="Q2103">
        <v>-8.16243196437824E-3</v>
      </c>
      <c r="R2103" s="8">
        <v>10.040937423706101</v>
      </c>
      <c r="S2103" s="8">
        <v>-2.56410541158755E-2</v>
      </c>
      <c r="T2103" s="9">
        <v>-2.5975515627449101E-2</v>
      </c>
      <c r="U2103" s="12">
        <v>4.3739E-2</v>
      </c>
      <c r="V2103" s="16">
        <v>4.9665999999999997</v>
      </c>
      <c r="W2103" s="17">
        <f t="shared" si="32"/>
        <v>1.7370641976320211E-2</v>
      </c>
    </row>
    <row r="2104" spans="1:23" x14ac:dyDescent="0.2">
      <c r="A2104" s="14">
        <v>44631</v>
      </c>
      <c r="B2104" s="3">
        <v>-183559575764122</v>
      </c>
      <c r="C2104" s="3">
        <f>[1]!nefin_factors__1[[#This Row],[Rm_minus_Rf]]/B2103-1</f>
        <v>-0.43846948709485223</v>
      </c>
      <c r="D2104" s="3">
        <v>-243559222306253</v>
      </c>
      <c r="E2104" s="3">
        <f>[1]!nefin_factors__1[[#This Row],[SMB]]/D2103-1</f>
        <v>-23.902537094367243</v>
      </c>
      <c r="F2104" s="3">
        <v>983523696626511</v>
      </c>
      <c r="G2104" s="3">
        <f>[1]!nefin_factors__1[[#This Row],[HML]]/F2103-1</f>
        <v>1.2216406402732569</v>
      </c>
      <c r="H2104" s="3">
        <v>433835090704049</v>
      </c>
      <c r="I2104" s="4">
        <f>[1]!nefin_factors__1[[#This Row],[Risk_Free]]/H2103-1</f>
        <v>9.041195137242461</v>
      </c>
      <c r="J2104">
        <v>111036</v>
      </c>
      <c r="K2104">
        <v>111903</v>
      </c>
      <c r="L2104">
        <v>110685</v>
      </c>
      <c r="M2104">
        <v>111351</v>
      </c>
      <c r="N2104">
        <v>15809400</v>
      </c>
      <c r="O2104">
        <v>111351</v>
      </c>
      <c r="P2104">
        <v>2.8730456084731198E-3</v>
      </c>
      <c r="Q2104">
        <v>2.8689263010249202E-3</v>
      </c>
      <c r="R2104" s="8">
        <v>9.9498224258422905</v>
      </c>
      <c r="S2104" s="8">
        <v>-9.0743517282213491E-3</v>
      </c>
      <c r="T2104" s="9">
        <v>-9.1157744377730193E-3</v>
      </c>
      <c r="U2104" s="12">
        <v>4.3739E-2</v>
      </c>
      <c r="V2104" s="16">
        <v>5.0167000000000002</v>
      </c>
      <c r="W2104" s="17">
        <f t="shared" si="32"/>
        <v>1.0087383723271559E-2</v>
      </c>
    </row>
    <row r="2105" spans="1:23" x14ac:dyDescent="0.2">
      <c r="A2105" s="15">
        <v>44634</v>
      </c>
      <c r="B2105" s="5">
        <v>-125727364791669</v>
      </c>
      <c r="C2105" s="5">
        <f>[1]!nefin_factors__1[[#This Row],[Rm_minus_Rf]]/B2104-1</f>
        <v>-0.31505962427570999</v>
      </c>
      <c r="D2105" s="5">
        <v>-134025351748263</v>
      </c>
      <c r="E2105" s="5">
        <f>[1]!nefin_factors__1[[#This Row],[SMB]]/D2104-1</f>
        <v>-0.4497217125297821</v>
      </c>
      <c r="F2105" s="5">
        <v>967762273353575</v>
      </c>
      <c r="G2105" s="5">
        <f>[1]!nefin_factors__1[[#This Row],[HML]]/F2104-1</f>
        <v>-1.6025463674131823E-2</v>
      </c>
      <c r="H2105" s="5">
        <v>43668121050211</v>
      </c>
      <c r="I2105" s="6">
        <f>[1]!nefin_factors__1[[#This Row],[Risk_Free]]/H2104-1</f>
        <v>-0.89934396275012185</v>
      </c>
      <c r="J2105">
        <v>111351</v>
      </c>
      <c r="K2105">
        <v>111931</v>
      </c>
      <c r="L2105">
        <v>110822</v>
      </c>
      <c r="M2105">
        <v>111360</v>
      </c>
      <c r="N2105">
        <v>9790200</v>
      </c>
      <c r="O2105">
        <v>111360</v>
      </c>
      <c r="P2105">
        <v>8.0825497750458607E-5</v>
      </c>
      <c r="Q2105">
        <v>8.0822231545909094E-5</v>
      </c>
      <c r="R2105" s="8">
        <v>9.8404827117919904</v>
      </c>
      <c r="S2105" s="8">
        <v>-1.09891121037808E-2</v>
      </c>
      <c r="T2105" s="9">
        <v>-1.10499384248575E-2</v>
      </c>
      <c r="U2105" s="12">
        <v>4.3739E-2</v>
      </c>
      <c r="V2105" s="16">
        <v>5.0110000000000001</v>
      </c>
      <c r="W2105" s="17">
        <f t="shared" si="32"/>
        <v>-1.1362050750493013E-3</v>
      </c>
    </row>
    <row r="2106" spans="1:23" x14ac:dyDescent="0.2">
      <c r="A2106" s="14">
        <v>44635</v>
      </c>
      <c r="B2106" s="3">
        <v>-746331093933151</v>
      </c>
      <c r="C2106" s="3">
        <f>[1]!nefin_factors__1[[#This Row],[Rm_minus_Rf]]/B2105-1</f>
        <v>4.9361070294428435</v>
      </c>
      <c r="D2106" s="3">
        <v>177386976300592</v>
      </c>
      <c r="E2106" s="3">
        <f>[1]!nefin_factors__1[[#This Row],[SMB]]/D2105-1</f>
        <v>-2.3235330031722223</v>
      </c>
      <c r="F2106" s="3">
        <v>-763018519842681</v>
      </c>
      <c r="G2106" s="3">
        <f>[1]!nefin_factors__1[[#This Row],[HML]]/F2105-1</f>
        <v>-1.7884359008939272</v>
      </c>
      <c r="H2106" s="3">
        <v>435969871059427</v>
      </c>
      <c r="I2106" s="4">
        <f>[1]!nefin_factors__1[[#This Row],[Risk_Free]]/H2105-1</f>
        <v>8.9837103263072606</v>
      </c>
      <c r="J2106">
        <v>111363</v>
      </c>
      <c r="K2106">
        <v>112709</v>
      </c>
      <c r="L2106">
        <v>111218</v>
      </c>
      <c r="M2106">
        <v>112393</v>
      </c>
      <c r="N2106">
        <v>10051100</v>
      </c>
      <c r="O2106">
        <v>112393</v>
      </c>
      <c r="P2106">
        <v>9.2762212643677806E-3</v>
      </c>
      <c r="Q2106">
        <v>9.2334613540809608E-3</v>
      </c>
      <c r="R2106" s="8">
        <v>9.8222599029540998</v>
      </c>
      <c r="S2106" s="8">
        <v>-1.8518206242113E-3</v>
      </c>
      <c r="T2106" s="9">
        <v>-1.8535373637466001E-3</v>
      </c>
      <c r="U2106" s="12">
        <v>4.3739E-2</v>
      </c>
      <c r="V2106" s="16">
        <v>4.9191000000000003</v>
      </c>
      <c r="W2106" s="17">
        <f t="shared" si="32"/>
        <v>-1.8339652763919356E-2</v>
      </c>
    </row>
    <row r="2107" spans="1:23" x14ac:dyDescent="0.2">
      <c r="A2107" s="15">
        <v>44636</v>
      </c>
      <c r="B2107" s="5">
        <v>16540021418751</v>
      </c>
      <c r="C2107" s="5">
        <f>[1]!nefin_factors__1[[#This Row],[Rm_minus_Rf]]/B2106-1</f>
        <v>-1.0221617745169713</v>
      </c>
      <c r="D2107" s="5">
        <v>-233214038292099</v>
      </c>
      <c r="E2107" s="5">
        <f>[1]!nefin_factors__1[[#This Row],[SMB]]/D2106-1</f>
        <v>-2.3147190574853984</v>
      </c>
      <c r="F2107" s="5">
        <v>-164652838188341</v>
      </c>
      <c r="G2107" s="5">
        <f>[1]!nefin_factors__1[[#This Row],[HML]]/F2106-1</f>
        <v>-0.78420859532703202</v>
      </c>
      <c r="H2107" s="5">
        <v>438103508646037</v>
      </c>
      <c r="I2107" s="6">
        <f>[1]!nefin_factors__1[[#This Row],[Risk_Free]]/H2106-1</f>
        <v>4.8940023800845278E-3</v>
      </c>
      <c r="J2107">
        <v>112392</v>
      </c>
      <c r="K2107">
        <v>112392</v>
      </c>
      <c r="L2107">
        <v>110935</v>
      </c>
      <c r="M2107">
        <v>111102</v>
      </c>
      <c r="N2107">
        <v>8757500</v>
      </c>
      <c r="O2107">
        <v>111102</v>
      </c>
      <c r="P2107">
        <v>-1.1486480474762599E-2</v>
      </c>
      <c r="Q2107">
        <v>-1.1552959656456601E-2</v>
      </c>
      <c r="R2107" s="8">
        <v>9.6126937866210902</v>
      </c>
      <c r="S2107" s="8">
        <v>-2.13358349711332E-2</v>
      </c>
      <c r="T2107" s="9">
        <v>-2.15667340885216E-2</v>
      </c>
      <c r="U2107" s="12">
        <v>4.3739E-2</v>
      </c>
      <c r="V2107" s="16">
        <v>5.0266000000000002</v>
      </c>
      <c r="W2107" s="17">
        <f t="shared" si="32"/>
        <v>2.1853591104063819E-2</v>
      </c>
    </row>
    <row r="2108" spans="1:23" x14ac:dyDescent="0.2">
      <c r="A2108" s="14">
        <v>44637</v>
      </c>
      <c r="B2108" s="3">
        <v>16545996139976</v>
      </c>
      <c r="C2108" s="3">
        <f>[1]!nefin_factors__1[[#This Row],[Rm_minus_Rf]]/B2107-1</f>
        <v>3.6122814316463803E-4</v>
      </c>
      <c r="D2108" s="3">
        <v>-123804395072522</v>
      </c>
      <c r="E2108" s="3">
        <f>[1]!nefin_factors__1[[#This Row],[SMB]]/D2107-1</f>
        <v>-0.46913832469442585</v>
      </c>
      <c r="F2108" s="3">
        <v>-820643355456967</v>
      </c>
      <c r="G2108" s="3">
        <f>[1]!nefin_factors__1[[#This Row],[HML]]/F2107-1</f>
        <v>3.984082658315673</v>
      </c>
      <c r="H2108" s="3">
        <v>437392423015881</v>
      </c>
      <c r="I2108" s="4">
        <f>[1]!nefin_factors__1[[#This Row],[Risk_Free]]/H2107-1</f>
        <v>-1.623099601173239E-3</v>
      </c>
      <c r="J2108">
        <v>111102</v>
      </c>
      <c r="K2108">
        <v>111935</v>
      </c>
      <c r="L2108">
        <v>110015</v>
      </c>
      <c r="M2108">
        <v>110186</v>
      </c>
      <c r="N2108">
        <v>8212400</v>
      </c>
      <c r="O2108">
        <v>110186</v>
      </c>
      <c r="P2108">
        <v>-8.2446760634371508E-3</v>
      </c>
      <c r="Q2108">
        <v>-8.2788513776921296E-3</v>
      </c>
      <c r="R2108" s="8">
        <v>9.3575706481933594</v>
      </c>
      <c r="S2108" s="8">
        <v>-2.6540233579770801E-2</v>
      </c>
      <c r="T2108" s="9">
        <v>-2.6898783816720201E-2</v>
      </c>
      <c r="U2108" s="12">
        <v>4.3739E-2</v>
      </c>
      <c r="V2108" s="16">
        <v>5.0167000000000002</v>
      </c>
      <c r="W2108" s="17">
        <f t="shared" si="32"/>
        <v>-1.9695221422034725E-3</v>
      </c>
    </row>
    <row r="2109" spans="1:23" x14ac:dyDescent="0.2">
      <c r="A2109" s="15">
        <v>44638</v>
      </c>
      <c r="B2109" s="5">
        <v>206140100656576</v>
      </c>
      <c r="C2109" s="5">
        <f>[1]!nefin_factors__1[[#This Row],[Rm_minus_Rf]]/B2108-1</f>
        <v>11.458609255838676</v>
      </c>
      <c r="D2109" s="5">
        <v>207794730778995</v>
      </c>
      <c r="E2109" s="5">
        <f>[1]!nefin_factors__1[[#This Row],[SMB]]/D2108-1</f>
        <v>-2.6784115835085922</v>
      </c>
      <c r="F2109" s="5">
        <v>-213433830684243</v>
      </c>
      <c r="G2109" s="5">
        <f>[1]!nefin_factors__1[[#This Row],[HML]]/F2108-1</f>
        <v>-0.73991889501695352</v>
      </c>
      <c r="H2109" s="5">
        <v>437392423015881</v>
      </c>
      <c r="I2109" s="6">
        <f>[1]!nefin_factors__1[[#This Row],[Risk_Free]]/H2108-1</f>
        <v>0</v>
      </c>
      <c r="J2109">
        <v>110185</v>
      </c>
      <c r="K2109">
        <v>110435</v>
      </c>
      <c r="L2109">
        <v>109394</v>
      </c>
      <c r="M2109">
        <v>110070</v>
      </c>
      <c r="N2109">
        <v>9466200</v>
      </c>
      <c r="O2109">
        <v>110070</v>
      </c>
      <c r="P2109">
        <v>-1.05276532408838E-3</v>
      </c>
      <c r="Q2109">
        <v>-1.05331987074134E-3</v>
      </c>
      <c r="R2109" s="8">
        <v>9.3575706481933594</v>
      </c>
      <c r="S2109" s="8">
        <v>0</v>
      </c>
      <c r="T2109" s="9">
        <v>0</v>
      </c>
      <c r="U2109" s="12">
        <v>4.3739E-2</v>
      </c>
      <c r="V2109" s="16">
        <v>5.0092999999999996</v>
      </c>
      <c r="W2109" s="17">
        <f t="shared" si="32"/>
        <v>-1.4750732553273638E-3</v>
      </c>
    </row>
    <row r="2110" spans="1:23" x14ac:dyDescent="0.2">
      <c r="A2110" s="14">
        <v>44641</v>
      </c>
      <c r="B2110" s="3">
        <v>627706426541894</v>
      </c>
      <c r="C2110" s="3">
        <f>[1]!nefin_factors__1[[#This Row],[Rm_minus_Rf]]/B2109-1</f>
        <v>2.0450476377113858</v>
      </c>
      <c r="D2110" s="3">
        <v>-612446503202324</v>
      </c>
      <c r="E2110" s="3">
        <f>[1]!nefin_factors__1[[#This Row],[SMB]]/D2109-1</f>
        <v>-3.9473630101511379</v>
      </c>
      <c r="F2110" s="3">
        <v>171333226392083</v>
      </c>
      <c r="G2110" s="3">
        <f>[1]!nefin_factors__1[[#This Row],[HML]]/F2109-1</f>
        <v>-1.8027463398975196</v>
      </c>
      <c r="H2110" s="3">
        <v>437392423015881</v>
      </c>
      <c r="I2110" s="4">
        <f>[1]!nefin_factors__1[[#This Row],[Risk_Free]]/H2109-1</f>
        <v>0</v>
      </c>
      <c r="J2110">
        <v>110067</v>
      </c>
      <c r="K2110">
        <v>110142</v>
      </c>
      <c r="L2110">
        <v>108045</v>
      </c>
      <c r="M2110">
        <v>108368</v>
      </c>
      <c r="N2110">
        <v>10379900</v>
      </c>
      <c r="O2110">
        <v>108368</v>
      </c>
      <c r="P2110">
        <v>-1.5462887253565901E-2</v>
      </c>
      <c r="Q2110">
        <v>-1.55836845627525E-2</v>
      </c>
      <c r="R2110" s="8">
        <v>9.1753387451171893</v>
      </c>
      <c r="S2110" s="8">
        <v>-1.9474274886864502E-2</v>
      </c>
      <c r="T2110" s="9">
        <v>-1.9666396960554999E-2</v>
      </c>
      <c r="U2110" s="12">
        <v>4.7279000000000002E-2</v>
      </c>
      <c r="V2110" s="16">
        <v>5.0050999999999997</v>
      </c>
      <c r="W2110" s="17">
        <f t="shared" si="32"/>
        <v>-8.3844050066872455E-4</v>
      </c>
    </row>
    <row r="2111" spans="1:23" x14ac:dyDescent="0.2">
      <c r="A2111" s="15">
        <v>44642</v>
      </c>
      <c r="B2111" s="5">
        <v>995130232558537</v>
      </c>
      <c r="C2111" s="5">
        <f>[1]!nefin_factors__1[[#This Row],[Rm_minus_Rf]]/B2110-1</f>
        <v>0.58534338741889647</v>
      </c>
      <c r="D2111" s="5">
        <v>-95286118735121</v>
      </c>
      <c r="E2111" s="5">
        <f>[1]!nefin_factors__1[[#This Row],[SMB]]/D2110-1</f>
        <v>-0.8444172376903214</v>
      </c>
      <c r="F2111" s="5">
        <v>-983430348754631</v>
      </c>
      <c r="G2111" s="5">
        <f>[1]!nefin_factors__1[[#This Row],[HML]]/F2110-1</f>
        <v>-6.7398694314208836</v>
      </c>
      <c r="H2111" s="5">
        <v>437392423015881</v>
      </c>
      <c r="I2111" s="6">
        <f>[1]!nefin_factors__1[[#This Row],[Risk_Free]]/H2110-1</f>
        <v>0</v>
      </c>
      <c r="J2111">
        <v>108367</v>
      </c>
      <c r="K2111">
        <v>108510</v>
      </c>
      <c r="L2111">
        <v>107068</v>
      </c>
      <c r="M2111">
        <v>107094</v>
      </c>
      <c r="N2111">
        <v>11955500</v>
      </c>
      <c r="O2111">
        <v>107094</v>
      </c>
      <c r="P2111">
        <v>-1.1756238003838701E-2</v>
      </c>
      <c r="Q2111">
        <v>-1.18258889971221E-2</v>
      </c>
      <c r="R2111" s="8">
        <v>8.9566621780395508</v>
      </c>
      <c r="S2111" s="8">
        <v>-2.38330783366455E-2</v>
      </c>
      <c r="T2111" s="9">
        <v>-2.4121680897953399E-2</v>
      </c>
      <c r="U2111" s="12">
        <v>4.7279000000000002E-2</v>
      </c>
      <c r="V2111" s="16">
        <v>5.0750000000000002</v>
      </c>
      <c r="W2111" s="17">
        <f t="shared" si="32"/>
        <v>1.396575492997143E-2</v>
      </c>
    </row>
    <row r="2112" spans="1:23" x14ac:dyDescent="0.2">
      <c r="A2112" s="14">
        <v>44643</v>
      </c>
      <c r="B2112" s="3">
        <v>928425056445342</v>
      </c>
      <c r="C2112" s="3">
        <f>[1]!nefin_factors__1[[#This Row],[Rm_minus_Rf]]/B2111-1</f>
        <v>-6.7031604438036352E-2</v>
      </c>
      <c r="D2112" s="3">
        <v>993794058793792</v>
      </c>
      <c r="E2112" s="3">
        <f>[1]!nefin_factors__1[[#This Row],[SMB]]/D2111-1</f>
        <v>-11.429578536579587</v>
      </c>
      <c r="F2112" s="3">
        <v>-574284665364712</v>
      </c>
      <c r="G2112" s="3">
        <f>[1]!nefin_factors__1[[#This Row],[HML]]/F2111-1</f>
        <v>-0.41603930965527092</v>
      </c>
      <c r="H2112" s="3">
        <v>437392423015881</v>
      </c>
      <c r="I2112" s="4">
        <f>[1]!nefin_factors__1[[#This Row],[Risk_Free]]/H2111-1</f>
        <v>0</v>
      </c>
      <c r="J2112">
        <v>107091</v>
      </c>
      <c r="K2112">
        <v>107092</v>
      </c>
      <c r="L2112">
        <v>104648</v>
      </c>
      <c r="M2112">
        <v>105481</v>
      </c>
      <c r="N2112">
        <v>12840500</v>
      </c>
      <c r="O2112">
        <v>105481</v>
      </c>
      <c r="P2112">
        <v>-1.5061534726502001E-2</v>
      </c>
      <c r="Q2112">
        <v>-1.51761115650479E-2</v>
      </c>
      <c r="R2112" s="8">
        <v>8.4737491607665998</v>
      </c>
      <c r="S2112" s="8">
        <v>-5.39166273856998E-2</v>
      </c>
      <c r="T2112" s="9">
        <v>-5.5424582086041299E-2</v>
      </c>
      <c r="U2112" s="12">
        <v>4.7279000000000002E-2</v>
      </c>
      <c r="V2112" s="16">
        <v>5.1340000000000003</v>
      </c>
      <c r="W2112" s="17">
        <f t="shared" si="32"/>
        <v>1.1625615763546815E-2</v>
      </c>
    </row>
    <row r="2113" spans="1:23" x14ac:dyDescent="0.2">
      <c r="A2113" s="15">
        <v>44644</v>
      </c>
      <c r="B2113" s="5">
        <v>127022868451462</v>
      </c>
      <c r="C2113" s="5">
        <f>[1]!nefin_factors__1[[#This Row],[Rm_minus_Rf]]/B2112-1</f>
        <v>-0.86318457524423775</v>
      </c>
      <c r="D2113" s="5">
        <v>1568279906754</v>
      </c>
      <c r="E2113" s="5">
        <f>[1]!nefin_factors__1[[#This Row],[SMB]]/D2112-1</f>
        <v>-0.99842192666289686</v>
      </c>
      <c r="F2113" s="5">
        <v>-305190988365258</v>
      </c>
      <c r="G2113" s="5">
        <f>[1]!nefin_factors__1[[#This Row],[HML]]/F2112-1</f>
        <v>-0.46857193518925011</v>
      </c>
      <c r="H2113" s="5">
        <v>437392423015881</v>
      </c>
      <c r="I2113" s="6">
        <f>[1]!nefin_factors__1[[#This Row],[Risk_Free]]/H2112-1</f>
        <v>0</v>
      </c>
      <c r="J2113">
        <v>105476</v>
      </c>
      <c r="K2113">
        <v>105478</v>
      </c>
      <c r="L2113">
        <v>101700</v>
      </c>
      <c r="M2113">
        <v>102598</v>
      </c>
      <c r="N2113">
        <v>13837900</v>
      </c>
      <c r="O2113">
        <v>102598</v>
      </c>
      <c r="P2113">
        <v>-2.7331936557294701E-2</v>
      </c>
      <c r="Q2113">
        <v>-2.77124025410911E-2</v>
      </c>
      <c r="R2113" s="8">
        <v>7.4805889129638699</v>
      </c>
      <c r="S2113" s="8">
        <v>-0.11720434827137199</v>
      </c>
      <c r="T2113" s="9">
        <v>-0.124661530156965</v>
      </c>
      <c r="U2113" s="12">
        <v>4.7279000000000002E-2</v>
      </c>
      <c r="V2113" s="16">
        <v>5.1390000000000002</v>
      </c>
      <c r="W2113" s="17">
        <f t="shared" si="32"/>
        <v>9.7389949357218342E-4</v>
      </c>
    </row>
    <row r="2114" spans="1:23" x14ac:dyDescent="0.2">
      <c r="A2114" s="14">
        <v>44645</v>
      </c>
      <c r="B2114" s="3">
        <v>107087443676626</v>
      </c>
      <c r="C2114" s="3">
        <f>[1]!nefin_factors__1[[#This Row],[Rm_minus_Rf]]/B2113-1</f>
        <v>-0.15694358833074007</v>
      </c>
      <c r="D2114" s="3">
        <v>17663516514991</v>
      </c>
      <c r="E2114" s="3">
        <f>[1]!nefin_factors__1[[#This Row],[SMB]]/D2113-1</f>
        <v>10.262987199492121</v>
      </c>
      <c r="F2114" s="3">
        <v>-318915709783465</v>
      </c>
      <c r="G2114" s="3">
        <f>[1]!nefin_factors__1[[#This Row],[HML]]/F2113-1</f>
        <v>4.4970926211559625E-2</v>
      </c>
      <c r="H2114" s="3">
        <v>437392423015881</v>
      </c>
      <c r="I2114" s="4">
        <f>[1]!nefin_factors__1[[#This Row],[Risk_Free]]/H2113-1</f>
        <v>0</v>
      </c>
      <c r="J2114">
        <v>102598</v>
      </c>
      <c r="K2114">
        <v>103328</v>
      </c>
      <c r="L2114">
        <v>101325</v>
      </c>
      <c r="M2114">
        <v>102063</v>
      </c>
      <c r="N2114">
        <v>11563200</v>
      </c>
      <c r="O2114">
        <v>102063</v>
      </c>
      <c r="P2114">
        <v>-5.2145265989590496E-3</v>
      </c>
      <c r="Q2114">
        <v>-5.2281696916315597E-3</v>
      </c>
      <c r="R2114" s="8">
        <v>7.0545291900634801</v>
      </c>
      <c r="S2114" s="8">
        <v>-5.6955371810637603E-2</v>
      </c>
      <c r="T2114" s="9">
        <v>-5.8641671710965598E-2</v>
      </c>
      <c r="U2114" s="12">
        <v>4.7279000000000002E-2</v>
      </c>
      <c r="V2114" s="16">
        <v>5.1243999999999996</v>
      </c>
      <c r="W2114" s="17">
        <f t="shared" si="32"/>
        <v>-2.841019653629262E-3</v>
      </c>
    </row>
    <row r="2115" spans="1:23" x14ac:dyDescent="0.2">
      <c r="A2115" s="15">
        <v>44648</v>
      </c>
      <c r="B2115" s="5">
        <v>-255918908165671</v>
      </c>
      <c r="C2115" s="5">
        <f>[1]!nefin_factors__1[[#This Row],[Rm_minus_Rf]]/B2114-1</f>
        <v>-3.3898124689433637</v>
      </c>
      <c r="D2115" s="5">
        <v>-265728906367126</v>
      </c>
      <c r="E2115" s="5">
        <f>[1]!nefin_factors__1[[#This Row],[SMB]]/D2114-1</f>
        <v>-16.043941343254176</v>
      </c>
      <c r="F2115" s="5">
        <v>-468649366343786</v>
      </c>
      <c r="G2115" s="5">
        <f>[1]!nefin_factors__1[[#This Row],[HML]]/F2114-1</f>
        <v>0.4695085628173854</v>
      </c>
      <c r="H2115" s="5">
        <v>437392423015881</v>
      </c>
      <c r="I2115" s="6">
        <f>[1]!nefin_factors__1[[#This Row],[Risk_Free]]/H2114-1</f>
        <v>0</v>
      </c>
      <c r="J2115">
        <v>102068</v>
      </c>
      <c r="K2115">
        <v>103952</v>
      </c>
      <c r="L2115">
        <v>102046</v>
      </c>
      <c r="M2115">
        <v>102807</v>
      </c>
      <c r="N2115">
        <v>16023500</v>
      </c>
      <c r="O2115">
        <v>102807</v>
      </c>
      <c r="P2115">
        <v>7.2896152376473698E-3</v>
      </c>
      <c r="Q2115">
        <v>7.2631744103742301E-3</v>
      </c>
      <c r="R2115" s="8">
        <v>7.9846949577331499</v>
      </c>
      <c r="S2115" s="8">
        <v>0.13185369889458301</v>
      </c>
      <c r="T2115" s="9">
        <v>0.12385673016941801</v>
      </c>
      <c r="U2115" s="12">
        <v>4.7279000000000002E-2</v>
      </c>
      <c r="V2115" s="16">
        <v>5.1482000000000001</v>
      </c>
      <c r="W2115" s="17">
        <f t="shared" si="32"/>
        <v>4.6444461790648983E-3</v>
      </c>
    </row>
    <row r="2116" spans="1:23" x14ac:dyDescent="0.2">
      <c r="A2116" s="14">
        <v>44649</v>
      </c>
      <c r="B2116" s="3">
        <v>118976328220556</v>
      </c>
      <c r="C2116" s="3">
        <f>[1]!nefin_factors__1[[#This Row],[Rm_minus_Rf]]/B2115-1</f>
        <v>-1.4648985456890735</v>
      </c>
      <c r="D2116" s="3">
        <v>145022150904986</v>
      </c>
      <c r="E2116" s="3">
        <f>[1]!nefin_factors__1[[#This Row],[SMB]]/D2115-1</f>
        <v>-1.5457522589003778</v>
      </c>
      <c r="F2116" s="3">
        <v>-2286739369.2109499</v>
      </c>
      <c r="G2116" s="3">
        <f>[1]!nefin_factors__1[[#This Row],[HML]]/F2115-1</f>
        <v>-0.99999512057513906</v>
      </c>
      <c r="H2116" s="3">
        <v>437392423015881</v>
      </c>
      <c r="I2116" s="4">
        <f>[1]!nefin_factors__1[[#This Row],[Risk_Free]]/H2115-1</f>
        <v>0</v>
      </c>
      <c r="J2116">
        <v>102800</v>
      </c>
      <c r="K2116">
        <v>102801</v>
      </c>
      <c r="L2116">
        <v>98402</v>
      </c>
      <c r="M2116">
        <v>99825</v>
      </c>
      <c r="N2116">
        <v>18927300</v>
      </c>
      <c r="O2116">
        <v>99825</v>
      </c>
      <c r="P2116">
        <v>-2.9005806997577901E-2</v>
      </c>
      <c r="Q2116">
        <v>-2.9434791138744299E-2</v>
      </c>
      <c r="R2116" s="8">
        <v>8.8780231475830096</v>
      </c>
      <c r="S2116" s="8">
        <v>0.111880064871441</v>
      </c>
      <c r="T2116" s="9">
        <v>0.10605233468014801</v>
      </c>
      <c r="U2116" s="12">
        <v>4.7279000000000002E-2</v>
      </c>
      <c r="V2116" s="16">
        <v>5.1074999999999999</v>
      </c>
      <c r="W2116" s="17">
        <f t="shared" ref="W2116:W2179" si="33">V2116/V2115-1</f>
        <v>-7.9056757701720937E-3</v>
      </c>
    </row>
    <row r="2117" spans="1:23" x14ac:dyDescent="0.2">
      <c r="A2117" s="15">
        <v>44650</v>
      </c>
      <c r="B2117" s="5">
        <v>302575285371073</v>
      </c>
      <c r="C2117" s="5">
        <f>[1]!nefin_factors__1[[#This Row],[Rm_minus_Rf]]/B2116-1</f>
        <v>1.5431553477609836</v>
      </c>
      <c r="D2117" s="5">
        <v>-456318831884967</v>
      </c>
      <c r="E2117" s="5">
        <f>[1]!nefin_factors__1[[#This Row],[SMB]]/D2116-1</f>
        <v>-4.146545745166426</v>
      </c>
      <c r="F2117" s="5">
        <v>-360835766519234</v>
      </c>
      <c r="G2117" s="5">
        <f>[1]!nefin_factors__1[[#This Row],[HML]]/F2116-1</f>
        <v>157793.88094602668</v>
      </c>
      <c r="H2117" s="5">
        <v>437392423015881</v>
      </c>
      <c r="I2117" s="6">
        <f>[1]!nefin_factors__1[[#This Row],[Risk_Free]]/H2116-1</f>
        <v>0</v>
      </c>
      <c r="J2117">
        <v>99824</v>
      </c>
      <c r="K2117">
        <v>100481</v>
      </c>
      <c r="L2117">
        <v>98409</v>
      </c>
      <c r="M2117">
        <v>99853</v>
      </c>
      <c r="N2117">
        <v>10900800</v>
      </c>
      <c r="O2117">
        <v>99853</v>
      </c>
      <c r="P2117">
        <v>2.8049085900328001E-4</v>
      </c>
      <c r="Q2117">
        <v>2.8045152879662398E-4</v>
      </c>
      <c r="R2117" s="8">
        <v>8.7122507095336896</v>
      </c>
      <c r="S2117" s="8">
        <v>-1.86722241307117E-2</v>
      </c>
      <c r="T2117" s="9">
        <v>-1.8848750994192E-2</v>
      </c>
      <c r="U2117" s="12">
        <v>4.7279000000000002E-2</v>
      </c>
      <c r="V2117" s="16">
        <v>5.0666000000000002</v>
      </c>
      <c r="W2117" s="17">
        <f t="shared" si="33"/>
        <v>-8.0078316201663835E-3</v>
      </c>
    </row>
    <row r="2118" spans="1:23" x14ac:dyDescent="0.2">
      <c r="A2118" s="14">
        <v>44651</v>
      </c>
      <c r="B2118" s="3">
        <v>-239544275073226</v>
      </c>
      <c r="C2118" s="3">
        <f>[1]!nefin_factors__1[[#This Row],[Rm_minus_Rf]]/B2117-1</f>
        <v>-1.7916848687078097</v>
      </c>
      <c r="D2118" s="3">
        <v>-133757415758545</v>
      </c>
      <c r="E2118" s="3">
        <f>[1]!nefin_factors__1[[#This Row],[SMB]]/D2117-1</f>
        <v>-0.70687728313552534</v>
      </c>
      <c r="F2118" s="3">
        <v>-998185726975663</v>
      </c>
      <c r="G2118" s="3">
        <f>[1]!nefin_factors__1[[#This Row],[HML]]/F2117-1</f>
        <v>1.7663159242903257</v>
      </c>
      <c r="H2118" s="3">
        <v>437392423015881</v>
      </c>
      <c r="I2118" s="4">
        <f>[1]!nefin_factors__1[[#This Row],[Risk_Free]]/H2117-1</f>
        <v>0</v>
      </c>
      <c r="J2118">
        <v>99854</v>
      </c>
      <c r="K2118">
        <v>101069</v>
      </c>
      <c r="L2118">
        <v>99167</v>
      </c>
      <c r="M2118">
        <v>99685</v>
      </c>
      <c r="N2118">
        <v>11072300</v>
      </c>
      <c r="O2118">
        <v>99685</v>
      </c>
      <c r="P2118">
        <v>-1.6824732356564001E-3</v>
      </c>
      <c r="Q2118">
        <v>-1.6838901832914299E-3</v>
      </c>
      <c r="R2118" s="8">
        <v>8.6569938659668004</v>
      </c>
      <c r="S2118" s="8">
        <v>-6.3424303786882002E-3</v>
      </c>
      <c r="T2118" s="9">
        <v>-6.3626290412765801E-3</v>
      </c>
      <c r="U2118" s="12">
        <v>4.7279000000000002E-2</v>
      </c>
      <c r="V2118" s="16">
        <v>4.9676</v>
      </c>
      <c r="W2118" s="17">
        <f t="shared" si="33"/>
        <v>-1.9539730785931408E-2</v>
      </c>
    </row>
    <row r="2119" spans="1:23" x14ac:dyDescent="0.2">
      <c r="A2119" s="15">
        <v>44652</v>
      </c>
      <c r="B2119" s="5">
        <v>108212684897553</v>
      </c>
      <c r="C2119" s="5">
        <f>[1]!nefin_factors__1[[#This Row],[Rm_minus_Rf]]/B2118-1</f>
        <v>-1.451743982879464</v>
      </c>
      <c r="D2119" s="5">
        <v>436345361932626</v>
      </c>
      <c r="E2119" s="5">
        <f>[1]!nefin_factors__1[[#This Row],[SMB]]/D2118-1</f>
        <v>-4.2622143561767363</v>
      </c>
      <c r="F2119" s="5">
        <v>86387374276559</v>
      </c>
      <c r="G2119" s="5">
        <f>[1]!nefin_factors__1[[#This Row],[HML]]/F2118-1</f>
        <v>-1.0865443894277054</v>
      </c>
      <c r="H2119" s="5">
        <v>437392423015881</v>
      </c>
      <c r="I2119" s="6">
        <f>[1]!nefin_factors__1[[#This Row],[Risk_Free]]/H2118-1</f>
        <v>0</v>
      </c>
      <c r="J2119">
        <v>99678</v>
      </c>
      <c r="K2119">
        <v>100374</v>
      </c>
      <c r="L2119">
        <v>98050</v>
      </c>
      <c r="M2119">
        <v>99522</v>
      </c>
      <c r="N2119">
        <v>11675100</v>
      </c>
      <c r="O2119">
        <v>99522</v>
      </c>
      <c r="P2119">
        <v>-1.6351507247830399E-3</v>
      </c>
      <c r="Q2119">
        <v>-1.6364890428295399E-3</v>
      </c>
      <c r="R2119" s="8">
        <v>8.3438682556152308</v>
      </c>
      <c r="S2119" s="8">
        <v>-3.6170247455361099E-2</v>
      </c>
      <c r="T2119" s="9">
        <v>-3.6840605212284397E-2</v>
      </c>
      <c r="U2119" s="12">
        <v>4.7279000000000002E-2</v>
      </c>
      <c r="V2119" s="16">
        <v>4.9592000000000001</v>
      </c>
      <c r="W2119" s="17">
        <f t="shared" si="33"/>
        <v>-1.6909574039777331E-3</v>
      </c>
    </row>
    <row r="2120" spans="1:23" x14ac:dyDescent="0.2">
      <c r="A2120" s="14">
        <v>44655</v>
      </c>
      <c r="B2120" s="3">
        <v>-286693328880588</v>
      </c>
      <c r="C2120" s="3">
        <f>[1]!nefin_factors__1[[#This Row],[Rm_minus_Rf]]/B2119-1</f>
        <v>-3.6493504818959628</v>
      </c>
      <c r="D2120" s="3">
        <v>16684332233683</v>
      </c>
      <c r="E2120" s="3">
        <f>[1]!nefin_factors__1[[#This Row],[SMB]]/D2119-1</f>
        <v>-0.9617634706605197</v>
      </c>
      <c r="F2120" s="3">
        <v>-16113175604262</v>
      </c>
      <c r="G2120" s="3">
        <f>[1]!nefin_factors__1[[#This Row],[HML]]/F2119-1</f>
        <v>-1.1865223447199305</v>
      </c>
      <c r="H2120" s="3">
        <v>440591309799343</v>
      </c>
      <c r="I2120" s="4">
        <f>[1]!nefin_factors__1[[#This Row],[Risk_Free]]/H2119-1</f>
        <v>7.3135395474051013E-3</v>
      </c>
      <c r="J2120">
        <v>99523</v>
      </c>
      <c r="K2120">
        <v>100232</v>
      </c>
      <c r="L2120">
        <v>97775</v>
      </c>
      <c r="M2120">
        <v>98080</v>
      </c>
      <c r="N2120">
        <v>12397700</v>
      </c>
      <c r="O2120">
        <v>98080</v>
      </c>
      <c r="P2120">
        <v>-1.4489258656377501E-2</v>
      </c>
      <c r="Q2120">
        <v>-1.4595253064059399E-2</v>
      </c>
      <c r="R2120" s="8">
        <v>8.1780958175659197</v>
      </c>
      <c r="S2120" s="8">
        <v>-1.9867576161423098E-2</v>
      </c>
      <c r="T2120" s="9">
        <v>-2.00675900803697E-2</v>
      </c>
      <c r="U2120" s="12">
        <v>4.7279000000000002E-2</v>
      </c>
      <c r="V2120" s="16">
        <v>4.9198000000000004</v>
      </c>
      <c r="W2120" s="17">
        <f t="shared" si="33"/>
        <v>-7.9448298112597682E-3</v>
      </c>
    </row>
    <row r="2121" spans="1:23" x14ac:dyDescent="0.2">
      <c r="A2121" s="15">
        <v>44656</v>
      </c>
      <c r="B2121" s="5">
        <v>-18221952375421</v>
      </c>
      <c r="C2121" s="5">
        <f>[1]!nefin_factors__1[[#This Row],[Rm_minus_Rf]]/B2120-1</f>
        <v>-0.93644096133464372</v>
      </c>
      <c r="D2121" s="5">
        <v>-888508469011391</v>
      </c>
      <c r="E2121" s="5">
        <f>[1]!nefin_factors__1[[#This Row],[SMB]]/D2120-1</f>
        <v>-54.254062348245164</v>
      </c>
      <c r="F2121" s="5">
        <v>27220547175079</v>
      </c>
      <c r="G2121" s="5">
        <f>[1]!nefin_factors__1[[#This Row],[HML]]/F2120-1</f>
        <v>-2.689334731006038</v>
      </c>
      <c r="H2121" s="5">
        <v>442012213595966</v>
      </c>
      <c r="I2121" s="6">
        <f>[1]!nefin_factors__1[[#This Row],[Risk_Free]]/H2120-1</f>
        <v>3.2249927881466967E-3</v>
      </c>
      <c r="J2121">
        <v>98081</v>
      </c>
      <c r="K2121">
        <v>99313</v>
      </c>
      <c r="L2121">
        <v>98031</v>
      </c>
      <c r="M2121">
        <v>98672</v>
      </c>
      <c r="N2121">
        <v>10345200</v>
      </c>
      <c r="O2121">
        <v>98672</v>
      </c>
      <c r="P2121">
        <v>6.0358890701468501E-3</v>
      </c>
      <c r="Q2121">
        <v>6.0177460612357604E-3</v>
      </c>
      <c r="R2121" s="8">
        <v>7.83734178543091</v>
      </c>
      <c r="S2121" s="8">
        <v>-4.1666671525552E-2</v>
      </c>
      <c r="T2121" s="9">
        <v>-4.2559619488937203E-2</v>
      </c>
      <c r="U2121" s="12">
        <v>4.7279000000000002E-2</v>
      </c>
      <c r="V2121" s="16">
        <v>4.8776999999999999</v>
      </c>
      <c r="W2121" s="17">
        <f t="shared" si="33"/>
        <v>-8.5572584251393247E-3</v>
      </c>
    </row>
    <row r="2122" spans="1:23" x14ac:dyDescent="0.2">
      <c r="A2122" s="14">
        <v>44657</v>
      </c>
      <c r="B2122" s="3">
        <v>-691289125428203</v>
      </c>
      <c r="C2122" s="3">
        <f>[1]!nefin_factors__1[[#This Row],[Rm_minus_Rf]]/B2121-1</f>
        <v>36.937160145400249</v>
      </c>
      <c r="D2122" s="3">
        <v>-126450513527397</v>
      </c>
      <c r="E2122" s="3">
        <f>[1]!nefin_factors__1[[#This Row],[SMB]]/D2121-1</f>
        <v>-0.85768226422411753</v>
      </c>
      <c r="F2122" s="3">
        <v>122429547620043</v>
      </c>
      <c r="G2122" s="3">
        <f>[1]!nefin_factors__1[[#This Row],[HML]]/F2121-1</f>
        <v>3.4976887067182068</v>
      </c>
      <c r="H2122" s="3">
        <v>443432611036298</v>
      </c>
      <c r="I2122" s="4">
        <f>[1]!nefin_factors__1[[#This Row],[Risk_Free]]/H2121-1</f>
        <v>3.2134800728160773E-3</v>
      </c>
      <c r="J2122">
        <v>98673</v>
      </c>
      <c r="K2122">
        <v>101106</v>
      </c>
      <c r="L2122">
        <v>98672</v>
      </c>
      <c r="M2122">
        <v>100764</v>
      </c>
      <c r="N2122">
        <v>9895900</v>
      </c>
      <c r="O2122">
        <v>100764</v>
      </c>
      <c r="P2122">
        <v>2.1201556672612299E-2</v>
      </c>
      <c r="Q2122">
        <v>2.09799307402894E-2</v>
      </c>
      <c r="R2122" s="8">
        <v>7.4689588546752903</v>
      </c>
      <c r="S2122" s="8">
        <v>-4.7003555649495099E-2</v>
      </c>
      <c r="T2122" s="9">
        <v>-4.8144106341710603E-2</v>
      </c>
      <c r="U2122" s="12">
        <v>4.7279000000000002E-2</v>
      </c>
      <c r="V2122" s="16">
        <v>4.7972999999999999</v>
      </c>
      <c r="W2122" s="17">
        <f t="shared" si="33"/>
        <v>-1.6483178547266109E-2</v>
      </c>
    </row>
    <row r="2123" spans="1:23" x14ac:dyDescent="0.2">
      <c r="A2123" s="15">
        <v>44658</v>
      </c>
      <c r="B2123" s="5">
        <v>416621683324438</v>
      </c>
      <c r="C2123" s="5">
        <f>[1]!nefin_factors__1[[#This Row],[Rm_minus_Rf]]/B2122-1</f>
        <v>-1.6026735673968129</v>
      </c>
      <c r="D2123" s="5">
        <v>36275780193464</v>
      </c>
      <c r="E2123" s="5">
        <f>[1]!nefin_factors__1[[#This Row],[SMB]]/D2122-1</f>
        <v>-1.2868772864698919</v>
      </c>
      <c r="F2123" s="5">
        <v>867724186767666</v>
      </c>
      <c r="G2123" s="5">
        <f>[1]!nefin_factors__1[[#This Row],[HML]]/F2122-1</f>
        <v>6.0875389449336694</v>
      </c>
      <c r="H2123" s="5">
        <v>443077559127314</v>
      </c>
      <c r="I2123" s="6">
        <f>[1]!nefin_factors__1[[#This Row],[Risk_Free]]/H2122-1</f>
        <v>-8.0068966545843168E-4</v>
      </c>
      <c r="J2123">
        <v>100766</v>
      </c>
      <c r="K2123">
        <v>102237</v>
      </c>
      <c r="L2123">
        <v>99956</v>
      </c>
      <c r="M2123">
        <v>100591</v>
      </c>
      <c r="N2123">
        <v>10493900</v>
      </c>
      <c r="O2123">
        <v>100591</v>
      </c>
      <c r="P2123">
        <v>-1.7168830137747101E-3</v>
      </c>
      <c r="Q2123">
        <v>-1.71835854653615E-3</v>
      </c>
      <c r="R2123" s="8">
        <v>7.0913667678832999</v>
      </c>
      <c r="S2123" s="8">
        <v>-5.0554848960726803E-2</v>
      </c>
      <c r="T2123" s="9">
        <v>-5.1877516549695898E-2</v>
      </c>
      <c r="U2123" s="12">
        <v>4.7279000000000002E-2</v>
      </c>
      <c r="V2123" s="16">
        <v>4.8106</v>
      </c>
      <c r="W2123" s="17">
        <f t="shared" si="33"/>
        <v>2.7723928042857615E-3</v>
      </c>
    </row>
    <row r="2124" spans="1:23" x14ac:dyDescent="0.2">
      <c r="A2124" s="14">
        <v>44659</v>
      </c>
      <c r="B2124" s="3">
        <v>-415677164811776</v>
      </c>
      <c r="C2124" s="3">
        <f>[1]!nefin_factors__1[[#This Row],[Rm_minus_Rf]]/B2123-1</f>
        <v>-1.9977329108146145</v>
      </c>
      <c r="D2124" s="3">
        <v>-775732942049572</v>
      </c>
      <c r="E2124" s="3">
        <f>[1]!nefin_factors__1[[#This Row],[SMB]]/D2123-1</f>
        <v>-22.384321382268709</v>
      </c>
      <c r="F2124" s="3">
        <v>101919457813177</v>
      </c>
      <c r="G2124" s="3">
        <f>[1]!nefin_factors__1[[#This Row],[HML]]/F2123-1</f>
        <v>-0.88254394729639363</v>
      </c>
      <c r="H2124" s="3">
        <v>444497577037684</v>
      </c>
      <c r="I2124" s="4">
        <f>[1]!nefin_factors__1[[#This Row],[Risk_Free]]/H2123-1</f>
        <v>3.2048969330942256E-3</v>
      </c>
      <c r="J2124">
        <v>100592</v>
      </c>
      <c r="K2124">
        <v>101313</v>
      </c>
      <c r="L2124">
        <v>99218</v>
      </c>
      <c r="M2124">
        <v>99622</v>
      </c>
      <c r="N2124">
        <v>10448100</v>
      </c>
      <c r="O2124">
        <v>99622</v>
      </c>
      <c r="P2124">
        <v>-9.6330685647821896E-3</v>
      </c>
      <c r="Q2124">
        <v>-9.6797667093773705E-3</v>
      </c>
      <c r="R2124" s="8">
        <v>6.64009809494019</v>
      </c>
      <c r="S2124" s="8">
        <v>-6.36363465202371E-2</v>
      </c>
      <c r="T2124" s="9">
        <v>-6.5751359283422198E-2</v>
      </c>
      <c r="U2124" s="12">
        <v>4.7279000000000002E-2</v>
      </c>
      <c r="V2124" s="16">
        <v>4.8358999999999996</v>
      </c>
      <c r="W2124" s="17">
        <f t="shared" si="33"/>
        <v>5.2592192242131297E-3</v>
      </c>
    </row>
    <row r="2125" spans="1:23" x14ac:dyDescent="0.2">
      <c r="A2125" s="15">
        <v>44662</v>
      </c>
      <c r="B2125" s="5">
        <v>-101883400714145</v>
      </c>
      <c r="C2125" s="5">
        <f>[1]!nefin_factors__1[[#This Row],[Rm_minus_Rf]]/B2124-1</f>
        <v>-0.75489776841535394</v>
      </c>
      <c r="D2125" s="5">
        <v>-117847760668598</v>
      </c>
      <c r="E2125" s="5">
        <f>[1]!nefin_factors__1[[#This Row],[SMB]]/D2124-1</f>
        <v>-0.84808204695132416</v>
      </c>
      <c r="F2125" s="5">
        <v>352942196791346</v>
      </c>
      <c r="G2125" s="5">
        <f>[1]!nefin_factors__1[[#This Row],[HML]]/F2124-1</f>
        <v>2.4629520639552958</v>
      </c>
      <c r="H2125" s="5">
        <v>448400019735562</v>
      </c>
      <c r="I2125" s="6">
        <f>[1]!nefin_factors__1[[#This Row],[Risk_Free]]/H2124-1</f>
        <v>8.7794465020158974E-3</v>
      </c>
      <c r="J2125">
        <v>99619</v>
      </c>
      <c r="K2125">
        <v>99619</v>
      </c>
      <c r="L2125">
        <v>97758</v>
      </c>
      <c r="M2125">
        <v>98542</v>
      </c>
      <c r="N2125">
        <v>14588800</v>
      </c>
      <c r="O2125">
        <v>98542</v>
      </c>
      <c r="P2125">
        <v>-1.08409789002429E-2</v>
      </c>
      <c r="Q2125">
        <v>-1.0900170497298699E-2</v>
      </c>
      <c r="R2125" s="8">
        <v>6.4282779693603498</v>
      </c>
      <c r="S2125" s="8">
        <v>-3.19001500506811E-2</v>
      </c>
      <c r="T2125" s="9">
        <v>-3.2420046251145598E-2</v>
      </c>
      <c r="U2125" s="12">
        <v>4.7279000000000002E-2</v>
      </c>
      <c r="V2125" s="16">
        <v>4.7967000000000004</v>
      </c>
      <c r="W2125" s="17">
        <f t="shared" si="33"/>
        <v>-8.1060402406996079E-3</v>
      </c>
    </row>
    <row r="2126" spans="1:23" x14ac:dyDescent="0.2">
      <c r="A2126" s="14">
        <v>44663</v>
      </c>
      <c r="B2126" s="3">
        <v>-643533144330262</v>
      </c>
      <c r="C2126" s="3">
        <f>[1]!nefin_factors__1[[#This Row],[Rm_minus_Rf]]/B2125-1</f>
        <v>5.3163689062149349</v>
      </c>
      <c r="D2126" s="3">
        <v>-2613121169.92349</v>
      </c>
      <c r="E2126" s="3">
        <f>[1]!nefin_factors__1[[#This Row],[SMB]]/D2125-1</f>
        <v>-0.99997782629763099</v>
      </c>
      <c r="F2126" s="3">
        <v>367667215110738</v>
      </c>
      <c r="G2126" s="3">
        <f>[1]!nefin_factors__1[[#This Row],[HML]]/F2125-1</f>
        <v>4.1720764627351192E-2</v>
      </c>
      <c r="H2126" s="3">
        <v>44981814303946</v>
      </c>
      <c r="I2126" s="4">
        <f>[1]!nefin_factors__1[[#This Row],[Risk_Free]]/H2125-1</f>
        <v>-0.89968373701126636</v>
      </c>
      <c r="J2126">
        <v>98542</v>
      </c>
      <c r="K2126">
        <v>99340</v>
      </c>
      <c r="L2126">
        <v>97231</v>
      </c>
      <c r="M2126">
        <v>98954</v>
      </c>
      <c r="N2126">
        <v>11609800</v>
      </c>
      <c r="O2126">
        <v>98954</v>
      </c>
      <c r="P2126">
        <v>4.1809583730794096E-3</v>
      </c>
      <c r="Q2126">
        <v>4.1722424521103696E-3</v>
      </c>
      <c r="R2126" s="8">
        <v>6.4374880790710396</v>
      </c>
      <c r="S2126" s="8">
        <v>1.43274913664171E-3</v>
      </c>
      <c r="T2126" s="9">
        <v>1.43172373091337E-3</v>
      </c>
      <c r="U2126" s="12">
        <v>4.7279000000000002E-2</v>
      </c>
      <c r="V2126" s="16">
        <v>4.7434000000000003</v>
      </c>
      <c r="W2126" s="17">
        <f t="shared" si="33"/>
        <v>-1.1111806033314631E-2</v>
      </c>
    </row>
    <row r="2127" spans="1:23" x14ac:dyDescent="0.2">
      <c r="A2127" s="15">
        <v>44664</v>
      </c>
      <c r="B2127" s="5">
        <v>419509527217647</v>
      </c>
      <c r="C2127" s="5">
        <f>[1]!nefin_factors__1[[#This Row],[Rm_minus_Rf]]/B2126-1</f>
        <v>-1.6518848810098805</v>
      </c>
      <c r="D2127" s="5">
        <v>117189126260691</v>
      </c>
      <c r="E2127" s="5">
        <f>[1]!nefin_factors__1[[#This Row],[SMB]]/D2126-1</f>
        <v>-44847.418761408677</v>
      </c>
      <c r="F2127" s="5">
        <v>26382865501291</v>
      </c>
      <c r="G2127" s="5">
        <f>[1]!nefin_factors__1[[#This Row],[HML]]/F2126-1</f>
        <v>-0.9282425399464983</v>
      </c>
      <c r="H2127" s="5">
        <v>450881404503001</v>
      </c>
      <c r="I2127" s="6">
        <f>[1]!nefin_factors__1[[#This Row],[Risk_Free]]/H2126-1</f>
        <v>9.0236375850995341</v>
      </c>
      <c r="J2127">
        <v>98952</v>
      </c>
      <c r="K2127">
        <v>99353</v>
      </c>
      <c r="L2127">
        <v>98264</v>
      </c>
      <c r="M2127">
        <v>98609</v>
      </c>
      <c r="N2127">
        <v>6279300</v>
      </c>
      <c r="O2127">
        <v>98609</v>
      </c>
      <c r="P2127">
        <v>-3.4864684600925998E-3</v>
      </c>
      <c r="Q2127">
        <v>-3.4925603548416899E-3</v>
      </c>
      <c r="R2127" s="8">
        <v>6.2625060081481898</v>
      </c>
      <c r="S2127" s="8">
        <v>-2.7181731255042901E-2</v>
      </c>
      <c r="T2127" s="9">
        <v>-2.7557988397886701E-2</v>
      </c>
      <c r="U2127" s="12">
        <v>4.7279000000000002E-2</v>
      </c>
      <c r="V2127" s="16">
        <v>4.7215999999999996</v>
      </c>
      <c r="W2127" s="17">
        <f t="shared" si="33"/>
        <v>-4.5958595100562549E-3</v>
      </c>
    </row>
    <row r="2128" spans="1:23" x14ac:dyDescent="0.2">
      <c r="A2128" s="14">
        <v>44665</v>
      </c>
      <c r="B2128" s="3">
        <v>-607945415365443</v>
      </c>
      <c r="C2128" s="3">
        <f>[1]!nefin_factors__1[[#This Row],[Rm_minus_Rf]]/B2127-1</f>
        <v>-2.4491814271718146</v>
      </c>
      <c r="D2128" s="3">
        <v>-876337497501502</v>
      </c>
      <c r="E2128" s="3">
        <f>[1]!nefin_factors__1[[#This Row],[SMB]]/D2127-1</f>
        <v>-8.4779762036288329</v>
      </c>
      <c r="F2128" s="3">
        <v>472576645120494</v>
      </c>
      <c r="G2128" s="3">
        <f>[1]!nefin_factors__1[[#This Row],[HML]]/F2127-1</f>
        <v>16.912256161006063</v>
      </c>
      <c r="H2128" s="3">
        <v>45123576197037</v>
      </c>
      <c r="I2128" s="4">
        <f>[1]!nefin_factors__1[[#This Row],[Risk_Free]]/H2127-1</f>
        <v>-0.89992140783278485</v>
      </c>
      <c r="J2128">
        <v>98608</v>
      </c>
      <c r="K2128">
        <v>98608</v>
      </c>
      <c r="L2128">
        <v>96499</v>
      </c>
      <c r="M2128">
        <v>98295</v>
      </c>
      <c r="N2128">
        <v>13358800</v>
      </c>
      <c r="O2128">
        <v>98295</v>
      </c>
      <c r="P2128">
        <v>-3.1842935229036101E-3</v>
      </c>
      <c r="Q2128">
        <v>-3.1893741739132402E-3</v>
      </c>
      <c r="R2128" s="8">
        <v>6.2532958984375</v>
      </c>
      <c r="S2128" s="8">
        <v>-1.4706747903651101E-3</v>
      </c>
      <c r="T2128" s="9">
        <v>-1.47175729400534E-3</v>
      </c>
      <c r="U2128" s="12">
        <v>4.7279000000000002E-2</v>
      </c>
      <c r="V2128" s="16">
        <v>4.7289000000000003</v>
      </c>
      <c r="W2128" s="17">
        <f t="shared" si="33"/>
        <v>1.5460860725180492E-3</v>
      </c>
    </row>
    <row r="2129" spans="1:23" x14ac:dyDescent="0.2">
      <c r="A2129" s="15">
        <v>44669</v>
      </c>
      <c r="B2129" s="5">
        <v>-250442181923161</v>
      </c>
      <c r="C2129" s="5">
        <f>[1]!nefin_factors__1[[#This Row],[Rm_minus_Rf]]/B2128-1</f>
        <v>-0.5880515329281375</v>
      </c>
      <c r="D2129" s="5">
        <v>659803805648761</v>
      </c>
      <c r="E2129" s="5">
        <f>[1]!nefin_factors__1[[#This Row],[SMB]]/D2128-1</f>
        <v>-1.7529106166629942</v>
      </c>
      <c r="F2129" s="5">
        <v>337248323193171</v>
      </c>
      <c r="G2129" s="5">
        <f>[1]!nefin_factors__1[[#This Row],[HML]]/F2128-1</f>
        <v>-0.28636269550057436</v>
      </c>
      <c r="H2129" s="5">
        <v>455131616288851</v>
      </c>
      <c r="I2129" s="6">
        <f>[1]!nefin_factors__1[[#This Row],[Risk_Free]]/H2128-1</f>
        <v>9.086337445894566</v>
      </c>
      <c r="J2129">
        <v>98294</v>
      </c>
      <c r="K2129">
        <v>99141</v>
      </c>
      <c r="L2129">
        <v>97423</v>
      </c>
      <c r="M2129">
        <v>98719</v>
      </c>
      <c r="N2129">
        <v>13348200</v>
      </c>
      <c r="O2129">
        <v>98719</v>
      </c>
      <c r="P2129">
        <v>4.3135459585941201E-3</v>
      </c>
      <c r="Q2129">
        <v>4.3042692865591101E-3</v>
      </c>
      <c r="R2129" s="8">
        <v>6.2440872192382804</v>
      </c>
      <c r="S2129" s="8">
        <v>-1.4726120990883301E-3</v>
      </c>
      <c r="T2129" s="9">
        <v>-1.4736974579581199E-3</v>
      </c>
      <c r="U2129" s="12">
        <v>4.7279000000000002E-2</v>
      </c>
      <c r="V2129" s="16">
        <v>4.7765000000000004</v>
      </c>
      <c r="W2129" s="17">
        <f t="shared" si="33"/>
        <v>1.0065765822918626E-2</v>
      </c>
    </row>
    <row r="2130" spans="1:23" x14ac:dyDescent="0.2">
      <c r="A2130" s="14">
        <v>44670</v>
      </c>
      <c r="B2130" s="3">
        <v>-52056407902088</v>
      </c>
      <c r="C2130" s="3">
        <f>[1]!nefin_factors__1[[#This Row],[Rm_minus_Rf]]/B2129-1</f>
        <v>-0.79214201257015238</v>
      </c>
      <c r="D2130" s="3">
        <v>114691612246426</v>
      </c>
      <c r="E2130" s="3">
        <f>[1]!nefin_factors__1[[#This Row],[SMB]]/D2129-1</f>
        <v>-0.82617315743783271</v>
      </c>
      <c r="F2130" s="3">
        <v>-469836526653884</v>
      </c>
      <c r="G2130" s="3">
        <f>[1]!nefin_factors__1[[#This Row],[HML]]/F2129-1</f>
        <v>-2.3931471095403145</v>
      </c>
      <c r="H2130" s="3">
        <v>456193461474852</v>
      </c>
      <c r="I2130" s="4">
        <f>[1]!nefin_factors__1[[#This Row],[Risk_Free]]/H2129-1</f>
        <v>2.3330508099157488E-3</v>
      </c>
      <c r="J2130">
        <v>98722</v>
      </c>
      <c r="K2130">
        <v>101420</v>
      </c>
      <c r="L2130">
        <v>98722</v>
      </c>
      <c r="M2130">
        <v>100730</v>
      </c>
      <c r="N2130">
        <v>12696300</v>
      </c>
      <c r="O2130">
        <v>100730</v>
      </c>
      <c r="P2130">
        <v>2.03709518937591E-2</v>
      </c>
      <c r="Q2130">
        <v>2.0166239508461001E-2</v>
      </c>
      <c r="R2130" s="8">
        <v>6.8887557983398402</v>
      </c>
      <c r="S2130" s="8">
        <v>0.10324464673</v>
      </c>
      <c r="T2130" s="9">
        <v>9.8255516882916602E-2</v>
      </c>
      <c r="U2130" s="12">
        <v>4.7279000000000002E-2</v>
      </c>
      <c r="V2130" s="16">
        <v>4.7878999999999996</v>
      </c>
      <c r="W2130" s="17">
        <f t="shared" si="33"/>
        <v>2.386684811053863E-3</v>
      </c>
    </row>
    <row r="2131" spans="1:23" x14ac:dyDescent="0.2">
      <c r="A2131" s="15">
        <v>44671</v>
      </c>
      <c r="B2131" s="5">
        <v>-564442729084937</v>
      </c>
      <c r="C2131" s="5">
        <f>[1]!nefin_factors__1[[#This Row],[Rm_minus_Rf]]/B2130-1</f>
        <v>9.8429058368104769</v>
      </c>
      <c r="D2131" s="5">
        <v>125618898790399</v>
      </c>
      <c r="E2131" s="5">
        <f>[1]!nefin_factors__1[[#This Row],[SMB]]/D2130-1</f>
        <v>9.5275376550594482E-2</v>
      </c>
      <c r="F2131" s="5">
        <v>50660625228786</v>
      </c>
      <c r="G2131" s="5">
        <f>[1]!nefin_factors__1[[#This Row],[HML]]/F2130-1</f>
        <v>-1.1078260679083096</v>
      </c>
      <c r="H2131" s="5">
        <v>457608815168209</v>
      </c>
      <c r="I2131" s="6">
        <f>[1]!nefin_factors__1[[#This Row],[Risk_Free]]/H2130-1</f>
        <v>3.1025295469628844E-3</v>
      </c>
      <c r="J2131">
        <v>100732</v>
      </c>
      <c r="K2131">
        <v>101577</v>
      </c>
      <c r="L2131">
        <v>99958</v>
      </c>
      <c r="M2131">
        <v>100289</v>
      </c>
      <c r="N2131">
        <v>9730400</v>
      </c>
      <c r="O2131">
        <v>100289</v>
      </c>
      <c r="P2131">
        <v>-4.3780403057679402E-3</v>
      </c>
      <c r="Q2131">
        <v>-4.3876519880412697E-3</v>
      </c>
      <c r="R2131" s="8">
        <v>6.5940499305725098</v>
      </c>
      <c r="S2131" s="8">
        <v>-4.2780710536778899E-2</v>
      </c>
      <c r="T2131" s="9">
        <v>-4.3722771183540003E-2</v>
      </c>
      <c r="U2131" s="12">
        <v>4.7279000000000002E-2</v>
      </c>
      <c r="V2131" s="16">
        <v>4.7956000000000003</v>
      </c>
      <c r="W2131" s="17">
        <f t="shared" si="33"/>
        <v>1.6082207230729839E-3</v>
      </c>
    </row>
    <row r="2132" spans="1:23" x14ac:dyDescent="0.2">
      <c r="A2132" s="14">
        <v>44673</v>
      </c>
      <c r="B2132" s="3">
        <v>-245319959667561</v>
      </c>
      <c r="C2132" s="3">
        <f>[1]!nefin_factors__1[[#This Row],[Rm_minus_Rf]]/B2131-1</f>
        <v>-0.56537670338092805</v>
      </c>
      <c r="D2132" s="3">
        <v>-740859905132021</v>
      </c>
      <c r="E2132" s="3">
        <f>[1]!nefin_factors__1[[#This Row],[SMB]]/D2131-1</f>
        <v>-6.8976787112915261</v>
      </c>
      <c r="F2132" s="3">
        <v>-819490066684338</v>
      </c>
      <c r="G2132" s="3">
        <f>[1]!nefin_factors__1[[#This Row],[HML]]/F2131-1</f>
        <v>-17.176074870443831</v>
      </c>
      <c r="H2132" s="3">
        <v>458670000717865</v>
      </c>
      <c r="I2132" s="4">
        <f>[1]!nefin_factors__1[[#This Row],[Risk_Free]]/H2131-1</f>
        <v>2.3189796928757556E-3</v>
      </c>
      <c r="J2132">
        <v>100282</v>
      </c>
      <c r="K2132">
        <v>100282</v>
      </c>
      <c r="L2132">
        <v>97854</v>
      </c>
      <c r="M2132">
        <v>98212</v>
      </c>
      <c r="N2132">
        <v>8893400</v>
      </c>
      <c r="O2132">
        <v>98212</v>
      </c>
      <c r="P2132">
        <v>-2.0710147673224402E-2</v>
      </c>
      <c r="Q2132">
        <v>-2.0927610479222401E-2</v>
      </c>
      <c r="R2132" s="8">
        <v>6.2809247970581001</v>
      </c>
      <c r="S2132" s="8">
        <v>-4.7486011906375997E-2</v>
      </c>
      <c r="T2132" s="9">
        <v>-4.8650486426517002E-2</v>
      </c>
      <c r="U2132" s="12">
        <v>4.7279000000000002E-2</v>
      </c>
      <c r="V2132" s="16">
        <v>4.7839</v>
      </c>
      <c r="W2132" s="17">
        <f t="shared" si="33"/>
        <v>-2.4397364250563491E-3</v>
      </c>
    </row>
    <row r="2133" spans="1:23" x14ac:dyDescent="0.2">
      <c r="A2133" s="15">
        <v>44676</v>
      </c>
      <c r="B2133" s="5">
        <v>-19045629252776</v>
      </c>
      <c r="C2133" s="5">
        <f>[1]!nefin_factors__1[[#This Row],[Rm_minus_Rf]]/B2132-1</f>
        <v>-0.92236412691985925</v>
      </c>
      <c r="D2133" s="5">
        <v>117824276868927</v>
      </c>
      <c r="E2133" s="5">
        <f>[1]!nefin_factors__1[[#This Row],[SMB]]/D2132-1</f>
        <v>-1.1590371891537723</v>
      </c>
      <c r="F2133" s="5">
        <v>292177588476565</v>
      </c>
      <c r="G2133" s="5">
        <f>[1]!nefin_factors__1[[#This Row],[HML]]/F2132-1</f>
        <v>-1.3565358512016106</v>
      </c>
      <c r="H2133" s="5">
        <v>460791524617754</v>
      </c>
      <c r="I2133" s="6">
        <f>[1]!nefin_factors__1[[#This Row],[Risk_Free]]/H2132-1</f>
        <v>4.6253818574761851E-3</v>
      </c>
      <c r="J2133">
        <v>98212</v>
      </c>
      <c r="K2133">
        <v>98737</v>
      </c>
      <c r="L2133">
        <v>97253</v>
      </c>
      <c r="M2133">
        <v>98271</v>
      </c>
      <c r="N2133">
        <v>12566300</v>
      </c>
      <c r="O2133">
        <v>98271</v>
      </c>
      <c r="P2133">
        <v>6.0074125361464503E-4</v>
      </c>
      <c r="Q2133">
        <v>6.0056088082238398E-4</v>
      </c>
      <c r="R2133" s="8">
        <v>6.3730211257934597</v>
      </c>
      <c r="S2133" s="8">
        <v>1.4662861236372201E-2</v>
      </c>
      <c r="T2133" s="9">
        <v>1.4556400900222101E-2</v>
      </c>
      <c r="U2133" s="12">
        <v>4.7279000000000002E-2</v>
      </c>
      <c r="V2133" s="16">
        <v>4.8909000000000002</v>
      </c>
      <c r="W2133" s="17">
        <f t="shared" si="33"/>
        <v>2.2366688266895363E-2</v>
      </c>
    </row>
    <row r="2134" spans="1:23" x14ac:dyDescent="0.2">
      <c r="A2134" s="14">
        <v>44677</v>
      </c>
      <c r="B2134" s="3">
        <v>-208704583852143</v>
      </c>
      <c r="C2134" s="3">
        <f>[1]!nefin_factors__1[[#This Row],[Rm_minus_Rf]]/B2133-1</f>
        <v>9.9581353854046704</v>
      </c>
      <c r="D2134" s="3">
        <v>-159399827101729</v>
      </c>
      <c r="E2134" s="3">
        <f>[1]!nefin_factors__1[[#This Row],[SMB]]/D2133-1</f>
        <v>-2.352860644152754</v>
      </c>
      <c r="F2134" s="3">
        <v>970670552807277</v>
      </c>
      <c r="G2134" s="3">
        <f>[1]!nefin_factors__1[[#This Row],[HML]]/F2133-1</f>
        <v>2.3221937311086154</v>
      </c>
      <c r="H2134" s="3">
        <v>46185186326908</v>
      </c>
      <c r="I2134" s="4">
        <f>[1]!nefin_factors__1[[#This Row],[Risk_Free]]/H2133-1</f>
        <v>-0.89976988755333431</v>
      </c>
      <c r="J2134">
        <v>98258</v>
      </c>
      <c r="K2134">
        <v>98928</v>
      </c>
      <c r="L2134">
        <v>97403</v>
      </c>
      <c r="M2134">
        <v>97881</v>
      </c>
      <c r="N2134">
        <v>12208100</v>
      </c>
      <c r="O2134">
        <v>97881</v>
      </c>
      <c r="P2134">
        <v>-3.9686173947552899E-3</v>
      </c>
      <c r="Q2134">
        <v>-3.9765132541216596E-3</v>
      </c>
      <c r="R2134" s="8">
        <v>6.2809247970581001</v>
      </c>
      <c r="S2134" s="8">
        <v>-1.44509686877722E-2</v>
      </c>
      <c r="T2134" s="9">
        <v>-1.4556400900222101E-2</v>
      </c>
      <c r="U2134" s="12">
        <v>4.7279000000000002E-2</v>
      </c>
      <c r="V2134" s="16">
        <v>4.8711000000000002</v>
      </c>
      <c r="W2134" s="17">
        <f t="shared" si="33"/>
        <v>-4.0483346623321204E-3</v>
      </c>
    </row>
    <row r="2135" spans="1:23" x14ac:dyDescent="0.2">
      <c r="A2135" s="15">
        <v>44678</v>
      </c>
      <c r="B2135" s="5">
        <v>814486271558135</v>
      </c>
      <c r="C2135" s="5">
        <f>[1]!nefin_factors__1[[#This Row],[Rm_minus_Rf]]/B2134-1</f>
        <v>-4.902579696740915</v>
      </c>
      <c r="D2135" s="5">
        <v>-770829849975482</v>
      </c>
      <c r="E2135" s="5">
        <f>[1]!nefin_factors__1[[#This Row],[SMB]]/D2134-1</f>
        <v>3.8358261360191959</v>
      </c>
      <c r="F2135" s="5">
        <v>-436705165419714</v>
      </c>
      <c r="G2135" s="5">
        <f>[1]!nefin_factors__1[[#This Row],[HML]]/F2134-1</f>
        <v>-1.4499004983273869</v>
      </c>
      <c r="H2135" s="5">
        <v>463971694726117</v>
      </c>
      <c r="I2135" s="6">
        <f>[1]!nefin_factors__1[[#This Row],[Risk_Free]]/H2134-1</f>
        <v>9.0458985147755477</v>
      </c>
      <c r="J2135">
        <v>97879</v>
      </c>
      <c r="K2135">
        <v>97879</v>
      </c>
      <c r="L2135">
        <v>95431</v>
      </c>
      <c r="M2135">
        <v>96121</v>
      </c>
      <c r="N2135">
        <v>12579000</v>
      </c>
      <c r="O2135">
        <v>96121</v>
      </c>
      <c r="P2135">
        <v>-1.7981017766471499E-2</v>
      </c>
      <c r="Q2135">
        <v>-1.8144640637787399E-2</v>
      </c>
      <c r="R2135" s="8">
        <v>6.2809247970581001</v>
      </c>
      <c r="S2135" s="8">
        <v>0</v>
      </c>
      <c r="T2135" s="9">
        <v>0</v>
      </c>
      <c r="U2135" s="12">
        <v>4.7279000000000002E-2</v>
      </c>
      <c r="V2135" s="16">
        <v>4.8951000000000002</v>
      </c>
      <c r="W2135" s="17">
        <f t="shared" si="33"/>
        <v>4.927018537907335E-3</v>
      </c>
    </row>
    <row r="2136" spans="1:23" x14ac:dyDescent="0.2">
      <c r="A2136" s="14">
        <v>44679</v>
      </c>
      <c r="B2136" s="3">
        <v>40186736062089</v>
      </c>
      <c r="C2136" s="3">
        <f>[1]!nefin_factors__1[[#This Row],[Rm_minus_Rf]]/B2135-1</f>
        <v>-0.95066002035220232</v>
      </c>
      <c r="D2136" s="3">
        <v>295276831577101</v>
      </c>
      <c r="E2136" s="3">
        <f>[1]!nefin_factors__1[[#This Row],[SMB]]/D2135-1</f>
        <v>-1.3830635666048647</v>
      </c>
      <c r="F2136" s="3">
        <v>256346207731898</v>
      </c>
      <c r="G2136" s="3">
        <f>[1]!nefin_factors__1[[#This Row],[HML]]/F2135-1</f>
        <v>-1.5870006311592986</v>
      </c>
      <c r="H2136" s="3">
        <v>465384289627613</v>
      </c>
      <c r="I2136" s="4">
        <f>[1]!nefin_factors__1[[#This Row],[Risk_Free]]/H2135-1</f>
        <v>3.0445712907762879E-3</v>
      </c>
      <c r="J2136">
        <v>96119</v>
      </c>
      <c r="K2136">
        <v>96971</v>
      </c>
      <c r="L2136">
        <v>95267</v>
      </c>
      <c r="M2136">
        <v>96551</v>
      </c>
      <c r="N2136">
        <v>11347600</v>
      </c>
      <c r="O2136">
        <v>96551</v>
      </c>
      <c r="P2136">
        <v>4.4735281572185802E-3</v>
      </c>
      <c r="Q2136">
        <v>4.4635516724566898E-3</v>
      </c>
      <c r="R2136" s="8">
        <v>5.9954280853271502</v>
      </c>
      <c r="S2136" s="8">
        <v>-4.5454566159537503E-2</v>
      </c>
      <c r="T2136" s="9">
        <v>-4.6520037325837101E-2</v>
      </c>
      <c r="U2136" s="12">
        <v>4.7279000000000002E-2</v>
      </c>
      <c r="V2136" s="16">
        <v>4.9836</v>
      </c>
      <c r="W2136" s="17">
        <f t="shared" si="33"/>
        <v>1.8079303793589574E-2</v>
      </c>
    </row>
    <row r="2137" spans="1:23" x14ac:dyDescent="0.2">
      <c r="A2137" s="15">
        <v>44680</v>
      </c>
      <c r="B2137" s="5">
        <v>-180129897642796</v>
      </c>
      <c r="C2137" s="5">
        <f>[1]!nefin_factors__1[[#This Row],[Rm_minus_Rf]]/B2136-1</f>
        <v>-5.4823221613343538</v>
      </c>
      <c r="D2137" s="5">
        <v>-243153708018235</v>
      </c>
      <c r="E2137" s="5">
        <f>[1]!nefin_factors__1[[#This Row],[SMB]]/D2136-1</f>
        <v>-1.8234770967960081</v>
      </c>
      <c r="F2137" s="5">
        <v>-357523431939627</v>
      </c>
      <c r="G2137" s="5">
        <f>[1]!nefin_factors__1[[#This Row],[HML]]/F2136-1</f>
        <v>-2.394689763905328</v>
      </c>
      <c r="H2137" s="5">
        <v>466443407369788</v>
      </c>
      <c r="I2137" s="6">
        <f>[1]!nefin_factors__1[[#This Row],[Risk_Free]]/H2136-1</f>
        <v>2.2757917827920249E-3</v>
      </c>
      <c r="J2137">
        <v>96553</v>
      </c>
      <c r="K2137">
        <v>98291</v>
      </c>
      <c r="L2137">
        <v>96553</v>
      </c>
      <c r="M2137">
        <v>96916</v>
      </c>
      <c r="N2137">
        <v>10738200</v>
      </c>
      <c r="O2137">
        <v>96916</v>
      </c>
      <c r="P2137">
        <v>3.7803854957483298E-3</v>
      </c>
      <c r="Q2137">
        <v>3.7732577964863E-3</v>
      </c>
      <c r="R2137" s="8">
        <v>5.9309611320495597</v>
      </c>
      <c r="S2137" s="8">
        <v>-1.0752685606447401E-2</v>
      </c>
      <c r="T2137" s="9">
        <v>-1.08109135107331E-2</v>
      </c>
      <c r="U2137" s="12">
        <v>4.7279000000000002E-2</v>
      </c>
      <c r="V2137" s="16">
        <v>5.1032999999999999</v>
      </c>
      <c r="W2137" s="17">
        <f t="shared" si="33"/>
        <v>2.4018781603659889E-2</v>
      </c>
    </row>
    <row r="2138" spans="1:23" x14ac:dyDescent="0.2">
      <c r="A2138" s="14">
        <v>44683</v>
      </c>
      <c r="B2138" s="3">
        <v>-123835380819795</v>
      </c>
      <c r="C2138" s="3">
        <f>[1]!nefin_factors__1[[#This Row],[Rm_minus_Rf]]/B2137-1</f>
        <v>-0.3125217832224334</v>
      </c>
      <c r="D2138" s="3">
        <v>13721010924911</v>
      </c>
      <c r="E2138" s="3">
        <f>[1]!nefin_factors__1[[#This Row],[SMB]]/D2137-1</f>
        <v>-1.0564293715145894</v>
      </c>
      <c r="F2138" s="3">
        <v>781434944517525</v>
      </c>
      <c r="G2138" s="3">
        <f>[1]!nefin_factors__1[[#This Row],[HML]]/F2137-1</f>
        <v>-3.185688754099568</v>
      </c>
      <c r="H2138" s="3">
        <v>467855126732086</v>
      </c>
      <c r="I2138" s="4">
        <f>[1]!nefin_factors__1[[#This Row],[Risk_Free]]/H2137-1</f>
        <v>3.0265608646040665E-3</v>
      </c>
      <c r="J2138">
        <v>96920</v>
      </c>
      <c r="K2138">
        <v>98346</v>
      </c>
      <c r="L2138">
        <v>96917</v>
      </c>
      <c r="M2138">
        <v>98245</v>
      </c>
      <c r="N2138">
        <v>10295900</v>
      </c>
      <c r="O2138">
        <v>98245</v>
      </c>
      <c r="P2138">
        <v>1.37129060217096E-2</v>
      </c>
      <c r="Q2138">
        <v>1.36197349239767E-2</v>
      </c>
      <c r="R2138" s="8">
        <v>6.0322670936584499</v>
      </c>
      <c r="S2138" s="8">
        <v>1.70808675614906E-2</v>
      </c>
      <c r="T2138" s="9">
        <v>1.69366296982193E-2</v>
      </c>
      <c r="U2138" s="12">
        <v>4.7279000000000002E-2</v>
      </c>
      <c r="V2138" s="16">
        <v>5.1203000000000003</v>
      </c>
      <c r="W2138" s="17">
        <f t="shared" si="33"/>
        <v>3.3311778653029034E-3</v>
      </c>
    </row>
    <row r="2139" spans="1:23" x14ac:dyDescent="0.2">
      <c r="A2139" s="15">
        <v>44684</v>
      </c>
      <c r="B2139" s="5">
        <v>-221558239698504</v>
      </c>
      <c r="C2139" s="5">
        <f>[1]!nefin_factors__1[[#This Row],[Rm_minus_Rf]]/B2138-1</f>
        <v>0.78913520701256701</v>
      </c>
      <c r="D2139" s="5">
        <v>-580820478524423</v>
      </c>
      <c r="E2139" s="5">
        <f>[1]!nefin_factors__1[[#This Row],[SMB]]/D2138-1</f>
        <v>-43.33073508234893</v>
      </c>
      <c r="F2139" s="5">
        <v>186216112475667</v>
      </c>
      <c r="G2139" s="5">
        <f>[1]!nefin_factors__1[[#This Row],[HML]]/F2138-1</f>
        <v>-0.76169978859770482</v>
      </c>
      <c r="H2139" s="5">
        <v>470324433138103</v>
      </c>
      <c r="I2139" s="6">
        <f>[1]!nefin_factors__1[[#This Row],[Risk_Free]]/H2138-1</f>
        <v>5.2779295660705383E-3</v>
      </c>
      <c r="J2139">
        <v>98244</v>
      </c>
      <c r="K2139">
        <v>98366</v>
      </c>
      <c r="L2139">
        <v>97277</v>
      </c>
      <c r="M2139">
        <v>98287</v>
      </c>
      <c r="N2139">
        <v>12941700</v>
      </c>
      <c r="O2139">
        <v>98287</v>
      </c>
      <c r="P2139">
        <v>4.27502671891622E-4</v>
      </c>
      <c r="Q2139">
        <v>4.27411318659291E-4</v>
      </c>
      <c r="R2139" s="8">
        <v>6.4651160240173304</v>
      </c>
      <c r="S2139" s="8">
        <v>7.1755597628282902E-2</v>
      </c>
      <c r="T2139" s="9">
        <v>6.9298049368508405E-2</v>
      </c>
      <c r="U2139" s="12">
        <v>4.7279000000000002E-2</v>
      </c>
      <c r="V2139" s="16">
        <v>5.1119000000000003</v>
      </c>
      <c r="W2139" s="17">
        <f t="shared" si="33"/>
        <v>-1.6405288752612268E-3</v>
      </c>
    </row>
    <row r="2140" spans="1:23" x14ac:dyDescent="0.2">
      <c r="A2140" s="14">
        <v>44685</v>
      </c>
      <c r="B2140" s="3">
        <v>178103922795745</v>
      </c>
      <c r="C2140" s="3">
        <f>[1]!nefin_factors__1[[#This Row],[Rm_minus_Rf]]/B2139-1</f>
        <v>-1.8038695515820511</v>
      </c>
      <c r="D2140" s="3">
        <v>801157375281324</v>
      </c>
      <c r="E2140" s="3">
        <f>[1]!nefin_factors__1[[#This Row],[SMB]]/D2139-1</f>
        <v>-2.3793545594615875</v>
      </c>
      <c r="F2140" s="3">
        <v>-336777741243071</v>
      </c>
      <c r="G2140" s="3">
        <f>[1]!nefin_factors__1[[#This Row],[HML]]/F2139-1</f>
        <v>-2.808531693448804</v>
      </c>
      <c r="H2140" s="3">
        <v>472087287317624</v>
      </c>
      <c r="I2140" s="4">
        <f>[1]!nefin_factors__1[[#This Row],[Risk_Free]]/H2139-1</f>
        <v>3.7481662769651702E-3</v>
      </c>
      <c r="J2140">
        <v>98286</v>
      </c>
      <c r="K2140">
        <v>99057</v>
      </c>
      <c r="L2140">
        <v>97088</v>
      </c>
      <c r="M2140">
        <v>99033</v>
      </c>
      <c r="N2140">
        <v>10060000</v>
      </c>
      <c r="O2140">
        <v>99033</v>
      </c>
      <c r="P2140">
        <v>7.5900169910567703E-3</v>
      </c>
      <c r="Q2140">
        <v>7.5613577368917797E-3</v>
      </c>
      <c r="R2140" s="8">
        <v>6.4559068679809597</v>
      </c>
      <c r="S2140" s="8">
        <v>-1.4244378603827099E-3</v>
      </c>
      <c r="T2140" s="9">
        <v>-1.42545333642799E-3</v>
      </c>
      <c r="U2140" s="12">
        <v>4.9036999999999997E-2</v>
      </c>
      <c r="V2140" s="16">
        <v>5.1313000000000004</v>
      </c>
      <c r="W2140" s="17">
        <f t="shared" si="33"/>
        <v>3.7950664136623402E-3</v>
      </c>
    </row>
    <row r="2141" spans="1:23" x14ac:dyDescent="0.2">
      <c r="A2141" s="15">
        <v>44686</v>
      </c>
      <c r="B2141" s="5">
        <v>-28964581386898</v>
      </c>
      <c r="C2141" s="5">
        <f>[1]!nefin_factors__1[[#This Row],[Rm_minus_Rf]]/B2140-1</f>
        <v>-1.1626274196111641</v>
      </c>
      <c r="D2141" s="5">
        <v>-276075807065757</v>
      </c>
      <c r="E2141" s="5">
        <f>[1]!nefin_factors__1[[#This Row],[SMB]]/D2140-1</f>
        <v>-1.3445962248912879</v>
      </c>
      <c r="F2141" s="5">
        <v>108340313402726</v>
      </c>
      <c r="G2141" s="5">
        <f>[1]!nefin_factors__1[[#This Row],[HML]]/F2140-1</f>
        <v>-1.3216967754544409</v>
      </c>
      <c r="H2141" s="5">
        <v>473497009526147</v>
      </c>
      <c r="I2141" s="6">
        <f>[1]!nefin_factors__1[[#This Row],[Risk_Free]]/H2140-1</f>
        <v>2.9861473638339575E-3</v>
      </c>
      <c r="J2141">
        <v>99034</v>
      </c>
      <c r="K2141">
        <v>99724</v>
      </c>
      <c r="L2141">
        <v>98321</v>
      </c>
      <c r="M2141">
        <v>98925</v>
      </c>
      <c r="N2141">
        <v>10033500</v>
      </c>
      <c r="O2141">
        <v>98925</v>
      </c>
      <c r="P2141">
        <v>-1.0905455757171899E-3</v>
      </c>
      <c r="Q2141">
        <v>-1.09114065322232E-3</v>
      </c>
      <c r="R2141" s="8">
        <v>6.22566795349121</v>
      </c>
      <c r="S2141" s="8">
        <v>-3.5663295521137499E-2</v>
      </c>
      <c r="T2141" s="9">
        <v>-3.6314766850084598E-2</v>
      </c>
      <c r="U2141" s="12">
        <v>4.9036999999999997E-2</v>
      </c>
      <c r="V2141" s="16">
        <v>5.1641000000000004</v>
      </c>
      <c r="W2141" s="17">
        <f t="shared" si="33"/>
        <v>6.3921423420965073E-3</v>
      </c>
    </row>
    <row r="2142" spans="1:23" x14ac:dyDescent="0.2">
      <c r="A2142" s="14">
        <v>44687</v>
      </c>
      <c r="B2142" s="3">
        <v>-323228578543577</v>
      </c>
      <c r="C2142" s="3">
        <f>[1]!nefin_factors__1[[#This Row],[Rm_minus_Rf]]/B2141-1</f>
        <v>10.159442431637835</v>
      </c>
      <c r="D2142" s="3">
        <v>-15522201987327</v>
      </c>
      <c r="E2142" s="3">
        <f>[1]!nefin_factors__1[[#This Row],[SMB]]/D2141-1</f>
        <v>-0.94377558051064625</v>
      </c>
      <c r="F2142" s="3">
        <v>998421930870047</v>
      </c>
      <c r="G2142" s="3">
        <f>[1]!nefin_factors__1[[#This Row],[HML]]/F2141-1</f>
        <v>8.2156086641422359</v>
      </c>
      <c r="H2142" s="3">
        <v>47384936218875</v>
      </c>
      <c r="I2142" s="4">
        <f>[1]!nefin_factors__1[[#This Row],[Risk_Free]]/H2141-1</f>
        <v>-0.89992558502894127</v>
      </c>
      <c r="J2142">
        <v>98926</v>
      </c>
      <c r="K2142">
        <v>100508</v>
      </c>
      <c r="L2142">
        <v>98925</v>
      </c>
      <c r="M2142">
        <v>100270</v>
      </c>
      <c r="N2142">
        <v>8621800</v>
      </c>
      <c r="O2142">
        <v>100270</v>
      </c>
      <c r="P2142">
        <v>1.35961587060904E-2</v>
      </c>
      <c r="Q2142">
        <v>1.3504560264346E-2</v>
      </c>
      <c r="R2142" s="8">
        <v>6.0506858825683603</v>
      </c>
      <c r="S2142" s="8">
        <v>-2.8106553743317698E-2</v>
      </c>
      <c r="T2142" s="9">
        <v>-2.8509103723473001E-2</v>
      </c>
      <c r="U2142" s="12">
        <v>4.9036999999999997E-2</v>
      </c>
      <c r="V2142" s="16">
        <v>5.1462000000000003</v>
      </c>
      <c r="W2142" s="17">
        <f t="shared" si="33"/>
        <v>-3.4662380666524717E-3</v>
      </c>
    </row>
    <row r="2143" spans="1:23" x14ac:dyDescent="0.2">
      <c r="A2143" s="15">
        <v>44690</v>
      </c>
      <c r="B2143" s="5">
        <v>-172759323110714</v>
      </c>
      <c r="C2143" s="5">
        <f>[1]!nefin_factors__1[[#This Row],[Rm_minus_Rf]]/B2142-1</f>
        <v>-0.46551965210148349</v>
      </c>
      <c r="D2143" s="5">
        <v>-217456204675201</v>
      </c>
      <c r="E2143" s="5">
        <f>[1]!nefin_factors__1[[#This Row],[SMB]]/D2142-1</f>
        <v>13.009365736429773</v>
      </c>
      <c r="F2143" s="5">
        <v>198966190723635</v>
      </c>
      <c r="G2143" s="5">
        <f>[1]!nefin_factors__1[[#This Row],[HML]]/F2142-1</f>
        <v>-0.80071933060379452</v>
      </c>
      <c r="H2143" s="5">
        <v>475258461447137</v>
      </c>
      <c r="I2143" s="6">
        <f>[1]!nefin_factors__1[[#This Row],[Risk_Free]]/H2142-1</f>
        <v>9.0297372830023086</v>
      </c>
      <c r="J2143">
        <v>100270</v>
      </c>
      <c r="K2143">
        <v>100753</v>
      </c>
      <c r="L2143">
        <v>99365</v>
      </c>
      <c r="M2143">
        <v>99772</v>
      </c>
      <c r="N2143">
        <v>9136600</v>
      </c>
      <c r="O2143">
        <v>99772</v>
      </c>
      <c r="P2143">
        <v>-4.9665902064426302E-3</v>
      </c>
      <c r="Q2143">
        <v>-4.9789647052948197E-3</v>
      </c>
      <c r="R2143" s="8">
        <v>5.8941230773925799</v>
      </c>
      <c r="S2143" s="8">
        <v>-2.5875216167943599E-2</v>
      </c>
      <c r="T2143" s="9">
        <v>-2.6215868728298002E-2</v>
      </c>
      <c r="U2143" s="12">
        <v>4.9036999999999997E-2</v>
      </c>
      <c r="V2143" s="16">
        <v>5.1509</v>
      </c>
      <c r="W2143" s="17">
        <f t="shared" si="33"/>
        <v>9.1329524697836284E-4</v>
      </c>
    </row>
    <row r="2144" spans="1:23" x14ac:dyDescent="0.2">
      <c r="A2144" s="14">
        <v>44691</v>
      </c>
      <c r="B2144" s="3">
        <v>-120020423988914</v>
      </c>
      <c r="C2144" s="3">
        <f>[1]!nefin_factors__1[[#This Row],[Rm_minus_Rf]]/B2143-1</f>
        <v>-0.30527382356089638</v>
      </c>
      <c r="D2144" s="3">
        <v>116087104395908</v>
      </c>
      <c r="E2144" s="3">
        <f>[1]!nefin_factors__1[[#This Row],[SMB]]/D2143-1</f>
        <v>-1.5338413064336294</v>
      </c>
      <c r="F2144" s="3">
        <v>-43004641614558</v>
      </c>
      <c r="G2144" s="3">
        <f>[1]!nefin_factors__1[[#This Row],[HML]]/F2143-1</f>
        <v>-1.2161404480738722</v>
      </c>
      <c r="H2144" s="3">
        <v>475258461447137</v>
      </c>
      <c r="I2144" s="4">
        <f>[1]!nefin_factors__1[[#This Row],[Risk_Free]]/H2143-1</f>
        <v>0</v>
      </c>
      <c r="J2144">
        <v>99773</v>
      </c>
      <c r="K2144">
        <v>101471</v>
      </c>
      <c r="L2144">
        <v>99772</v>
      </c>
      <c r="M2144">
        <v>101438</v>
      </c>
      <c r="N2144">
        <v>10263100</v>
      </c>
      <c r="O2144">
        <v>101438</v>
      </c>
      <c r="P2144">
        <v>1.6698071603255399E-2</v>
      </c>
      <c r="Q2144">
        <v>1.6560191575683898E-2</v>
      </c>
      <c r="R2144" s="8">
        <v>6.2809247970581001</v>
      </c>
      <c r="S2144" s="8">
        <v>6.5624981797400603E-2</v>
      </c>
      <c r="T2144" s="9">
        <v>6.3561464408126198E-2</v>
      </c>
      <c r="U2144" s="12">
        <v>4.9036999999999997E-2</v>
      </c>
      <c r="V2144" s="16">
        <v>5.1833</v>
      </c>
      <c r="W2144" s="17">
        <f t="shared" si="33"/>
        <v>6.2901628841560697E-3</v>
      </c>
    </row>
    <row r="2145" spans="1:23" x14ac:dyDescent="0.2">
      <c r="A2145" s="15">
        <v>44692</v>
      </c>
      <c r="B2145" s="5">
        <v>813832740551117</v>
      </c>
      <c r="C2145" s="5">
        <f>[1]!nefin_factors__1[[#This Row],[Rm_minus_Rf]]/B2144-1</f>
        <v>-7.7807854155413478</v>
      </c>
      <c r="D2145" s="5">
        <v>-703052540442899</v>
      </c>
      <c r="E2145" s="5">
        <f>[1]!nefin_factors__1[[#This Row],[SMB]]/D2144-1</f>
        <v>-7.0562501244339861</v>
      </c>
      <c r="F2145" s="5">
        <v>702336361683357</v>
      </c>
      <c r="G2145" s="5">
        <f>[1]!nefin_factors__1[[#This Row],[HML]]/F2144-1</f>
        <v>-17.331640848870624</v>
      </c>
      <c r="H2145" s="5">
        <v>47561065844115</v>
      </c>
      <c r="I2145" s="6">
        <f>[1]!nefin_factors__1[[#This Row],[Risk_Free]]/H2144-1</f>
        <v>-0.8999258935878931</v>
      </c>
      <c r="J2145">
        <v>101437</v>
      </c>
      <c r="K2145">
        <v>102686</v>
      </c>
      <c r="L2145">
        <v>101045</v>
      </c>
      <c r="M2145">
        <v>102597</v>
      </c>
      <c r="N2145">
        <v>11130000</v>
      </c>
      <c r="O2145">
        <v>102597</v>
      </c>
      <c r="P2145">
        <v>1.14256984561998E-2</v>
      </c>
      <c r="Q2145">
        <v>1.13609181368738E-2</v>
      </c>
      <c r="R2145" s="8">
        <v>6.5019550323486301</v>
      </c>
      <c r="S2145" s="8">
        <v>3.5190715130684898E-2</v>
      </c>
      <c r="T2145" s="9">
        <v>3.4585675569218897E-2</v>
      </c>
      <c r="U2145" s="12">
        <v>4.9036999999999997E-2</v>
      </c>
      <c r="V2145" s="16">
        <v>5.2333999999999996</v>
      </c>
      <c r="W2145" s="17">
        <f t="shared" si="33"/>
        <v>9.6656570138713427E-3</v>
      </c>
    </row>
    <row r="2146" spans="1:23" x14ac:dyDescent="0.2">
      <c r="A2146" s="14">
        <v>44693</v>
      </c>
      <c r="B2146" s="3">
        <v>128650153116916</v>
      </c>
      <c r="C2146" s="3">
        <f>[1]!nefin_factors__1[[#This Row],[Rm_minus_Rf]]/B2145-1</f>
        <v>-0.84192064695038471</v>
      </c>
      <c r="D2146" s="3">
        <v>723738731350223</v>
      </c>
      <c r="E2146" s="3">
        <f>[1]!nefin_factors__1[[#This Row],[SMB]]/D2145-1</f>
        <v>-2.029423392587832</v>
      </c>
      <c r="F2146" s="3">
        <v>-132299195408935</v>
      </c>
      <c r="G2146" s="3">
        <f>[1]!nefin_factors__1[[#This Row],[HML]]/F2145-1</f>
        <v>-1.1883701352039369</v>
      </c>
      <c r="H2146" s="3">
        <v>475962824318055</v>
      </c>
      <c r="I2146" s="4">
        <f>[1]!nefin_factors__1[[#This Row],[Risk_Free]]/H2145-1</f>
        <v>9.0074044992612077</v>
      </c>
      <c r="J2146">
        <v>102597</v>
      </c>
      <c r="K2146">
        <v>103989</v>
      </c>
      <c r="L2146">
        <v>102514</v>
      </c>
      <c r="M2146">
        <v>103165</v>
      </c>
      <c r="N2146">
        <v>12934200</v>
      </c>
      <c r="O2146">
        <v>103165</v>
      </c>
      <c r="P2146">
        <v>5.5362242560699198E-3</v>
      </c>
      <c r="Q2146">
        <v>5.5209556940963196E-3</v>
      </c>
      <c r="R2146" s="8">
        <v>6.41906785964966</v>
      </c>
      <c r="S2146" s="8">
        <v>-1.2748038441759899E-2</v>
      </c>
      <c r="T2146" s="9">
        <v>-1.28299919262504E-2</v>
      </c>
      <c r="U2146" s="12">
        <v>4.9036999999999997E-2</v>
      </c>
      <c r="V2146" s="16">
        <v>5.2214</v>
      </c>
      <c r="W2146" s="17">
        <f t="shared" si="33"/>
        <v>-2.292964420835375E-3</v>
      </c>
    </row>
    <row r="2147" spans="1:23" x14ac:dyDescent="0.2">
      <c r="A2147" s="15">
        <v>44694</v>
      </c>
      <c r="B2147" s="5">
        <v>111027191192797</v>
      </c>
      <c r="C2147" s="5">
        <f>[1]!nefin_factors__1[[#This Row],[Rm_minus_Rf]]/B2146-1</f>
        <v>-0.13698360629313378</v>
      </c>
      <c r="D2147" s="5">
        <v>306233139997315</v>
      </c>
      <c r="E2147" s="5">
        <f>[1]!nefin_factors__1[[#This Row],[SMB]]/D2146-1</f>
        <v>-0.57687335673468843</v>
      </c>
      <c r="F2147" s="5">
        <v>-190308900057765</v>
      </c>
      <c r="G2147" s="5">
        <f>[1]!nefin_factors__1[[#This Row],[HML]]/F2146-1</f>
        <v>0.43847360121520618</v>
      </c>
      <c r="H2147" s="5">
        <v>47666706274252</v>
      </c>
      <c r="I2147" s="6">
        <f>[1]!nefin_factors__1[[#This Row],[Risk_Free]]/H2146-1</f>
        <v>-0.89985203919539847</v>
      </c>
      <c r="J2147">
        <v>103165</v>
      </c>
      <c r="K2147">
        <v>103317</v>
      </c>
      <c r="L2147">
        <v>101764</v>
      </c>
      <c r="M2147">
        <v>102225</v>
      </c>
      <c r="N2147">
        <v>11626700</v>
      </c>
      <c r="O2147">
        <v>102225</v>
      </c>
      <c r="P2147">
        <v>-9.1116173120728804E-3</v>
      </c>
      <c r="Q2147">
        <v>-9.1533819864872499E-3</v>
      </c>
      <c r="R2147" s="8">
        <v>6.3730211257934597</v>
      </c>
      <c r="S2147" s="8">
        <v>-7.1734299843832002E-3</v>
      </c>
      <c r="T2147" s="9">
        <v>-7.1992827427464698E-3</v>
      </c>
      <c r="U2147" s="12">
        <v>4.9036999999999997E-2</v>
      </c>
      <c r="V2147" s="16">
        <v>5.2179000000000002</v>
      </c>
      <c r="W2147" s="17">
        <f t="shared" si="33"/>
        <v>-6.7031830543529125E-4</v>
      </c>
    </row>
    <row r="2148" spans="1:23" x14ac:dyDescent="0.2">
      <c r="A2148" s="14">
        <v>44697</v>
      </c>
      <c r="B2148" s="3">
        <v>942552443570745</v>
      </c>
      <c r="C2148" s="3">
        <f>[1]!nefin_factors__1[[#This Row],[Rm_minus_Rf]]/B2147-1</f>
        <v>7.4893838477280514</v>
      </c>
      <c r="D2148" s="3">
        <v>453003980239963</v>
      </c>
      <c r="E2148" s="3">
        <f>[1]!nefin_factors__1[[#This Row],[SMB]]/D2147-1</f>
        <v>0.47927810897257839</v>
      </c>
      <c r="F2148" s="3">
        <v>-191970549361195</v>
      </c>
      <c r="G2148" s="3">
        <f>[1]!nefin_factors__1[[#This Row],[HML]]/F2147-1</f>
        <v>8.7313273468851982E-3</v>
      </c>
      <c r="H2148" s="3">
        <v>47701913530096</v>
      </c>
      <c r="I2148" s="4">
        <f>[1]!nefin_factors__1[[#This Row],[Risk_Free]]/H2147-1</f>
        <v>7.3861314523049337E-4</v>
      </c>
      <c r="J2148">
        <v>102225</v>
      </c>
      <c r="K2148">
        <v>103660</v>
      </c>
      <c r="L2148">
        <v>101694</v>
      </c>
      <c r="M2148">
        <v>103362</v>
      </c>
      <c r="N2148">
        <v>10124500</v>
      </c>
      <c r="O2148">
        <v>103362</v>
      </c>
      <c r="P2148">
        <v>1.11225238444608E-2</v>
      </c>
      <c r="Q2148">
        <v>1.1061123441581101E-2</v>
      </c>
      <c r="R2148" s="8">
        <v>6.2625060081481898</v>
      </c>
      <c r="S2148" s="8">
        <v>-1.7341087604115599E-2</v>
      </c>
      <c r="T2148" s="9">
        <v>-1.7493205421118301E-2</v>
      </c>
      <c r="U2148" s="12">
        <v>4.9036999999999997E-2</v>
      </c>
      <c r="V2148" s="16">
        <v>5.2267999999999999</v>
      </c>
      <c r="W2148" s="17">
        <f t="shared" si="33"/>
        <v>1.705667030797775E-3</v>
      </c>
    </row>
    <row r="2149" spans="1:23" x14ac:dyDescent="0.2">
      <c r="A2149" s="15">
        <v>44698</v>
      </c>
      <c r="B2149" s="5">
        <v>599010582883013</v>
      </c>
      <c r="C2149" s="5">
        <f>[1]!nefin_factors__1[[#This Row],[Rm_minus_Rf]]/B2148-1</f>
        <v>-0.36448036714675058</v>
      </c>
      <c r="D2149" s="5">
        <v>643309187099151</v>
      </c>
      <c r="E2149" s="5">
        <f>[1]!nefin_factors__1[[#This Row],[SMB]]/D2148-1</f>
        <v>0.42009610325803415</v>
      </c>
      <c r="F2149" s="5">
        <v>484337561906691</v>
      </c>
      <c r="G2149" s="5">
        <f>[1]!nefin_factors__1[[#This Row],[HML]]/F2148-1</f>
        <v>-3.5229784647612994</v>
      </c>
      <c r="H2149" s="5">
        <v>477723187137791</v>
      </c>
      <c r="I2149" s="6">
        <f>[1]!nefin_factors__1[[#This Row],[Risk_Free]]/H2148-1</f>
        <v>9.0147594044919561</v>
      </c>
      <c r="J2149">
        <v>103362</v>
      </c>
      <c r="K2149">
        <v>103878</v>
      </c>
      <c r="L2149">
        <v>102822</v>
      </c>
      <c r="M2149">
        <v>103775</v>
      </c>
      <c r="N2149">
        <v>12379600</v>
      </c>
      <c r="O2149">
        <v>103775</v>
      </c>
      <c r="P2149">
        <v>3.9956657185427104E-3</v>
      </c>
      <c r="Q2149">
        <v>3.9877042468154499E-3</v>
      </c>
      <c r="R2149" s="8">
        <v>6.7137751579284703</v>
      </c>
      <c r="S2149" s="8">
        <v>7.2058876940496799E-2</v>
      </c>
      <c r="T2149" s="9">
        <v>6.9580983659544099E-2</v>
      </c>
      <c r="U2149" s="12">
        <v>4.9036999999999997E-2</v>
      </c>
      <c r="V2149" s="16">
        <v>5.2380000000000004</v>
      </c>
      <c r="W2149" s="17">
        <f t="shared" si="33"/>
        <v>2.1428024795286937E-3</v>
      </c>
    </row>
    <row r="2150" spans="1:23" x14ac:dyDescent="0.2">
      <c r="A2150" s="14">
        <v>44699</v>
      </c>
      <c r="B2150" s="3">
        <v>-220482010747977</v>
      </c>
      <c r="C2150" s="3">
        <f>[1]!nefin_factors__1[[#This Row],[Rm_minus_Rf]]/B2149-1</f>
        <v>-1.3680769873660767</v>
      </c>
      <c r="D2150" s="3">
        <v>-315345871192479</v>
      </c>
      <c r="E2150" s="3">
        <f>[1]!nefin_factors__1[[#This Row],[SMB]]/D2149-1</f>
        <v>-1.4901933277440911</v>
      </c>
      <c r="F2150" s="3">
        <v>-131292177596498</v>
      </c>
      <c r="G2150" s="3">
        <f>[1]!nefin_factors__1[[#This Row],[HML]]/F2149-1</f>
        <v>-1.2710757701294946</v>
      </c>
      <c r="H2150" s="3">
        <v>477723187137791</v>
      </c>
      <c r="I2150" s="4">
        <f>[1]!nefin_factors__1[[#This Row],[Risk_Free]]/H2149-1</f>
        <v>0</v>
      </c>
      <c r="J2150">
        <v>103777</v>
      </c>
      <c r="K2150">
        <v>106162</v>
      </c>
      <c r="L2150">
        <v>103777</v>
      </c>
      <c r="M2150">
        <v>105892</v>
      </c>
      <c r="N2150">
        <v>15499000</v>
      </c>
      <c r="O2150">
        <v>105892</v>
      </c>
      <c r="P2150">
        <v>2.0399903637677599E-2</v>
      </c>
      <c r="Q2150">
        <v>2.0194612849683401E-2</v>
      </c>
      <c r="R2150" s="8">
        <v>7.3308157920837402</v>
      </c>
      <c r="S2150" s="8">
        <v>9.1906657527336802E-2</v>
      </c>
      <c r="T2150" s="9">
        <v>8.7925395214402194E-2</v>
      </c>
      <c r="U2150" s="12">
        <v>4.9036999999999997E-2</v>
      </c>
      <c r="V2150" s="16">
        <v>5.3141999999999996</v>
      </c>
      <c r="W2150" s="17">
        <f t="shared" si="33"/>
        <v>1.4547537227949547E-2</v>
      </c>
    </row>
    <row r="2151" spans="1:23" x14ac:dyDescent="0.2">
      <c r="A2151" s="15">
        <v>44700</v>
      </c>
      <c r="B2151" s="5">
        <v>570403653138406</v>
      </c>
      <c r="C2151" s="5">
        <f>[1]!nefin_factors__1[[#This Row],[Rm_minus_Rf]]/B2150-1</f>
        <v>-3.5870757038333099</v>
      </c>
      <c r="D2151" s="5">
        <v>665597555276532</v>
      </c>
      <c r="E2151" s="5">
        <f>[1]!nefin_factors__1[[#This Row],[SMB]]/D2150-1</f>
        <v>-3.1106905657574582</v>
      </c>
      <c r="F2151" s="5">
        <v>394221193462712</v>
      </c>
      <c r="G2151" s="5">
        <f>[1]!nefin_factors__1[[#This Row],[HML]]/F2150-1</f>
        <v>-4.002625142483943</v>
      </c>
      <c r="H2151" s="5">
        <v>477723187137791</v>
      </c>
      <c r="I2151" s="6">
        <f>[1]!nefin_factors__1[[#This Row],[Risk_Free]]/H2150-1</f>
        <v>0</v>
      </c>
      <c r="J2151">
        <v>105893</v>
      </c>
      <c r="K2151">
        <v>107176</v>
      </c>
      <c r="L2151">
        <v>105518</v>
      </c>
      <c r="M2151">
        <v>106472</v>
      </c>
      <c r="N2151">
        <v>12947500</v>
      </c>
      <c r="O2151">
        <v>106472</v>
      </c>
      <c r="P2151">
        <v>5.4772787368262401E-3</v>
      </c>
      <c r="Q2151">
        <v>5.4623329954691501E-3</v>
      </c>
      <c r="R2151" s="8">
        <v>7.1374149322509801</v>
      </c>
      <c r="S2151" s="8">
        <v>-2.63819014578991E-2</v>
      </c>
      <c r="T2151" s="9">
        <v>-2.6736148181987902E-2</v>
      </c>
      <c r="U2151" s="12">
        <v>4.9036999999999997E-2</v>
      </c>
      <c r="V2151" s="16">
        <v>5.3037999999999998</v>
      </c>
      <c r="W2151" s="17">
        <f t="shared" si="33"/>
        <v>-1.9570208121635346E-3</v>
      </c>
    </row>
    <row r="2152" spans="1:23" x14ac:dyDescent="0.2">
      <c r="A2152" s="14">
        <v>44701</v>
      </c>
      <c r="B2152" s="3">
        <v>103931990590709</v>
      </c>
      <c r="C2152" s="3">
        <f>[1]!nefin_factors__1[[#This Row],[Rm_minus_Rf]]/B2151-1</f>
        <v>-0.817792207292385</v>
      </c>
      <c r="D2152" s="3">
        <v>-664438056438965</v>
      </c>
      <c r="E2152" s="3">
        <f>[1]!nefin_factors__1[[#This Row],[SMB]]/D2151-1</f>
        <v>-1.9982579580883748</v>
      </c>
      <c r="F2152" s="3">
        <v>-261282550137781</v>
      </c>
      <c r="G2152" s="3">
        <f>[1]!nefin_factors__1[[#This Row],[HML]]/F2151-1</f>
        <v>-1.6627815918336588</v>
      </c>
      <c r="H2152" s="3">
        <v>478075166427283</v>
      </c>
      <c r="I2152" s="4">
        <f>[1]!nefin_factors__1[[#This Row],[Risk_Free]]/H2151-1</f>
        <v>7.367850231445594E-4</v>
      </c>
      <c r="J2152">
        <v>106473</v>
      </c>
      <c r="K2152">
        <v>108489</v>
      </c>
      <c r="L2152">
        <v>106473</v>
      </c>
      <c r="M2152">
        <v>108402</v>
      </c>
      <c r="N2152">
        <v>12674600</v>
      </c>
      <c r="O2152">
        <v>108402</v>
      </c>
      <c r="P2152">
        <v>1.8126831467428099E-2</v>
      </c>
      <c r="Q2152">
        <v>1.7964499235590198E-2</v>
      </c>
      <c r="R2152" s="8">
        <v>7.3123970031738299</v>
      </c>
      <c r="S2152" s="8">
        <v>2.4516169030916399E-2</v>
      </c>
      <c r="T2152" s="9">
        <v>2.4220470935299498E-2</v>
      </c>
      <c r="U2152" s="12">
        <v>4.9036999999999997E-2</v>
      </c>
      <c r="V2152" s="16">
        <v>5.3898999999999999</v>
      </c>
      <c r="W2152" s="17">
        <f t="shared" si="33"/>
        <v>1.6233643802556763E-2</v>
      </c>
    </row>
    <row r="2153" spans="1:23" x14ac:dyDescent="0.2">
      <c r="A2153" s="15">
        <v>44704</v>
      </c>
      <c r="B2153" s="5">
        <v>167325716870009</v>
      </c>
      <c r="C2153" s="5">
        <f>[1]!nefin_factors__1[[#This Row],[Rm_minus_Rf]]/B2152-1</f>
        <v>0.60995393159502398</v>
      </c>
      <c r="D2153" s="5">
        <v>535934766215305</v>
      </c>
      <c r="E2153" s="5">
        <f>[1]!nefin_factors__1[[#This Row],[SMB]]/D2152-1</f>
        <v>-1.8065985399566524</v>
      </c>
      <c r="F2153" s="5">
        <v>131966564952411</v>
      </c>
      <c r="G2153" s="5">
        <f>[1]!nefin_factors__1[[#This Row],[HML]]/F2152-1</f>
        <v>-1.5050722479661256</v>
      </c>
      <c r="H2153" s="5">
        <v>478779031775955</v>
      </c>
      <c r="I2153" s="6">
        <f>[1]!nefin_factors__1[[#This Row],[Risk_Free]]/H2152-1</f>
        <v>1.4722901294623725E-3</v>
      </c>
      <c r="J2153">
        <v>108403</v>
      </c>
      <c r="K2153">
        <v>109331</v>
      </c>
      <c r="L2153">
        <v>107842</v>
      </c>
      <c r="M2153">
        <v>108651</v>
      </c>
      <c r="N2153">
        <v>12147900</v>
      </c>
      <c r="O2153">
        <v>108651</v>
      </c>
      <c r="P2153">
        <v>2.29700559030266E-3</v>
      </c>
      <c r="Q2153">
        <v>2.2943715058616702E-3</v>
      </c>
      <c r="R2153" s="8">
        <v>6.5111641883850098</v>
      </c>
      <c r="S2153" s="8">
        <v>-0.10957184278165601</v>
      </c>
      <c r="T2153" s="9">
        <v>-0.11605285640945499</v>
      </c>
      <c r="U2153" s="12">
        <v>4.9036999999999997E-2</v>
      </c>
      <c r="V2153" s="16">
        <v>5.4321000000000002</v>
      </c>
      <c r="W2153" s="17">
        <f t="shared" si="33"/>
        <v>7.8294588025751288E-3</v>
      </c>
    </row>
    <row r="2154" spans="1:23" x14ac:dyDescent="0.2">
      <c r="A2154" s="14">
        <v>44705</v>
      </c>
      <c r="B2154" s="3">
        <v>89800951755816</v>
      </c>
      <c r="C2154" s="3">
        <f>[1]!nefin_factors__1[[#This Row],[Rm_minus_Rf]]/B2153-1</f>
        <v>-0.46331649769305916</v>
      </c>
      <c r="D2154" s="3">
        <v>-111978628927726</v>
      </c>
      <c r="E2154" s="3">
        <f>[1]!nefin_factors__1[[#This Row],[SMB]]/D2153-1</f>
        <v>-1.2089407815777713</v>
      </c>
      <c r="F2154" s="3">
        <v>39793139326907</v>
      </c>
      <c r="G2154" s="3">
        <f>[1]!nefin_factors__1[[#This Row],[HML]]/F2153-1</f>
        <v>-0.69846044457354051</v>
      </c>
      <c r="H2154" s="3">
        <v>479482772854034</v>
      </c>
      <c r="I2154" s="4">
        <f>[1]!nefin_factors__1[[#This Row],[Risk_Free]]/H2153-1</f>
        <v>1.4698661206373753E-3</v>
      </c>
      <c r="J2154">
        <v>108658</v>
      </c>
      <c r="K2154">
        <v>110362</v>
      </c>
      <c r="L2154">
        <v>108657</v>
      </c>
      <c r="M2154">
        <v>110236</v>
      </c>
      <c r="N2154">
        <v>13376200</v>
      </c>
      <c r="O2154">
        <v>110236</v>
      </c>
      <c r="P2154">
        <v>1.45879927474206E-2</v>
      </c>
      <c r="Q2154">
        <v>1.44826116110975E-2</v>
      </c>
      <c r="R2154" s="8">
        <v>6.47432613372803</v>
      </c>
      <c r="S2154" s="8">
        <v>-5.6576755847589401E-3</v>
      </c>
      <c r="T2154" s="9">
        <v>-5.6737408546489003E-3</v>
      </c>
      <c r="U2154" s="12">
        <v>4.9036999999999997E-2</v>
      </c>
      <c r="V2154" s="16">
        <v>5.3639999999999999</v>
      </c>
      <c r="W2154" s="17">
        <f t="shared" si="33"/>
        <v>-1.2536588059866349E-2</v>
      </c>
    </row>
    <row r="2155" spans="1:23" x14ac:dyDescent="0.2">
      <c r="A2155" s="15">
        <v>44706</v>
      </c>
      <c r="B2155" s="5">
        <v>-804757846317379</v>
      </c>
      <c r="C2155" s="5">
        <f>[1]!nefin_factors__1[[#This Row],[Rm_minus_Rf]]/B2154-1</f>
        <v>-9.961573686943229</v>
      </c>
      <c r="D2155" s="5">
        <v>125692627694118</v>
      </c>
      <c r="E2155" s="5">
        <f>[1]!nefin_factors__1[[#This Row],[SMB]]/D2154-1</f>
        <v>-2.1224697864022195</v>
      </c>
      <c r="F2155" s="5">
        <v>-875897875896949</v>
      </c>
      <c r="G2155" s="5">
        <f>[1]!nefin_factors__1[[#This Row],[HML]]/F2154-1</f>
        <v>-23.011278595069061</v>
      </c>
      <c r="H2155" s="5">
        <v>47983459680534</v>
      </c>
      <c r="I2155" s="6">
        <f>[1]!nefin_factors__1[[#This Row],[Risk_Free]]/H2154-1</f>
        <v>-0.89992662427698666</v>
      </c>
      <c r="J2155">
        <v>110236</v>
      </c>
      <c r="K2155">
        <v>111310</v>
      </c>
      <c r="L2155">
        <v>109604</v>
      </c>
      <c r="M2155">
        <v>109718</v>
      </c>
      <c r="N2155">
        <v>14944800</v>
      </c>
      <c r="O2155">
        <v>109718</v>
      </c>
      <c r="P2155">
        <v>-4.6990093980188198E-3</v>
      </c>
      <c r="Q2155">
        <v>-4.7100844508182497E-3</v>
      </c>
      <c r="R2155" s="8">
        <v>6.39143991470337</v>
      </c>
      <c r="S2155" s="8">
        <v>-1.2802292827490101E-2</v>
      </c>
      <c r="T2155" s="9">
        <v>-1.28849483899204E-2</v>
      </c>
      <c r="U2155" s="12">
        <v>4.9036999999999997E-2</v>
      </c>
      <c r="V2155" s="16">
        <v>5.3086000000000002</v>
      </c>
      <c r="W2155" s="17">
        <f t="shared" si="33"/>
        <v>-1.032811334824757E-2</v>
      </c>
    </row>
    <row r="2156" spans="1:23" x14ac:dyDescent="0.2">
      <c r="A2156" s="14">
        <v>44707</v>
      </c>
      <c r="B2156" s="3">
        <v>997013107820363</v>
      </c>
      <c r="C2156" s="3">
        <f>[1]!nefin_factors__1[[#This Row],[Rm_minus_Rf]]/B2155-1</f>
        <v>-2.2388982752796456</v>
      </c>
      <c r="D2156" s="3">
        <v>11918791418485</v>
      </c>
      <c r="E2156" s="3">
        <f>[1]!nefin_factors__1[[#This Row],[SMB]]/D2155-1</f>
        <v>-0.90517509549175601</v>
      </c>
      <c r="F2156" s="3">
        <v>-131319775946561</v>
      </c>
      <c r="G2156" s="3">
        <f>[1]!nefin_factors__1[[#This Row],[HML]]/F2155-1</f>
        <v>-0.85007410160449914</v>
      </c>
      <c r="H2156" s="3">
        <v>480186389705484</v>
      </c>
      <c r="I2156" s="4">
        <f>[1]!nefin_factors__1[[#This Row],[Risk_Free]]/H2155-1</f>
        <v>9.0073315451300555</v>
      </c>
      <c r="J2156">
        <v>109718</v>
      </c>
      <c r="K2156">
        <v>112764</v>
      </c>
      <c r="L2156">
        <v>109718</v>
      </c>
      <c r="M2156">
        <v>112764</v>
      </c>
      <c r="N2156">
        <v>18704900</v>
      </c>
      <c r="O2156">
        <v>112764</v>
      </c>
      <c r="P2156">
        <v>2.7762080971217101E-2</v>
      </c>
      <c r="Q2156">
        <v>2.7383701502942101E-2</v>
      </c>
      <c r="R2156" s="8">
        <v>6.5848407745361301</v>
      </c>
      <c r="S2156" s="8">
        <v>3.0259356641661999E-2</v>
      </c>
      <c r="T2156" s="9">
        <v>2.98105731093198E-2</v>
      </c>
      <c r="U2156" s="12">
        <v>4.9036999999999997E-2</v>
      </c>
      <c r="V2156" s="16">
        <v>5.3476999999999997</v>
      </c>
      <c r="W2156" s="17">
        <f t="shared" si="33"/>
        <v>7.3654070753117473E-3</v>
      </c>
    </row>
    <row r="2157" spans="1:23" x14ac:dyDescent="0.2">
      <c r="A2157" s="15">
        <v>44708</v>
      </c>
      <c r="B2157" s="5">
        <v>-107261740555479</v>
      </c>
      <c r="C2157" s="5">
        <f>[1]!nefin_factors__1[[#This Row],[Rm_minus_Rf]]/B2156-1</f>
        <v>-1.1075830796146413</v>
      </c>
      <c r="D2157" s="5">
        <v>-451727928194899</v>
      </c>
      <c r="E2157" s="5">
        <f>[1]!nefin_factors__1[[#This Row],[SMB]]/D2156-1</f>
        <v>-38.900481041585188</v>
      </c>
      <c r="F2157" s="5">
        <v>-812668415956854</v>
      </c>
      <c r="G2157" s="5">
        <f>[1]!nefin_factors__1[[#This Row],[HML]]/F2156-1</f>
        <v>5.1884694068284096</v>
      </c>
      <c r="H2157" s="5">
        <v>480538151559795</v>
      </c>
      <c r="I2157" s="6">
        <f>[1]!nefin_factors__1[[#This Row],[Risk_Free]]/H2156-1</f>
        <v>7.3255273754591066E-4</v>
      </c>
      <c r="J2157">
        <v>112767</v>
      </c>
      <c r="K2157">
        <v>113214</v>
      </c>
      <c r="L2157">
        <v>111067</v>
      </c>
      <c r="M2157">
        <v>113032</v>
      </c>
      <c r="N2157">
        <v>15552900</v>
      </c>
      <c r="O2157">
        <v>113032</v>
      </c>
      <c r="P2157">
        <v>2.3766450285551701E-3</v>
      </c>
      <c r="Q2157">
        <v>2.3738252745784099E-3</v>
      </c>
      <c r="R2157" s="8">
        <v>7.2110910415649396</v>
      </c>
      <c r="S2157" s="8">
        <v>9.5104845883372993E-2</v>
      </c>
      <c r="T2157" s="9">
        <v>9.0850108349938299E-2</v>
      </c>
      <c r="U2157" s="12">
        <v>4.9036999999999997E-2</v>
      </c>
      <c r="V2157" s="16">
        <v>5.4119999999999999</v>
      </c>
      <c r="W2157" s="17">
        <f t="shared" si="33"/>
        <v>1.2023860725171698E-2</v>
      </c>
    </row>
    <row r="2158" spans="1:23" x14ac:dyDescent="0.2">
      <c r="A2158" s="14">
        <v>44711</v>
      </c>
      <c r="B2158" s="3">
        <v>-809925070634563</v>
      </c>
      <c r="C2158" s="3">
        <f>[1]!nefin_factors__1[[#This Row],[Rm_minus_Rf]]/B2157-1</f>
        <v>6.5509223180621925</v>
      </c>
      <c r="D2158" s="3">
        <v>347508294525961</v>
      </c>
      <c r="E2158" s="3">
        <f>[1]!nefin_factors__1[[#This Row],[SMB]]/D2157-1</f>
        <v>-1.7692867162643702</v>
      </c>
      <c r="F2158" s="3">
        <v>-115386890204358</v>
      </c>
      <c r="G2158" s="3">
        <f>[1]!nefin_factors__1[[#This Row],[HML]]/F2157-1</f>
        <v>-0.85801479676246695</v>
      </c>
      <c r="H2158" s="3">
        <v>480889882374269</v>
      </c>
      <c r="I2158" s="4">
        <f>[1]!nefin_factors__1[[#This Row],[Risk_Free]]/H2157-1</f>
        <v>7.3195190294939039E-4</v>
      </c>
      <c r="J2158">
        <v>113034</v>
      </c>
      <c r="K2158">
        <v>113626</v>
      </c>
      <c r="L2158">
        <v>112690</v>
      </c>
      <c r="M2158">
        <v>113512</v>
      </c>
      <c r="N2158">
        <v>12986400</v>
      </c>
      <c r="O2158">
        <v>113512</v>
      </c>
      <c r="P2158">
        <v>4.2465850378654597E-3</v>
      </c>
      <c r="Q2158">
        <v>4.2375937415056004E-3</v>
      </c>
      <c r="R2158" s="8">
        <v>7.1834630966186497</v>
      </c>
      <c r="S2158" s="8">
        <v>-3.8313127357623199E-3</v>
      </c>
      <c r="T2158" s="9">
        <v>-3.8386710149941601E-3</v>
      </c>
      <c r="U2158" s="12">
        <v>4.9036999999999997E-2</v>
      </c>
      <c r="V2158" s="16">
        <v>5.3992000000000004</v>
      </c>
      <c r="W2158" s="17">
        <f t="shared" si="33"/>
        <v>-2.3651145602364698E-3</v>
      </c>
    </row>
    <row r="2159" spans="1:23" x14ac:dyDescent="0.2">
      <c r="A2159" s="15">
        <v>44712</v>
      </c>
      <c r="B2159" s="5">
        <v>320598325332681</v>
      </c>
      <c r="C2159" s="5">
        <f>[1]!nefin_factors__1[[#This Row],[Rm_minus_Rf]]/B2158-1</f>
        <v>-1.3958370187028506</v>
      </c>
      <c r="D2159" s="5">
        <v>-150528576701488</v>
      </c>
      <c r="E2159" s="5">
        <f>[1]!nefin_factors__1[[#This Row],[SMB]]/D2158-1</f>
        <v>-1.4331654210062101</v>
      </c>
      <c r="F2159" s="5">
        <v>630188345365718</v>
      </c>
      <c r="G2159" s="5">
        <f>[1]!nefin_factors__1[[#This Row],[HML]]/F2158-1</f>
        <v>-6.4615246519739955</v>
      </c>
      <c r="H2159" s="5">
        <v>481241582153791</v>
      </c>
      <c r="I2159" s="6">
        <f>[1]!nefin_factors__1[[#This Row],[Risk_Free]]/H2158-1</f>
        <v>7.3135200471585726E-4</v>
      </c>
      <c r="J2159">
        <v>113508</v>
      </c>
      <c r="K2159">
        <v>114146</v>
      </c>
      <c r="L2159">
        <v>112483</v>
      </c>
      <c r="M2159">
        <v>113708</v>
      </c>
      <c r="N2159">
        <v>14652800</v>
      </c>
      <c r="O2159">
        <v>113708</v>
      </c>
      <c r="P2159">
        <v>1.7266896891958701E-3</v>
      </c>
      <c r="Q2159">
        <v>1.72520067435246E-3</v>
      </c>
      <c r="R2159" s="8">
        <v>7.1926717758178702</v>
      </c>
      <c r="S2159" s="8">
        <v>1.2819275432143201E-3</v>
      </c>
      <c r="T2159" s="9">
        <v>1.28110657564036E-3</v>
      </c>
      <c r="U2159" s="12">
        <v>4.9036999999999997E-2</v>
      </c>
      <c r="V2159" s="16">
        <v>5.4568000000000003</v>
      </c>
      <c r="W2159" s="17">
        <f t="shared" si="33"/>
        <v>1.0668247147725518E-2</v>
      </c>
    </row>
    <row r="2160" spans="1:23" x14ac:dyDescent="0.2">
      <c r="A2160" s="14">
        <v>44713</v>
      </c>
      <c r="B2160" s="3">
        <v>-361099092886004</v>
      </c>
      <c r="C2160" s="3">
        <f>[1]!nefin_factors__1[[#This Row],[Rm_minus_Rf]]/B2159-1</f>
        <v>-2.1263286934243837</v>
      </c>
      <c r="D2160" s="3">
        <v>-899815121166116</v>
      </c>
      <c r="E2160" s="3">
        <f>[1]!nefin_factors__1[[#This Row],[SMB]]/D2159-1</f>
        <v>4.9777029776248538</v>
      </c>
      <c r="F2160" s="3">
        <v>-173613623269952</v>
      </c>
      <c r="G2160" s="3">
        <f>[1]!nefin_factors__1[[#This Row],[HML]]/F2159-1</f>
        <v>-1.2754948176155154</v>
      </c>
      <c r="H2160" s="3">
        <v>481944888630848</v>
      </c>
      <c r="I2160" s="4">
        <f>[1]!nefin_factors__1[[#This Row],[Risk_Free]]/H2159-1</f>
        <v>1.4614416192162416E-3</v>
      </c>
      <c r="J2160">
        <v>113708</v>
      </c>
      <c r="K2160">
        <v>114375</v>
      </c>
      <c r="L2160">
        <v>113304</v>
      </c>
      <c r="M2160">
        <v>113813</v>
      </c>
      <c r="N2160">
        <v>10644200</v>
      </c>
      <c r="O2160">
        <v>113813</v>
      </c>
      <c r="P2160">
        <v>9.23417877370047E-4</v>
      </c>
      <c r="Q2160">
        <v>9.2299178936660199E-4</v>
      </c>
      <c r="R2160" s="8">
        <v>6.9163851737976101</v>
      </c>
      <c r="S2160" s="8">
        <v>-3.84122354851716E-2</v>
      </c>
      <c r="T2160" s="9">
        <v>-3.91694393723825E-2</v>
      </c>
      <c r="U2160" s="12">
        <v>4.9036999999999997E-2</v>
      </c>
      <c r="V2160" s="16">
        <v>5.4013999999999998</v>
      </c>
      <c r="W2160" s="17">
        <f t="shared" si="33"/>
        <v>-1.0152470312271067E-2</v>
      </c>
    </row>
    <row r="2161" spans="1:23" x14ac:dyDescent="0.2">
      <c r="A2161" s="15">
        <v>44714</v>
      </c>
      <c r="B2161" s="5">
        <v>699299139198004</v>
      </c>
      <c r="C2161" s="5">
        <f>[1]!nefin_factors__1[[#This Row],[Rm_minus_Rf]]/B2160-1</f>
        <v>-2.9365851451162932</v>
      </c>
      <c r="D2161" s="5">
        <v>-153201180968769</v>
      </c>
      <c r="E2161" s="5">
        <f>[1]!nefin_factors__1[[#This Row],[SMB]]/D2160-1</f>
        <v>-0.8297414909295725</v>
      </c>
      <c r="F2161" s="5">
        <v>-28281269283025</v>
      </c>
      <c r="G2161" s="5">
        <f>[1]!nefin_factors__1[[#This Row],[HML]]/F2160-1</f>
        <v>-0.83710224606596439</v>
      </c>
      <c r="H2161" s="5">
        <v>48264807103493</v>
      </c>
      <c r="I2161" s="6">
        <f>[1]!nefin_factors__1[[#This Row],[Risk_Free]]/H2160-1</f>
        <v>-0.8998540948517828</v>
      </c>
      <c r="J2161">
        <v>113807</v>
      </c>
      <c r="K2161">
        <v>113807</v>
      </c>
      <c r="L2161">
        <v>111146</v>
      </c>
      <c r="M2161">
        <v>111496</v>
      </c>
      <c r="N2161">
        <v>12678600</v>
      </c>
      <c r="O2161">
        <v>111496</v>
      </c>
      <c r="P2161">
        <v>-2.0357955593824899E-2</v>
      </c>
      <c r="Q2161">
        <v>-2.0568034851522799E-2</v>
      </c>
      <c r="R2161" s="8">
        <v>6.5295829772949201</v>
      </c>
      <c r="S2161" s="8">
        <v>-5.5925485175126903E-2</v>
      </c>
      <c r="T2161" s="9">
        <v>-5.7550180756014799E-2</v>
      </c>
      <c r="U2161" s="12">
        <v>4.9036999999999997E-2</v>
      </c>
      <c r="V2161" s="16">
        <v>5.3674999999999997</v>
      </c>
      <c r="W2161" s="17">
        <f t="shared" si="33"/>
        <v>-6.2761506276151069E-3</v>
      </c>
    </row>
    <row r="2162" spans="1:23" x14ac:dyDescent="0.2">
      <c r="A2162" s="14">
        <v>44715</v>
      </c>
      <c r="B2162" s="3">
        <v>-113979211675445</v>
      </c>
      <c r="C2162" s="3">
        <f>[1]!nefin_factors__1[[#This Row],[Rm_minus_Rf]]/B2161-1</f>
        <v>-1.1629906363193336</v>
      </c>
      <c r="D2162" s="3">
        <v>868985458871975</v>
      </c>
      <c r="E2162" s="3">
        <f>[1]!nefin_factors__1[[#This Row],[SMB]]/D2161-1</f>
        <v>-6.6721851187891499</v>
      </c>
      <c r="F2162" s="3">
        <v>923026996619144</v>
      </c>
      <c r="G2162" s="3">
        <f>[1]!nefin_factors__1[[#This Row],[HML]]/F2161-1</f>
        <v>-33.637396411806868</v>
      </c>
      <c r="H2162" s="3">
        <v>483351129410003</v>
      </c>
      <c r="I2162" s="4">
        <f>[1]!nefin_factors__1[[#This Row],[Risk_Free]]/H2161-1</f>
        <v>9.0145666877641393</v>
      </c>
      <c r="J2162">
        <v>111487</v>
      </c>
      <c r="K2162">
        <v>111487</v>
      </c>
      <c r="L2162">
        <v>109858</v>
      </c>
      <c r="M2162">
        <v>110501</v>
      </c>
      <c r="N2162">
        <v>11010900</v>
      </c>
      <c r="O2162">
        <v>110501</v>
      </c>
      <c r="P2162">
        <v>-8.9240869627610405E-3</v>
      </c>
      <c r="Q2162">
        <v>-8.9641451265943008E-3</v>
      </c>
      <c r="R2162" s="8">
        <v>6.4098591804504403</v>
      </c>
      <c r="S2162" s="8">
        <v>-1.8335596202819299E-2</v>
      </c>
      <c r="T2162" s="9">
        <v>-1.8505776697422899E-2</v>
      </c>
      <c r="U2162" s="12">
        <v>4.9036999999999997E-2</v>
      </c>
      <c r="V2162" s="16">
        <v>5.3903999999999996</v>
      </c>
      <c r="W2162" s="17">
        <f t="shared" si="33"/>
        <v>4.2664182580345322E-3</v>
      </c>
    </row>
    <row r="2163" spans="1:23" x14ac:dyDescent="0.2">
      <c r="A2163" s="15">
        <v>44718</v>
      </c>
      <c r="B2163" s="5">
        <v>-107995595259704</v>
      </c>
      <c r="C2163" s="5">
        <f>[1]!nefin_factors__1[[#This Row],[Rm_minus_Rf]]/B2162-1</f>
        <v>-5.2497436399010278E-2</v>
      </c>
      <c r="D2163" s="5">
        <v>-161328905294102</v>
      </c>
      <c r="E2163" s="5">
        <f>[1]!nefin_factors__1[[#This Row],[SMB]]/D2162-1</f>
        <v>-1.1856520194290963</v>
      </c>
      <c r="F2163" s="5">
        <v>275956695498552</v>
      </c>
      <c r="G2163" s="5">
        <f>[1]!nefin_factors__1[[#This Row],[HML]]/F2162-1</f>
        <v>-0.70103074286090872</v>
      </c>
      <c r="H2163" s="5">
        <v>484756874248093</v>
      </c>
      <c r="I2163" s="6">
        <f>[1]!nefin_factors__1[[#This Row],[Risk_Free]]/H2162-1</f>
        <v>2.9083305128632109E-3</v>
      </c>
      <c r="J2163">
        <v>110504</v>
      </c>
      <c r="K2163">
        <v>112965</v>
      </c>
      <c r="L2163">
        <v>110503</v>
      </c>
      <c r="M2163">
        <v>112857</v>
      </c>
      <c r="N2163">
        <v>11892000</v>
      </c>
      <c r="O2163">
        <v>112857</v>
      </c>
      <c r="P2163">
        <v>2.1321074017429699E-2</v>
      </c>
      <c r="Q2163">
        <v>2.1096959891553701E-2</v>
      </c>
      <c r="R2163" s="8">
        <v>6.6124691963195801</v>
      </c>
      <c r="S2163" s="8">
        <v>3.16091212248601E-2</v>
      </c>
      <c r="T2163" s="9">
        <v>3.11198368092096E-2</v>
      </c>
      <c r="U2163" s="12">
        <v>4.9036999999999997E-2</v>
      </c>
      <c r="V2163" s="16">
        <v>5.4287999999999998</v>
      </c>
      <c r="W2163" s="17">
        <f t="shared" si="33"/>
        <v>7.1237756010686937E-3</v>
      </c>
    </row>
    <row r="2164" spans="1:23" x14ac:dyDescent="0.2">
      <c r="A2164" s="14">
        <v>44719</v>
      </c>
      <c r="B2164" s="3">
        <v>-496721266582934</v>
      </c>
      <c r="C2164" s="3">
        <f>[1]!nefin_factors__1[[#This Row],[Rm_minus_Rf]]/B2163-1</f>
        <v>3.5994585741060661</v>
      </c>
      <c r="D2164" s="3">
        <v>-469712018160058</v>
      </c>
      <c r="E2164" s="3">
        <f>[1]!nefin_factors__1[[#This Row],[SMB]]/D2163-1</f>
        <v>1.9115180401415031</v>
      </c>
      <c r="F2164" s="3">
        <v>121069415240092</v>
      </c>
      <c r="G2164" s="3">
        <f>[1]!nefin_factors__1[[#This Row],[HML]]/F2163-1</f>
        <v>-0.56127386211316888</v>
      </c>
      <c r="H2164" s="3">
        <v>486162123495504</v>
      </c>
      <c r="I2164" s="4">
        <f>[1]!nefin_factors__1[[#This Row],[Risk_Free]]/H2163-1</f>
        <v>2.8988743059923383E-3</v>
      </c>
      <c r="J2164">
        <v>112856</v>
      </c>
      <c r="K2164">
        <v>113888</v>
      </c>
      <c r="L2164">
        <v>112632</v>
      </c>
      <c r="M2164">
        <v>112898</v>
      </c>
      <c r="N2164">
        <v>13758600</v>
      </c>
      <c r="O2164">
        <v>112898</v>
      </c>
      <c r="P2164">
        <v>3.6329159910319898E-4</v>
      </c>
      <c r="Q2164">
        <v>3.6322562468836002E-4</v>
      </c>
      <c r="R2164" s="8">
        <v>7.3584442138671902</v>
      </c>
      <c r="S2164" s="8">
        <v>0.11281338262608601</v>
      </c>
      <c r="T2164" s="9">
        <v>0.106891387638613</v>
      </c>
      <c r="U2164" s="12">
        <v>4.9036999999999997E-2</v>
      </c>
      <c r="V2164" s="16">
        <v>5.4749999999999996</v>
      </c>
      <c r="W2164" s="17">
        <f t="shared" si="33"/>
        <v>8.5101679929264762E-3</v>
      </c>
    </row>
    <row r="2165" spans="1:23" x14ac:dyDescent="0.2">
      <c r="A2165" s="15">
        <v>44720</v>
      </c>
      <c r="B2165" s="5">
        <v>-146074652931878</v>
      </c>
      <c r="C2165" s="5">
        <f>[1]!nefin_factors__1[[#This Row],[Rm_minus_Rf]]/B2164-1</f>
        <v>-0.70592228930168233</v>
      </c>
      <c r="D2165" s="5">
        <v>-5664195737.5369596</v>
      </c>
      <c r="E2165" s="5">
        <f>[1]!nefin_factors__1[[#This Row],[SMB]]/D2164-1</f>
        <v>-0.99998794113090883</v>
      </c>
      <c r="F2165" s="5">
        <v>322100231569074</v>
      </c>
      <c r="G2165" s="5">
        <f>[1]!nefin_factors__1[[#This Row],[HML]]/F2164-1</f>
        <v>1.6604591335501131</v>
      </c>
      <c r="H2165" s="5">
        <v>486513358412211</v>
      </c>
      <c r="I2165" s="6">
        <f>[1]!nefin_factors__1[[#This Row],[Risk_Free]]/H2164-1</f>
        <v>7.2246458482116971E-4</v>
      </c>
      <c r="J2165">
        <v>112898</v>
      </c>
      <c r="K2165">
        <v>114156</v>
      </c>
      <c r="L2165">
        <v>112768</v>
      </c>
      <c r="M2165">
        <v>113532</v>
      </c>
      <c r="N2165">
        <v>11838500</v>
      </c>
      <c r="O2165">
        <v>113532</v>
      </c>
      <c r="P2165">
        <v>5.6156884975819797E-3</v>
      </c>
      <c r="Q2165">
        <v>5.59997930345123E-3</v>
      </c>
      <c r="R2165" s="8">
        <v>7.5702648162841797</v>
      </c>
      <c r="S2165" s="8">
        <v>2.87860580661616E-2</v>
      </c>
      <c r="T2165" s="9">
        <v>2.8379522762972099E-2</v>
      </c>
      <c r="U2165" s="12">
        <v>4.9036999999999997E-2</v>
      </c>
      <c r="V2165" s="16">
        <v>5.4522000000000004</v>
      </c>
      <c r="W2165" s="17">
        <f t="shared" si="33"/>
        <v>-4.1643835616437253E-3</v>
      </c>
    </row>
    <row r="2166" spans="1:23" x14ac:dyDescent="0.2">
      <c r="A2166" s="14">
        <v>44721</v>
      </c>
      <c r="B2166" s="3">
        <v>-109118813370564</v>
      </c>
      <c r="C2166" s="3">
        <f>[1]!nefin_factors__1[[#This Row],[Rm_minus_Rf]]/B2165-1</f>
        <v>-0.25299282811610291</v>
      </c>
      <c r="D2166" s="3">
        <v>460231461069502</v>
      </c>
      <c r="E2166" s="3">
        <f>[1]!nefin_factors__1[[#This Row],[SMB]]/D2165-1</f>
        <v>-81253.746620234349</v>
      </c>
      <c r="F2166" s="3">
        <v>351114160764787</v>
      </c>
      <c r="G2166" s="3">
        <f>[1]!nefin_factors__1[[#This Row],[HML]]/F2165-1</f>
        <v>9.0077331066714894E-2</v>
      </c>
      <c r="H2166" s="3">
        <v>486513358412211</v>
      </c>
      <c r="I2166" s="4">
        <f>[1]!nefin_factors__1[[#This Row],[Risk_Free]]/H2165-1</f>
        <v>0</v>
      </c>
      <c r="J2166">
        <v>113533</v>
      </c>
      <c r="K2166">
        <v>114091</v>
      </c>
      <c r="L2166">
        <v>111978</v>
      </c>
      <c r="M2166">
        <v>112299</v>
      </c>
      <c r="N2166">
        <v>11159700</v>
      </c>
      <c r="O2166">
        <v>112299</v>
      </c>
      <c r="P2166">
        <v>-1.08603741676355E-2</v>
      </c>
      <c r="Q2166">
        <v>-1.0919778525058601E-2</v>
      </c>
      <c r="R2166" s="8">
        <v>7.3768639564514196</v>
      </c>
      <c r="S2166" s="8">
        <v>-2.5547436519888202E-2</v>
      </c>
      <c r="T2166" s="9">
        <v>-2.58794390232116E-2</v>
      </c>
      <c r="U2166" s="12">
        <v>4.9036999999999997E-2</v>
      </c>
      <c r="V2166" s="16">
        <v>5.4143999999999997</v>
      </c>
      <c r="W2166" s="17">
        <f t="shared" si="33"/>
        <v>-6.9329811819083265E-3</v>
      </c>
    </row>
    <row r="2167" spans="1:23" x14ac:dyDescent="0.2">
      <c r="A2167" s="15">
        <v>44722</v>
      </c>
      <c r="B2167" s="5">
        <v>-154488421543271</v>
      </c>
      <c r="C2167" s="5">
        <f>[1]!nefin_factors__1[[#This Row],[Rm_minus_Rf]]/B2166-1</f>
        <v>0.41578172242978173</v>
      </c>
      <c r="D2167" s="5">
        <v>-782594698746955</v>
      </c>
      <c r="E2167" s="5">
        <f>[1]!nefin_factors__1[[#This Row],[SMB]]/D2166-1</f>
        <v>-2.7004372037677173</v>
      </c>
      <c r="F2167" s="5">
        <v>538718984796476</v>
      </c>
      <c r="G2167" s="5">
        <f>[1]!nefin_factors__1[[#This Row],[HML]]/F2166-1</f>
        <v>0.53431289590557518</v>
      </c>
      <c r="H2167" s="5">
        <v>487917988663433</v>
      </c>
      <c r="I2167" s="6">
        <f>[1]!nefin_factors__1[[#This Row],[Risk_Free]]/H2166-1</f>
        <v>2.8871360404290058E-3</v>
      </c>
      <c r="J2167">
        <v>112296</v>
      </c>
      <c r="K2167">
        <v>113222</v>
      </c>
      <c r="L2167">
        <v>111689</v>
      </c>
      <c r="M2167">
        <v>112323</v>
      </c>
      <c r="N2167">
        <v>9795800</v>
      </c>
      <c r="O2167">
        <v>112323</v>
      </c>
      <c r="P2167">
        <v>2.13715171105688E-4</v>
      </c>
      <c r="Q2167">
        <v>2.13692337271741E-4</v>
      </c>
      <c r="R2167" s="8">
        <v>7.5702648162841797</v>
      </c>
      <c r="S2167" s="8">
        <v>2.62172192647834E-2</v>
      </c>
      <c r="T2167" s="9">
        <v>2.5879439023211801E-2</v>
      </c>
      <c r="U2167" s="12">
        <v>4.9036999999999997E-2</v>
      </c>
      <c r="V2167" s="16">
        <v>5.3608000000000002</v>
      </c>
      <c r="W2167" s="17">
        <f t="shared" si="33"/>
        <v>-9.8995271867611256E-3</v>
      </c>
    </row>
    <row r="2168" spans="1:23" x14ac:dyDescent="0.2">
      <c r="A2168" s="14">
        <v>44725</v>
      </c>
      <c r="B2168" s="3">
        <v>-275099097370997</v>
      </c>
      <c r="C2168" s="3">
        <f>[1]!nefin_factors__1[[#This Row],[Rm_minus_Rf]]/B2167-1</f>
        <v>0.78071013104334086</v>
      </c>
      <c r="D2168" s="3">
        <v>-10608020828076</v>
      </c>
      <c r="E2168" s="3">
        <f>[1]!nefin_factors__1[[#This Row],[SMB]]/D2167-1</f>
        <v>-0.98644506429054413</v>
      </c>
      <c r="F2168" s="3">
        <v>12421384574884</v>
      </c>
      <c r="G2168" s="3">
        <f>[1]!nefin_factors__1[[#This Row],[HML]]/F2167-1</f>
        <v>-0.97694273837485657</v>
      </c>
      <c r="H2168" s="3">
        <v>489322124111125</v>
      </c>
      <c r="I2168" s="4">
        <f>[1]!nefin_factors__1[[#This Row],[Risk_Free]]/H2167-1</f>
        <v>2.8778103704238944E-3</v>
      </c>
      <c r="J2168">
        <v>112323</v>
      </c>
      <c r="K2168">
        <v>112869</v>
      </c>
      <c r="L2168">
        <v>110103</v>
      </c>
      <c r="M2168">
        <v>110431</v>
      </c>
      <c r="N2168">
        <v>11937900</v>
      </c>
      <c r="O2168">
        <v>110431</v>
      </c>
      <c r="P2168">
        <v>-1.6844279444103199E-2</v>
      </c>
      <c r="Q2168">
        <v>-1.6987757794204101E-2</v>
      </c>
      <c r="R2168" s="8">
        <v>6.9532232284545898</v>
      </c>
      <c r="S2168" s="8">
        <v>-8.1508586925821899E-2</v>
      </c>
      <c r="T2168" s="9">
        <v>-8.5022723228384098E-2</v>
      </c>
      <c r="U2168" s="12">
        <v>4.9036999999999997E-2</v>
      </c>
      <c r="V2168" s="16">
        <v>5.3074000000000003</v>
      </c>
      <c r="W2168" s="17">
        <f t="shared" si="33"/>
        <v>-9.9611998209222508E-3</v>
      </c>
    </row>
    <row r="2169" spans="1:23" x14ac:dyDescent="0.2">
      <c r="A2169" s="15">
        <v>44726</v>
      </c>
      <c r="B2169" s="5">
        <v>-576593221546456</v>
      </c>
      <c r="C2169" s="5">
        <f>[1]!nefin_factors__1[[#This Row],[Rm_minus_Rf]]/B2168-1</f>
        <v>1.0959473406372751</v>
      </c>
      <c r="D2169" s="5">
        <v>-156398845892972</v>
      </c>
      <c r="E2169" s="5">
        <f>[1]!nefin_factors__1[[#This Row],[SMB]]/D2168-1</f>
        <v>13.74345199992772</v>
      </c>
      <c r="F2169" s="5">
        <v>727271070452469</v>
      </c>
      <c r="G2169" s="5">
        <f>[1]!nefin_factors__1[[#This Row],[HML]]/F2168-1</f>
        <v>57.549919782936982</v>
      </c>
      <c r="H2169" s="5">
        <v>491076598134965</v>
      </c>
      <c r="I2169" s="6">
        <f>[1]!nefin_factors__1[[#This Row],[Risk_Free]]/H2168-1</f>
        <v>3.5855195123806194E-3</v>
      </c>
      <c r="J2169">
        <v>110431</v>
      </c>
      <c r="K2169">
        <v>111364</v>
      </c>
      <c r="L2169">
        <v>109523</v>
      </c>
      <c r="M2169">
        <v>109523</v>
      </c>
      <c r="N2169">
        <v>14791100</v>
      </c>
      <c r="O2169">
        <v>109523</v>
      </c>
      <c r="P2169">
        <v>-8.2223288750441492E-3</v>
      </c>
      <c r="Q2169">
        <v>-8.2563186661621605E-3</v>
      </c>
      <c r="R2169" s="8">
        <v>7.0268998146057102</v>
      </c>
      <c r="S2169" s="8">
        <v>1.05960334840995E-2</v>
      </c>
      <c r="T2169" s="9">
        <v>1.05402889561337E-2</v>
      </c>
      <c r="U2169" s="12">
        <v>4.9036999999999997E-2</v>
      </c>
      <c r="V2169" s="16">
        <v>5.2149000000000001</v>
      </c>
      <c r="W2169" s="17">
        <f t="shared" si="33"/>
        <v>-1.7428496062102061E-2</v>
      </c>
    </row>
    <row r="2170" spans="1:23" x14ac:dyDescent="0.2">
      <c r="A2170" s="14">
        <v>44727</v>
      </c>
      <c r="B2170" s="3">
        <v>654060491538185</v>
      </c>
      <c r="C2170" s="3">
        <f>[1]!nefin_factors__1[[#This Row],[Rm_minus_Rf]]/B2169-1</f>
        <v>-2.1343534177941903</v>
      </c>
      <c r="D2170" s="3">
        <v>114243484863548</v>
      </c>
      <c r="E2170" s="3">
        <f>[1]!nefin_factors__1[[#This Row],[SMB]]/D2169-1</f>
        <v>-1.7304624545741722</v>
      </c>
      <c r="F2170" s="3">
        <v>-298949503244093</v>
      </c>
      <c r="G2170" s="3">
        <f>[1]!nefin_factors__1[[#This Row],[HML]]/F2169-1</f>
        <v>-1.4110565033998983</v>
      </c>
      <c r="H2170" s="3">
        <v>491427400289401</v>
      </c>
      <c r="I2170" s="4">
        <f>[1]!nefin_factors__1[[#This Row],[Risk_Free]]/H2169-1</f>
        <v>7.1435323077562174E-4</v>
      </c>
      <c r="J2170">
        <v>109524</v>
      </c>
      <c r="K2170">
        <v>110405</v>
      </c>
      <c r="L2170">
        <v>108217</v>
      </c>
      <c r="M2170">
        <v>110405</v>
      </c>
      <c r="N2170">
        <v>14478000</v>
      </c>
      <c r="O2170">
        <v>110405</v>
      </c>
      <c r="P2170">
        <v>8.0531030011960995E-3</v>
      </c>
      <c r="Q2170">
        <v>8.0208498103584696E-3</v>
      </c>
      <c r="R2170" s="8">
        <v>7.1834630966186497</v>
      </c>
      <c r="S2170" s="8">
        <v>2.2280562715226899E-2</v>
      </c>
      <c r="T2170" s="9">
        <v>2.2035977311635601E-2</v>
      </c>
      <c r="U2170" s="12">
        <v>4.9036999999999997E-2</v>
      </c>
      <c r="V2170" s="16">
        <v>5.1883999999999997</v>
      </c>
      <c r="W2170" s="17">
        <f t="shared" si="33"/>
        <v>-5.0815931273850978E-3</v>
      </c>
    </row>
    <row r="2171" spans="1:23" x14ac:dyDescent="0.2">
      <c r="A2171" s="15">
        <v>44729</v>
      </c>
      <c r="B2171" s="5">
        <v>-246334980853538</v>
      </c>
      <c r="C2171" s="5">
        <f>[1]!nefin_factors__1[[#This Row],[Rm_minus_Rf]]/B2170-1</f>
        <v>-1.3766241563899086</v>
      </c>
      <c r="D2171" s="5">
        <v>854021795662532</v>
      </c>
      <c r="E2171" s="5">
        <f>[1]!nefin_factors__1[[#This Row],[SMB]]/D2170-1</f>
        <v>6.475452947558213</v>
      </c>
      <c r="F2171" s="5">
        <v>438220335969523</v>
      </c>
      <c r="G2171" s="5">
        <f>[1]!nefin_factors__1[[#This Row],[HML]]/F2170-1</f>
        <v>-2.4658674164503127</v>
      </c>
      <c r="H2171" s="5">
        <v>49037490119197</v>
      </c>
      <c r="I2171" s="6">
        <f>[1]!nefin_factors__1[[#This Row],[Risk_Free]]/H2170-1</f>
        <v>-0.90021417183836538</v>
      </c>
      <c r="J2171">
        <v>110409</v>
      </c>
      <c r="K2171">
        <v>112264</v>
      </c>
      <c r="L2171">
        <v>110409</v>
      </c>
      <c r="M2171">
        <v>110864</v>
      </c>
      <c r="N2171">
        <v>16691800</v>
      </c>
      <c r="O2171">
        <v>110864</v>
      </c>
      <c r="P2171">
        <v>4.1574204066845404E-3</v>
      </c>
      <c r="Q2171">
        <v>4.1488022125126499E-3</v>
      </c>
      <c r="R2171" s="8">
        <v>7.1005768775939897</v>
      </c>
      <c r="S2171" s="8">
        <v>-1.1538476346272799E-2</v>
      </c>
      <c r="T2171" s="9">
        <v>-1.16055611009731E-2</v>
      </c>
      <c r="U2171" s="12">
        <v>4.9036999999999997E-2</v>
      </c>
      <c r="V2171" s="16">
        <v>5.1605999999999996</v>
      </c>
      <c r="W2171" s="17">
        <f t="shared" si="33"/>
        <v>-5.3581065453705001E-3</v>
      </c>
    </row>
    <row r="2172" spans="1:23" x14ac:dyDescent="0.2">
      <c r="A2172" s="14">
        <v>44732</v>
      </c>
      <c r="B2172" s="3">
        <v>16481573172146</v>
      </c>
      <c r="C2172" s="3">
        <f>[1]!nefin_factors__1[[#This Row],[Rm_minus_Rf]]/B2171-1</f>
        <v>-1.0669071567303929</v>
      </c>
      <c r="D2172" s="3">
        <v>-601489202454638</v>
      </c>
      <c r="E2172" s="3">
        <f>[1]!nefin_factors__1[[#This Row],[SMB]]/D2171-1</f>
        <v>-1.7043019341069807</v>
      </c>
      <c r="F2172" s="3">
        <v>599447007632157</v>
      </c>
      <c r="G2172" s="3">
        <f>[1]!nefin_factors__1[[#This Row],[HML]]/F2171-1</f>
        <v>0.36791234552347851</v>
      </c>
      <c r="H2172" s="3">
        <v>49037490119197</v>
      </c>
      <c r="I2172" s="4">
        <f>[1]!nefin_factors__1[[#This Row],[Risk_Free]]/H2171-1</f>
        <v>0</v>
      </c>
      <c r="J2172">
        <v>110868</v>
      </c>
      <c r="K2172">
        <v>112671</v>
      </c>
      <c r="L2172">
        <v>110865</v>
      </c>
      <c r="M2172">
        <v>112203</v>
      </c>
      <c r="N2172">
        <v>9515500</v>
      </c>
      <c r="O2172">
        <v>112203</v>
      </c>
      <c r="P2172">
        <v>1.2077861163227101E-2</v>
      </c>
      <c r="Q2172">
        <v>1.2005505814031901E-2</v>
      </c>
      <c r="R2172" s="8">
        <v>7.1097860336303702</v>
      </c>
      <c r="S2172" s="8">
        <v>1.2969588520950199E-3</v>
      </c>
      <c r="T2172" s="9">
        <v>1.29611852746218E-3</v>
      </c>
      <c r="U2172" s="12">
        <v>4.9036999999999997E-2</v>
      </c>
      <c r="V2172" s="16">
        <v>5.2328999999999999</v>
      </c>
      <c r="W2172" s="17">
        <f t="shared" si="33"/>
        <v>1.4009998837344551E-2</v>
      </c>
    </row>
    <row r="2173" spans="1:23" x14ac:dyDescent="0.2">
      <c r="A2173" s="15">
        <v>44733</v>
      </c>
      <c r="B2173" s="5">
        <v>-197847973560213</v>
      </c>
      <c r="C2173" s="5">
        <f>[1]!nefin_factors__1[[#This Row],[Rm_minus_Rf]]/B2172-1</f>
        <v>-13.004192287577121</v>
      </c>
      <c r="D2173" s="5">
        <v>-864388460333862</v>
      </c>
      <c r="E2173" s="5">
        <f>[1]!nefin_factors__1[[#This Row],[SMB]]/D2172-1</f>
        <v>0.43708059397633292</v>
      </c>
      <c r="F2173" s="5">
        <v>-618950267026488</v>
      </c>
      <c r="G2173" s="5">
        <f>[1]!nefin_factors__1[[#This Row],[HML]]/F2172-1</f>
        <v>-2.032535418720947</v>
      </c>
      <c r="H2173" s="5">
        <v>490725765104338</v>
      </c>
      <c r="I2173" s="6">
        <f>[1]!nefin_factors__1[[#This Row],[Risk_Free]]/H2172-1</f>
        <v>9.0071550136745397</v>
      </c>
      <c r="J2173">
        <v>112203</v>
      </c>
      <c r="K2173">
        <v>112203</v>
      </c>
      <c r="L2173">
        <v>109348</v>
      </c>
      <c r="M2173">
        <v>109764</v>
      </c>
      <c r="N2173">
        <v>14296100</v>
      </c>
      <c r="O2173">
        <v>109764</v>
      </c>
      <c r="P2173">
        <v>-2.1737386700890302E-2</v>
      </c>
      <c r="Q2173">
        <v>-2.1977124236829501E-2</v>
      </c>
      <c r="R2173" s="8">
        <v>6.6032600402831996</v>
      </c>
      <c r="S2173" s="8">
        <v>-7.1243493257212395E-2</v>
      </c>
      <c r="T2173" s="9">
        <v>-7.3908677060536998E-2</v>
      </c>
      <c r="U2173" s="12">
        <v>4.9036999999999997E-2</v>
      </c>
      <c r="V2173" s="16">
        <v>5.2846000000000002</v>
      </c>
      <c r="W2173" s="17">
        <f t="shared" si="33"/>
        <v>9.8797989642454009E-3</v>
      </c>
    </row>
    <row r="2174" spans="1:23" x14ac:dyDescent="0.2">
      <c r="A2174" s="14">
        <v>44734</v>
      </c>
      <c r="B2174" s="3">
        <v>-368887619162747</v>
      </c>
      <c r="C2174" s="3">
        <f>[1]!nefin_factors__1[[#This Row],[Rm_minus_Rf]]/B2173-1</f>
        <v>0.86450036623943394</v>
      </c>
      <c r="D2174" s="3">
        <v>247086351626745</v>
      </c>
      <c r="E2174" s="3">
        <f>[1]!nefin_factors__1[[#This Row],[SMB]]/D2173-1</f>
        <v>-1.2858510530454215</v>
      </c>
      <c r="F2174" s="3">
        <v>512985398605318</v>
      </c>
      <c r="G2174" s="3">
        <f>[1]!nefin_factors__1[[#This Row],[HML]]/F2173-1</f>
        <v>-1.82879905855726</v>
      </c>
      <c r="H2174" s="3">
        <v>49037490119197</v>
      </c>
      <c r="I2174" s="4">
        <f>[1]!nefin_factors__1[[#This Row],[Risk_Free]]/H2173-1</f>
        <v>-0.90007149897912808</v>
      </c>
      <c r="J2174">
        <v>109771</v>
      </c>
      <c r="K2174">
        <v>110768</v>
      </c>
      <c r="L2174">
        <v>108619</v>
      </c>
      <c r="M2174">
        <v>109916</v>
      </c>
      <c r="N2174">
        <v>13759500</v>
      </c>
      <c r="O2174">
        <v>109916</v>
      </c>
      <c r="P2174">
        <v>1.3847891840677001E-3</v>
      </c>
      <c r="Q2174">
        <v>1.3838312477834399E-3</v>
      </c>
      <c r="R2174" s="8">
        <v>6.7690320014953604</v>
      </c>
      <c r="S2174" s="8">
        <v>2.5104563533900899E-2</v>
      </c>
      <c r="T2174" s="9">
        <v>2.4794620591184199E-2</v>
      </c>
      <c r="U2174" s="12">
        <v>5.0788E-2</v>
      </c>
      <c r="V2174" s="16">
        <v>5.2408999999999999</v>
      </c>
      <c r="W2174" s="17">
        <f t="shared" si="33"/>
        <v>-8.2693108276880034E-3</v>
      </c>
    </row>
    <row r="2175" spans="1:23" x14ac:dyDescent="0.2">
      <c r="A2175" s="15">
        <v>44735</v>
      </c>
      <c r="B2175" s="5">
        <v>-115114592960109</v>
      </c>
      <c r="C2175" s="5">
        <f>[1]!nefin_factors__1[[#This Row],[Rm_minus_Rf]]/B2174-1</f>
        <v>-0.687941294366612</v>
      </c>
      <c r="D2175" s="5">
        <v>158415174252335</v>
      </c>
      <c r="E2175" s="5">
        <f>[1]!nefin_factors__1[[#This Row],[SMB]]/D2174-1</f>
        <v>-0.35886716036974375</v>
      </c>
      <c r="F2175" s="5">
        <v>-553657932034777</v>
      </c>
      <c r="G2175" s="5">
        <f>[1]!nefin_factors__1[[#This Row],[HML]]/F2174-1</f>
        <v>-2.0792859475923442</v>
      </c>
      <c r="H2175" s="5">
        <v>49037490119197</v>
      </c>
      <c r="I2175" s="6">
        <f>[1]!nefin_factors__1[[#This Row],[Risk_Free]]/H2174-1</f>
        <v>0</v>
      </c>
      <c r="J2175">
        <v>109922</v>
      </c>
      <c r="K2175">
        <v>112540</v>
      </c>
      <c r="L2175">
        <v>109922</v>
      </c>
      <c r="M2175">
        <v>112300</v>
      </c>
      <c r="N2175">
        <v>12155200</v>
      </c>
      <c r="O2175">
        <v>112300</v>
      </c>
      <c r="P2175">
        <v>2.16892900032752E-2</v>
      </c>
      <c r="Q2175">
        <v>2.1457424034386399E-2</v>
      </c>
      <c r="R2175" s="8">
        <v>7.2663488388061497</v>
      </c>
      <c r="S2175" s="8">
        <v>7.3469417370301701E-2</v>
      </c>
      <c r="T2175" s="9">
        <v>7.0895849221340998E-2</v>
      </c>
      <c r="U2175" s="12">
        <v>5.0788E-2</v>
      </c>
      <c r="V2175" s="16">
        <v>5.2164999999999999</v>
      </c>
      <c r="W2175" s="17">
        <f t="shared" si="33"/>
        <v>-4.6556889083936293E-3</v>
      </c>
    </row>
    <row r="2176" spans="1:23" x14ac:dyDescent="0.2">
      <c r="A2176" s="14">
        <v>44736</v>
      </c>
      <c r="B2176" s="3">
        <v>40588986689763</v>
      </c>
      <c r="C2176" s="3">
        <f>[1]!nefin_factors__1[[#This Row],[Rm_minus_Rf]]/B2175-1</f>
        <v>-1.3525963619905985</v>
      </c>
      <c r="D2176" s="3">
        <v>-900016012499995</v>
      </c>
      <c r="E2176" s="3">
        <f>[1]!nefin_factors__1[[#This Row],[SMB]]/D2175-1</f>
        <v>-6.6813750118810287</v>
      </c>
      <c r="F2176" s="3">
        <v>298246390979404</v>
      </c>
      <c r="G2176" s="3">
        <f>[1]!nefin_factors__1[[#This Row],[HML]]/F2175-1</f>
        <v>-1.5386834970164758</v>
      </c>
      <c r="H2176" s="3">
        <v>49037490119197</v>
      </c>
      <c r="I2176" s="4">
        <f>[1]!nefin_factors__1[[#This Row],[Risk_Free]]/H2175-1</f>
        <v>0</v>
      </c>
      <c r="J2176">
        <v>112307</v>
      </c>
      <c r="K2176">
        <v>114160</v>
      </c>
      <c r="L2176">
        <v>112305</v>
      </c>
      <c r="M2176">
        <v>113407</v>
      </c>
      <c r="N2176">
        <v>11707100</v>
      </c>
      <c r="O2176">
        <v>113407</v>
      </c>
      <c r="P2176">
        <v>9.8575244879786101E-3</v>
      </c>
      <c r="Q2176">
        <v>9.8092560391969293E-3</v>
      </c>
      <c r="R2176" s="8">
        <v>7.4597501754760698</v>
      </c>
      <c r="S2176" s="8">
        <v>2.6616026970389499E-2</v>
      </c>
      <c r="T2176" s="9">
        <v>2.62679827213954E-2</v>
      </c>
      <c r="U2176" s="12">
        <v>5.0788E-2</v>
      </c>
      <c r="V2176" s="16">
        <v>5.1246999999999998</v>
      </c>
      <c r="W2176" s="17">
        <f t="shared" si="33"/>
        <v>-1.7598006326080773E-2</v>
      </c>
    </row>
    <row r="2177" spans="1:23" x14ac:dyDescent="0.2">
      <c r="A2177" s="15">
        <v>44739</v>
      </c>
      <c r="B2177" s="5">
        <v>167113982307928</v>
      </c>
      <c r="C2177" s="5">
        <f>[1]!nefin_factors__1[[#This Row],[Rm_minus_Rf]]/B2176-1</f>
        <v>3.1172247926572663</v>
      </c>
      <c r="D2177" s="5">
        <v>-124907047603703</v>
      </c>
      <c r="E2177" s="5">
        <f>[1]!nefin_factors__1[[#This Row],[SMB]]/D2176-1</f>
        <v>-0.86121686073479309</v>
      </c>
      <c r="F2177" s="5">
        <v>-172576172567672</v>
      </c>
      <c r="G2177" s="5">
        <f>[1]!nefin_factors__1[[#This Row],[HML]]/F2176-1</f>
        <v>-1.5786362477043001</v>
      </c>
      <c r="H2177" s="5">
        <v>49037490119197</v>
      </c>
      <c r="I2177" s="6">
        <f>[1]!nefin_factors__1[[#This Row],[Risk_Free]]/H2176-1</f>
        <v>0</v>
      </c>
      <c r="J2177">
        <v>113398</v>
      </c>
      <c r="K2177">
        <v>113400</v>
      </c>
      <c r="L2177">
        <v>110522</v>
      </c>
      <c r="M2177">
        <v>110794</v>
      </c>
      <c r="N2177">
        <v>12612500</v>
      </c>
      <c r="O2177">
        <v>110794</v>
      </c>
      <c r="P2177">
        <v>-2.30409057641945E-2</v>
      </c>
      <c r="Q2177">
        <v>-2.33104965612119E-2</v>
      </c>
      <c r="R2177" s="8">
        <v>7.2755579948425302</v>
      </c>
      <c r="S2177" s="8">
        <v>-2.46914677168515E-2</v>
      </c>
      <c r="T2177" s="9">
        <v>-2.5001414674600399E-2</v>
      </c>
      <c r="U2177" s="12">
        <v>5.0788E-2</v>
      </c>
      <c r="V2177" s="16">
        <v>5.1223999999999998</v>
      </c>
      <c r="W2177" s="17">
        <f t="shared" si="33"/>
        <v>-4.4880675942005066E-4</v>
      </c>
    </row>
    <row r="2178" spans="1:23" x14ac:dyDescent="0.2">
      <c r="A2178" s="14">
        <v>44740</v>
      </c>
      <c r="B2178" s="3">
        <v>-272651455102581</v>
      </c>
      <c r="C2178" s="3">
        <f>[1]!nefin_factors__1[[#This Row],[Rm_minus_Rf]]/B2177-1</f>
        <v>-2.6315298776148319</v>
      </c>
      <c r="D2178" s="3">
        <v>-18342260399635</v>
      </c>
      <c r="E2178" s="3">
        <f>[1]!nefin_factors__1[[#This Row],[SMB]]/D2177-1</f>
        <v>-0.85315271834916684</v>
      </c>
      <c r="F2178" s="3">
        <v>584818574078756</v>
      </c>
      <c r="G2178" s="3">
        <f>[1]!nefin_factors__1[[#This Row],[HML]]/F2177-1</f>
        <v>-4.3887561960468915</v>
      </c>
      <c r="H2178" s="3">
        <v>49037490119197</v>
      </c>
      <c r="I2178" s="4">
        <f>[1]!nefin_factors__1[[#This Row],[Risk_Free]]/H2177-1</f>
        <v>0</v>
      </c>
      <c r="J2178">
        <v>110794</v>
      </c>
      <c r="K2178">
        <v>111504</v>
      </c>
      <c r="L2178">
        <v>110118</v>
      </c>
      <c r="M2178">
        <v>110547</v>
      </c>
      <c r="N2178">
        <v>11630900</v>
      </c>
      <c r="O2178">
        <v>110547</v>
      </c>
      <c r="P2178">
        <v>-2.2293626008628199E-3</v>
      </c>
      <c r="Q2178">
        <v>-2.2318513292058002E-3</v>
      </c>
      <c r="R2178" s="8">
        <v>7.0453190803527797</v>
      </c>
      <c r="S2178" s="8">
        <v>-3.1645533531992599E-2</v>
      </c>
      <c r="T2178" s="9">
        <v>-3.2157074366916602E-2</v>
      </c>
      <c r="U2178" s="12">
        <v>5.0788E-2</v>
      </c>
      <c r="V2178" s="16">
        <v>5.0496999999999996</v>
      </c>
      <c r="W2178" s="17">
        <f t="shared" si="33"/>
        <v>-1.419256598469476E-2</v>
      </c>
    </row>
    <row r="2179" spans="1:23" x14ac:dyDescent="0.2">
      <c r="A2179" s="15">
        <v>44741</v>
      </c>
      <c r="B2179" s="5">
        <v>-9463734007297</v>
      </c>
      <c r="C2179" s="5">
        <f>[1]!nefin_factors__1[[#This Row],[Rm_minus_Rf]]/B2178-1</f>
        <v>-0.96528999266210991</v>
      </c>
      <c r="D2179" s="5">
        <v>-764543041411461</v>
      </c>
      <c r="E2179" s="5">
        <f>[1]!nefin_factors__1[[#This Row],[SMB]]/D2178-1</f>
        <v>40.68205143498426</v>
      </c>
      <c r="F2179" s="5">
        <v>-8264648667.9219904</v>
      </c>
      <c r="G2179" s="5">
        <f>[1]!nefin_factors__1[[#This Row],[HML]]/F2178-1</f>
        <v>-1.0000141319873106</v>
      </c>
      <c r="H2179" s="5">
        <v>49037490119197</v>
      </c>
      <c r="I2179" s="6">
        <f>[1]!nefin_factors__1[[#This Row],[Risk_Free]]/H2178-1</f>
        <v>0</v>
      </c>
      <c r="J2179">
        <v>110547</v>
      </c>
      <c r="K2179">
        <v>111100</v>
      </c>
      <c r="L2179">
        <v>109524</v>
      </c>
      <c r="M2179">
        <v>109954</v>
      </c>
      <c r="N2179">
        <v>11622500</v>
      </c>
      <c r="O2179">
        <v>109954</v>
      </c>
      <c r="P2179">
        <v>-5.3642342171202903E-3</v>
      </c>
      <c r="Q2179">
        <v>-5.3786733813430999E-3</v>
      </c>
      <c r="R2179" s="8">
        <v>6.7782421112060502</v>
      </c>
      <c r="S2179" s="8">
        <v>-3.7908427723525498E-2</v>
      </c>
      <c r="T2179" s="9">
        <v>-3.8645643370076602E-2</v>
      </c>
      <c r="U2179" s="12">
        <v>5.0788E-2</v>
      </c>
      <c r="V2179" s="16">
        <v>5.1127000000000002</v>
      </c>
      <c r="W2179" s="17">
        <f t="shared" si="33"/>
        <v>1.2475988672594474E-2</v>
      </c>
    </row>
    <row r="2180" spans="1:23" x14ac:dyDescent="0.2">
      <c r="A2180" s="14">
        <v>44742</v>
      </c>
      <c r="B2180" s="3">
        <v>-107568826943415</v>
      </c>
      <c r="C2180" s="3">
        <f>[1]!nefin_factors__1[[#This Row],[Rm_minus_Rf]]/B2179-1</f>
        <v>10.366425436352522</v>
      </c>
      <c r="D2180" s="3">
        <v>227675434336926</v>
      </c>
      <c r="E2180" s="3">
        <f>[1]!nefin_factors__1[[#This Row],[SMB]]/D2179-1</f>
        <v>-1.2977928278787327</v>
      </c>
      <c r="F2180" s="3">
        <v>-524102882556661</v>
      </c>
      <c r="G2180" s="3">
        <f>[1]!nefin_factors__1[[#This Row],[HML]]/F2179-1</f>
        <v>63414.022660417337</v>
      </c>
      <c r="H2180" s="3">
        <v>49037490119197</v>
      </c>
      <c r="I2180" s="4">
        <f>[1]!nefin_factors__1[[#This Row],[Risk_Free]]/H2179-1</f>
        <v>0</v>
      </c>
      <c r="J2180">
        <v>109951</v>
      </c>
      <c r="K2180">
        <v>109952</v>
      </c>
      <c r="L2180">
        <v>108489</v>
      </c>
      <c r="M2180">
        <v>109280</v>
      </c>
      <c r="N2180">
        <v>18843300</v>
      </c>
      <c r="O2180">
        <v>109280</v>
      </c>
      <c r="P2180">
        <v>-6.12983611328377E-3</v>
      </c>
      <c r="Q2180">
        <v>-6.1487006893536696E-3</v>
      </c>
      <c r="R2180" s="8">
        <v>6.64009809494019</v>
      </c>
      <c r="S2180" s="8">
        <v>-2.0380507807103002E-2</v>
      </c>
      <c r="T2180" s="9">
        <v>-2.05910559876578E-2</v>
      </c>
      <c r="U2180" s="12">
        <v>5.0788E-2</v>
      </c>
      <c r="V2180" s="16">
        <v>5.1022999999999996</v>
      </c>
      <c r="W2180" s="17">
        <f t="shared" ref="W2180:W2243" si="34">V2180/V2179-1</f>
        <v>-2.0341502532909006E-3</v>
      </c>
    </row>
    <row r="2181" spans="1:23" x14ac:dyDescent="0.2">
      <c r="A2181" s="15">
        <v>44743</v>
      </c>
      <c r="B2181" s="5">
        <v>485516339726856</v>
      </c>
      <c r="C2181" s="5">
        <f>[1]!nefin_factors__1[[#This Row],[Rm_minus_Rf]]/B2180-1</f>
        <v>-5.5135412695562325</v>
      </c>
      <c r="D2181" s="5">
        <v>445019936372049</v>
      </c>
      <c r="E2181" s="5">
        <f>[1]!nefin_factors__1[[#This Row],[SMB]]/D2180-1</f>
        <v>0.95462429957851858</v>
      </c>
      <c r="F2181" s="5">
        <v>496964197489505</v>
      </c>
      <c r="G2181" s="5">
        <f>[1]!nefin_factors__1[[#This Row],[HML]]/F2180-1</f>
        <v>-1.9482187830473876</v>
      </c>
      <c r="H2181" s="5">
        <v>49037490119197</v>
      </c>
      <c r="I2181" s="6">
        <f>[1]!nefin_factors__1[[#This Row],[Risk_Free]]/H2180-1</f>
        <v>0</v>
      </c>
      <c r="J2181">
        <v>109283</v>
      </c>
      <c r="K2181">
        <v>111976</v>
      </c>
      <c r="L2181">
        <v>108508</v>
      </c>
      <c r="M2181">
        <v>111824</v>
      </c>
      <c r="N2181">
        <v>12594800</v>
      </c>
      <c r="O2181">
        <v>111824</v>
      </c>
      <c r="P2181">
        <v>2.3279648609077601E-2</v>
      </c>
      <c r="Q2181">
        <v>2.3012810912293302E-2</v>
      </c>
      <c r="R2181" s="8">
        <v>6.8150801658630398</v>
      </c>
      <c r="S2181" s="8">
        <v>2.63523322127108E-2</v>
      </c>
      <c r="T2181" s="9">
        <v>2.60110915151094E-2</v>
      </c>
      <c r="U2181" s="12">
        <v>5.0788E-2</v>
      </c>
      <c r="V2181" s="16">
        <v>5.0925000000000002</v>
      </c>
      <c r="W2181" s="17">
        <f t="shared" si="34"/>
        <v>-1.9207024283165453E-3</v>
      </c>
    </row>
    <row r="2182" spans="1:23" x14ac:dyDescent="0.2">
      <c r="A2182" s="14">
        <v>44746</v>
      </c>
      <c r="B2182" s="3">
        <v>-532250022390399</v>
      </c>
      <c r="C2182" s="3">
        <f>[1]!nefin_factors__1[[#This Row],[Rm_minus_Rf]]/B2181-1</f>
        <v>-2.0962556331056428</v>
      </c>
      <c r="D2182" s="3">
        <v>-822493842382121</v>
      </c>
      <c r="E2182" s="3">
        <f>[1]!nefin_factors__1[[#This Row],[SMB]]/D2181-1</f>
        <v>-2.8482179676878419</v>
      </c>
      <c r="F2182" s="3">
        <v>192664257067793</v>
      </c>
      <c r="G2182" s="3">
        <f>[1]!nefin_factors__1[[#This Row],[HML]]/F2181-1</f>
        <v>-0.61231763165019193</v>
      </c>
      <c r="H2182" s="3">
        <v>491778171573198</v>
      </c>
      <c r="I2182" s="4">
        <f>[1]!nefin_factors__1[[#This Row],[Risk_Free]]/H2181-1</f>
        <v>9.0286162766042271</v>
      </c>
      <c r="J2182">
        <v>111824</v>
      </c>
      <c r="K2182">
        <v>112544</v>
      </c>
      <c r="L2182">
        <v>111393</v>
      </c>
      <c r="M2182">
        <v>112517</v>
      </c>
      <c r="N2182">
        <v>12570300</v>
      </c>
      <c r="O2182">
        <v>112517</v>
      </c>
      <c r="P2182">
        <v>6.1972385176707299E-3</v>
      </c>
      <c r="Q2182">
        <v>6.1781146046789399E-3</v>
      </c>
      <c r="R2182" s="8">
        <v>6.5480017662048304</v>
      </c>
      <c r="S2182" s="8">
        <v>-3.9189326193990702E-2</v>
      </c>
      <c r="T2182" s="9">
        <v>-3.99778989878865E-2</v>
      </c>
      <c r="U2182" s="12">
        <v>5.0788E-2</v>
      </c>
      <c r="V2182" s="16">
        <v>5.1340000000000003</v>
      </c>
      <c r="W2182" s="17">
        <f t="shared" si="34"/>
        <v>8.1492390770740997E-3</v>
      </c>
    </row>
    <row r="2183" spans="1:23" x14ac:dyDescent="0.2">
      <c r="A2183" s="15">
        <v>44747</v>
      </c>
      <c r="B2183" s="5">
        <v>-248694018375121</v>
      </c>
      <c r="C2183" s="5">
        <f>[1]!nefin_factors__1[[#This Row],[Rm_minus_Rf]]/B2182-1</f>
        <v>-0.53274963285448784</v>
      </c>
      <c r="D2183" s="5">
        <v>772587937159327</v>
      </c>
      <c r="E2183" s="5">
        <f>[1]!nefin_factors__1[[#This Row],[SMB]]/D2182-1</f>
        <v>-1.9393236731374723</v>
      </c>
      <c r="F2183" s="5">
        <v>-756765205229202</v>
      </c>
      <c r="G2183" s="5">
        <f>[1]!nefin_factors__1[[#This Row],[HML]]/F2182-1</f>
        <v>-4.9278962104679236</v>
      </c>
      <c r="H2183" s="5">
        <v>492479621550412</v>
      </c>
      <c r="I2183" s="6">
        <f>[1]!nefin_factors__1[[#This Row],[Risk_Free]]/H2182-1</f>
        <v>1.4263544373473991E-3</v>
      </c>
      <c r="J2183">
        <v>112517</v>
      </c>
      <c r="K2183">
        <v>113294</v>
      </c>
      <c r="L2183">
        <v>111380</v>
      </c>
      <c r="M2183">
        <v>111936</v>
      </c>
      <c r="N2183">
        <v>14726800</v>
      </c>
      <c r="O2183">
        <v>111936</v>
      </c>
      <c r="P2183">
        <v>-5.1636641574162E-3</v>
      </c>
      <c r="Q2183">
        <v>-5.1770419433151598E-3</v>
      </c>
      <c r="R2183" s="8">
        <v>6.6124691963195801</v>
      </c>
      <c r="S2183" s="8">
        <v>9.8453593044938205E-3</v>
      </c>
      <c r="T2183" s="9">
        <v>9.7972095311857198E-3</v>
      </c>
      <c r="U2183" s="12">
        <v>5.0788E-2</v>
      </c>
      <c r="V2183" s="16">
        <v>5.1783999999999999</v>
      </c>
      <c r="W2183" s="17">
        <f t="shared" si="34"/>
        <v>8.6482275029216016E-3</v>
      </c>
    </row>
    <row r="2184" spans="1:23" x14ac:dyDescent="0.2">
      <c r="A2184" s="14">
        <v>44748</v>
      </c>
      <c r="B2184" s="3">
        <v>365178036088565</v>
      </c>
      <c r="C2184" s="3">
        <f>[1]!nefin_factors__1[[#This Row],[Rm_minus_Rf]]/B2183-1</f>
        <v>-2.4683828685326228</v>
      </c>
      <c r="D2184" s="3">
        <v>234898692758208</v>
      </c>
      <c r="E2184" s="3">
        <f>[1]!nefin_factors__1[[#This Row],[SMB]]/D2183-1</f>
        <v>-0.69595863271967451</v>
      </c>
      <c r="F2184" s="3">
        <v>-103558248339773</v>
      </c>
      <c r="G2184" s="3">
        <f>[1]!nefin_factors__1[[#This Row],[HML]]/F2183-1</f>
        <v>-0.86315669956257013</v>
      </c>
      <c r="H2184" s="3">
        <v>493180948110128</v>
      </c>
      <c r="I2184" s="4">
        <f>[1]!nefin_factors__1[[#This Row],[Risk_Free]]/H2183-1</f>
        <v>1.424072243858765E-3</v>
      </c>
      <c r="J2184">
        <v>111942</v>
      </c>
      <c r="K2184">
        <v>114392</v>
      </c>
      <c r="L2184">
        <v>111819</v>
      </c>
      <c r="M2184">
        <v>114070</v>
      </c>
      <c r="N2184">
        <v>15684400</v>
      </c>
      <c r="O2184">
        <v>114070</v>
      </c>
      <c r="P2184">
        <v>1.9064465408804999E-2</v>
      </c>
      <c r="Q2184">
        <v>1.8885015643669598E-2</v>
      </c>
      <c r="R2184" s="8">
        <v>6.4282779693603498</v>
      </c>
      <c r="S2184" s="8">
        <v>-2.78551357277773E-2</v>
      </c>
      <c r="T2184" s="9">
        <v>-2.8250448309554001E-2</v>
      </c>
      <c r="U2184" s="12">
        <v>5.0788E-2</v>
      </c>
      <c r="V2184" s="16">
        <v>5.1772999999999998</v>
      </c>
      <c r="W2184" s="17">
        <f t="shared" si="34"/>
        <v>-2.1242082496530923E-4</v>
      </c>
    </row>
    <row r="2185" spans="1:23" x14ac:dyDescent="0.2">
      <c r="A2185" s="15">
        <v>44749</v>
      </c>
      <c r="B2185" s="5">
        <v>180413860228779</v>
      </c>
      <c r="C2185" s="5">
        <f>[1]!nefin_factors__1[[#This Row],[Rm_minus_Rf]]/B2184-1</f>
        <v>-0.50595643111179878</v>
      </c>
      <c r="D2185" s="5">
        <v>453833155664034</v>
      </c>
      <c r="E2185" s="5">
        <f>[1]!nefin_factors__1[[#This Row],[SMB]]/D2184-1</f>
        <v>0.932037808874421</v>
      </c>
      <c r="F2185" s="5">
        <v>-90138682979056</v>
      </c>
      <c r="G2185" s="5">
        <f>[1]!nefin_factors__1[[#This Row],[HML]]/F2184-1</f>
        <v>-0.12958470789007182</v>
      </c>
      <c r="H2185" s="5">
        <v>492479621550412</v>
      </c>
      <c r="I2185" s="6">
        <f>[1]!nefin_factors__1[[#This Row],[Risk_Free]]/H2184-1</f>
        <v>-1.422047145988703E-3</v>
      </c>
      <c r="J2185">
        <v>112258</v>
      </c>
      <c r="K2185">
        <v>112457</v>
      </c>
      <c r="L2185">
        <v>110732</v>
      </c>
      <c r="M2185">
        <v>111716</v>
      </c>
      <c r="N2185">
        <v>13542300</v>
      </c>
      <c r="O2185">
        <v>111716</v>
      </c>
      <c r="P2185">
        <v>-2.0636451301832202E-2</v>
      </c>
      <c r="Q2185">
        <v>-2.0852358399004001E-2</v>
      </c>
      <c r="R2185" s="8">
        <v>6.22566795349121</v>
      </c>
      <c r="S2185" s="8">
        <v>-3.1518552376679797E-2</v>
      </c>
      <c r="T2185" s="9">
        <v>-3.20259521024326E-2</v>
      </c>
      <c r="U2185" s="12">
        <v>5.0788E-2</v>
      </c>
      <c r="V2185" s="16">
        <v>5.1961000000000004</v>
      </c>
      <c r="W2185" s="17">
        <f t="shared" si="34"/>
        <v>3.6312363587198693E-3</v>
      </c>
    </row>
    <row r="2186" spans="1:23" x14ac:dyDescent="0.2">
      <c r="A2186" s="14">
        <v>44750</v>
      </c>
      <c r="B2186" s="3">
        <v>-375343877284539</v>
      </c>
      <c r="C2186" s="3">
        <f>[1]!nefin_factors__1[[#This Row],[Rm_minus_Rf]]/B2185-1</f>
        <v>-3.0804603194487017</v>
      </c>
      <c r="D2186" s="3">
        <v>31980200799782</v>
      </c>
      <c r="E2186" s="3">
        <f>[1]!nefin_factors__1[[#This Row],[SMB]]/D2185-1</f>
        <v>-0.92953313260466919</v>
      </c>
      <c r="F2186" s="3">
        <v>533302753505565</v>
      </c>
      <c r="G2186" s="3">
        <f>[1]!nefin_factors__1[[#This Row],[HML]]/F2185-1</f>
        <v>-6.9164693323673205</v>
      </c>
      <c r="H2186" s="3">
        <v>493531565121996</v>
      </c>
      <c r="I2186" s="4">
        <f>[1]!nefin_factors__1[[#This Row],[Risk_Free]]/H2185-1</f>
        <v>2.1360144167432704E-3</v>
      </c>
      <c r="J2186">
        <v>111713</v>
      </c>
      <c r="K2186">
        <v>111713</v>
      </c>
      <c r="L2186">
        <v>109022</v>
      </c>
      <c r="M2186">
        <v>109114</v>
      </c>
      <c r="N2186">
        <v>13127000</v>
      </c>
      <c r="O2186">
        <v>109114</v>
      </c>
      <c r="P2186">
        <v>-2.3291202692541799E-2</v>
      </c>
      <c r="Q2186">
        <v>-2.3566729394643101E-2</v>
      </c>
      <c r="R2186" s="8">
        <v>5.8941230773925799</v>
      </c>
      <c r="S2186" s="8">
        <v>-5.3254506757416997E-2</v>
      </c>
      <c r="T2186" s="9">
        <v>-5.4724972451770999E-2</v>
      </c>
      <c r="U2186" s="12">
        <v>5.0788E-2</v>
      </c>
      <c r="V2186" s="16">
        <v>5.1708999999999996</v>
      </c>
      <c r="W2186" s="17">
        <f t="shared" si="34"/>
        <v>-4.8497911895462043E-3</v>
      </c>
    </row>
    <row r="2187" spans="1:23" x14ac:dyDescent="0.2">
      <c r="A2187" s="15">
        <v>44753</v>
      </c>
      <c r="B2187" s="5">
        <v>-201691360981023</v>
      </c>
      <c r="C2187" s="5">
        <f>[1]!nefin_factors__1[[#This Row],[Rm_minus_Rf]]/B2186-1</f>
        <v>-0.46264912474347963</v>
      </c>
      <c r="D2187" s="5">
        <v>772554466438667</v>
      </c>
      <c r="E2187" s="5">
        <f>[1]!nefin_factors__1[[#This Row],[SMB]]/D2186-1</f>
        <v>23.157273785595908</v>
      </c>
      <c r="F2187" s="5">
        <v>991680626831318</v>
      </c>
      <c r="G2187" s="5">
        <f>[1]!nefin_factors__1[[#This Row],[HML]]/F2186-1</f>
        <v>0.85950779423637425</v>
      </c>
      <c r="H2187" s="5">
        <v>495284187718825</v>
      </c>
      <c r="I2187" s="6">
        <f>[1]!nefin_factors__1[[#This Row],[Risk_Free]]/H2186-1</f>
        <v>3.5511864299819784E-3</v>
      </c>
      <c r="J2187">
        <v>109122</v>
      </c>
      <c r="K2187">
        <v>110161</v>
      </c>
      <c r="L2187">
        <v>108120</v>
      </c>
      <c r="M2187">
        <v>108376</v>
      </c>
      <c r="N2187">
        <v>14517500</v>
      </c>
      <c r="O2187">
        <v>108376</v>
      </c>
      <c r="P2187">
        <v>-6.7635683780266102E-3</v>
      </c>
      <c r="Q2187">
        <v>-6.7865449677241797E-3</v>
      </c>
      <c r="R2187" s="8">
        <v>5.8941230773925799</v>
      </c>
      <c r="S2187" s="8">
        <v>0</v>
      </c>
      <c r="T2187" s="9">
        <v>0</v>
      </c>
      <c r="U2187" s="12">
        <v>5.0788E-2</v>
      </c>
      <c r="V2187" s="16">
        <v>5.1029999999999998</v>
      </c>
      <c r="W2187" s="17">
        <f t="shared" si="34"/>
        <v>-1.3131176390957067E-2</v>
      </c>
    </row>
    <row r="2188" spans="1:23" x14ac:dyDescent="0.2">
      <c r="A2188" s="14">
        <v>44754</v>
      </c>
      <c r="B2188" s="3">
        <v>-124654958205665</v>
      </c>
      <c r="C2188" s="3">
        <f>[1]!nefin_factors__1[[#This Row],[Rm_minus_Rf]]/B2187-1</f>
        <v>-0.38195192099777786</v>
      </c>
      <c r="D2188" s="3">
        <v>629526767482946</v>
      </c>
      <c r="E2188" s="3">
        <f>[1]!nefin_factors__1[[#This Row],[SMB]]/D2187-1</f>
        <v>-0.18513607152522493</v>
      </c>
      <c r="F2188" s="3">
        <v>257239961563416</v>
      </c>
      <c r="G2188" s="3">
        <f>[1]!nefin_factors__1[[#This Row],[HML]]/F2187-1</f>
        <v>-0.74060200975654256</v>
      </c>
      <c r="H2188" s="3">
        <v>495634619783747</v>
      </c>
      <c r="I2188" s="4">
        <f>[1]!nefin_factors__1[[#This Row],[Risk_Free]]/H2187-1</f>
        <v>7.0753735655482153E-4</v>
      </c>
      <c r="J2188">
        <v>108377</v>
      </c>
      <c r="K2188">
        <v>108970</v>
      </c>
      <c r="L2188">
        <v>107914</v>
      </c>
      <c r="M2188">
        <v>108451</v>
      </c>
      <c r="N2188">
        <v>13540500</v>
      </c>
      <c r="O2188">
        <v>108451</v>
      </c>
      <c r="P2188">
        <v>6.9203513693061303E-4</v>
      </c>
      <c r="Q2188">
        <v>6.91795791032722E-4</v>
      </c>
      <c r="R2188" s="8">
        <v>5.9678001403808603</v>
      </c>
      <c r="S2188" s="8">
        <v>1.25000889904854E-2</v>
      </c>
      <c r="T2188" s="9">
        <v>1.2422607890390701E-2</v>
      </c>
      <c r="U2188" s="12">
        <v>5.0788E-2</v>
      </c>
      <c r="V2188" s="16">
        <v>5.1050000000000004</v>
      </c>
      <c r="W2188" s="17">
        <f t="shared" si="34"/>
        <v>3.9192631785245347E-4</v>
      </c>
    </row>
    <row r="2189" spans="1:23" x14ac:dyDescent="0.2">
      <c r="A2189" s="15">
        <v>44755</v>
      </c>
      <c r="B2189" s="5">
        <v>-222126245519438</v>
      </c>
      <c r="C2189" s="5">
        <f>[1]!nefin_factors__1[[#This Row],[Rm_minus_Rf]]/B2188-1</f>
        <v>0.78192868311710173</v>
      </c>
      <c r="D2189" s="5">
        <v>297495766711365</v>
      </c>
      <c r="E2189" s="5">
        <f>[1]!nefin_factors__1[[#This Row],[SMB]]/D2188-1</f>
        <v>-0.52742951995377352</v>
      </c>
      <c r="F2189" s="5">
        <v>197552241323029</v>
      </c>
      <c r="G2189" s="5">
        <f>[1]!nefin_factors__1[[#This Row],[HML]]/F2188-1</f>
        <v>-0.23203129046368054</v>
      </c>
      <c r="H2189" s="5">
        <v>496335391502623</v>
      </c>
      <c r="I2189" s="6">
        <f>[1]!nefin_factors__1[[#This Row],[Risk_Free]]/H2188-1</f>
        <v>1.4138877530018856E-3</v>
      </c>
      <c r="J2189">
        <v>108449</v>
      </c>
      <c r="K2189">
        <v>108449</v>
      </c>
      <c r="L2189">
        <v>106244</v>
      </c>
      <c r="M2189">
        <v>107664</v>
      </c>
      <c r="N2189">
        <v>14588500</v>
      </c>
      <c r="O2189">
        <v>107664</v>
      </c>
      <c r="P2189">
        <v>-7.2567334556620199E-3</v>
      </c>
      <c r="Q2189">
        <v>-7.2831916235058898E-3</v>
      </c>
      <c r="R2189" s="8">
        <v>5.6086258888244602</v>
      </c>
      <c r="S2189" s="8">
        <v>-6.0185368663078997E-2</v>
      </c>
      <c r="T2189" s="9">
        <v>-6.2072623870106397E-2</v>
      </c>
      <c r="U2189" s="12">
        <v>5.0788E-2</v>
      </c>
      <c r="V2189" s="16">
        <v>5.1173000000000002</v>
      </c>
      <c r="W2189" s="17">
        <f t="shared" si="34"/>
        <v>2.4094025465228874E-3</v>
      </c>
    </row>
    <row r="2190" spans="1:23" x14ac:dyDescent="0.2">
      <c r="A2190" s="14">
        <v>44756</v>
      </c>
      <c r="B2190" s="3">
        <v>-125650448072195</v>
      </c>
      <c r="C2190" s="3">
        <f>[1]!nefin_factors__1[[#This Row],[Rm_minus_Rf]]/B2189-1</f>
        <v>-0.4343286729653949</v>
      </c>
      <c r="D2190" s="3">
        <v>-157395845190955</v>
      </c>
      <c r="E2190" s="3">
        <f>[1]!nefin_factors__1[[#This Row],[SMB]]/D2189-1</f>
        <v>-1.5290691929195177</v>
      </c>
      <c r="F2190" s="3">
        <v>-71375595512689</v>
      </c>
      <c r="G2190" s="3">
        <f>[1]!nefin_factors__1[[#This Row],[HML]]/F2189-1</f>
        <v>-1.3612998517995991</v>
      </c>
      <c r="H2190" s="3">
        <v>496335391502623</v>
      </c>
      <c r="I2190" s="4">
        <f>[1]!nefin_factors__1[[#This Row],[Risk_Free]]/H2189-1</f>
        <v>0</v>
      </c>
      <c r="J2190">
        <v>107664</v>
      </c>
      <c r="K2190">
        <v>110502</v>
      </c>
      <c r="L2190">
        <v>107315</v>
      </c>
      <c r="M2190">
        <v>110037</v>
      </c>
      <c r="N2190">
        <v>16536300</v>
      </c>
      <c r="O2190">
        <v>110037</v>
      </c>
      <c r="P2190">
        <v>2.2040793580026599E-2</v>
      </c>
      <c r="Q2190">
        <v>2.1801406425251899E-2</v>
      </c>
      <c r="R2190" s="8">
        <v>5.8112368583679199</v>
      </c>
      <c r="S2190" s="8">
        <v>3.6124885766970503E-2</v>
      </c>
      <c r="T2190" s="9">
        <v>3.5487682679307603E-2</v>
      </c>
      <c r="U2190" s="12">
        <v>5.0788E-2</v>
      </c>
      <c r="V2190" s="16">
        <v>5.0903</v>
      </c>
      <c r="W2190" s="17">
        <f t="shared" si="34"/>
        <v>-5.2762198815782257E-3</v>
      </c>
    </row>
    <row r="2191" spans="1:23" x14ac:dyDescent="0.2">
      <c r="A2191" s="15">
        <v>44757</v>
      </c>
      <c r="B2191" s="5">
        <v>401312279028455</v>
      </c>
      <c r="C2191" s="5">
        <f>[1]!nefin_factors__1[[#This Row],[Rm_minus_Rf]]/B2190-1</f>
        <v>-4.1938786147254561</v>
      </c>
      <c r="D2191" s="5">
        <v>-86394623241033</v>
      </c>
      <c r="E2191" s="5">
        <f>[1]!nefin_factors__1[[#This Row],[SMB]]/D2190-1</f>
        <v>-0.45109972162087408</v>
      </c>
      <c r="F2191" s="5">
        <v>565222374193705</v>
      </c>
      <c r="G2191" s="5">
        <f>[1]!nefin_factors__1[[#This Row],[HML]]/F2190-1</f>
        <v>-8.9189864565574233</v>
      </c>
      <c r="H2191" s="5">
        <v>49703604004292</v>
      </c>
      <c r="I2191" s="6">
        <f>[1]!nefin_factors__1[[#This Row],[Risk_Free]]/H2190-1</f>
        <v>-0.89985883566791891</v>
      </c>
      <c r="J2191">
        <v>110048</v>
      </c>
      <c r="K2191">
        <v>116134</v>
      </c>
      <c r="L2191">
        <v>110048</v>
      </c>
      <c r="M2191">
        <v>116134</v>
      </c>
      <c r="N2191">
        <v>20982900</v>
      </c>
      <c r="O2191">
        <v>116134</v>
      </c>
      <c r="P2191">
        <v>5.5408635277224998E-2</v>
      </c>
      <c r="Q2191">
        <v>5.3928023950675703E-2</v>
      </c>
      <c r="R2191" s="8">
        <v>6.2164578437805202</v>
      </c>
      <c r="S2191" s="8">
        <v>6.9730591832459596E-2</v>
      </c>
      <c r="T2191" s="9">
        <v>6.7406833436919597E-2</v>
      </c>
      <c r="U2191" s="12">
        <v>5.0788E-2</v>
      </c>
      <c r="V2191" s="16">
        <v>5.0427999999999997</v>
      </c>
      <c r="W2191" s="17">
        <f t="shared" si="34"/>
        <v>-9.3314735870184684E-3</v>
      </c>
    </row>
    <row r="2192" spans="1:23" x14ac:dyDescent="0.2">
      <c r="A2192" s="14">
        <v>44760</v>
      </c>
      <c r="B2192" s="3">
        <v>115858009579485</v>
      </c>
      <c r="C2192" s="3">
        <f>[1]!nefin_factors__1[[#This Row],[Rm_minus_Rf]]/B2191-1</f>
        <v>-0.71130210652918968</v>
      </c>
      <c r="D2192" s="3">
        <v>-124287545648231</v>
      </c>
      <c r="E2192" s="3">
        <f>[1]!nefin_factors__1[[#This Row],[SMB]]/D2191-1</f>
        <v>0.43860278551687482</v>
      </c>
      <c r="F2192" s="3">
        <v>309768600456464</v>
      </c>
      <c r="G2192" s="3">
        <f>[1]!nefin_factors__1[[#This Row],[HML]]/F2191-1</f>
        <v>-0.45195269225081225</v>
      </c>
      <c r="H2192" s="3">
        <v>498436967761418</v>
      </c>
      <c r="I2192" s="4">
        <f>[1]!nefin_factors__1[[#This Row],[Risk_Free]]/H2191-1</f>
        <v>9.0281856365662545</v>
      </c>
      <c r="J2192">
        <v>116704</v>
      </c>
      <c r="K2192">
        <v>118280</v>
      </c>
      <c r="L2192">
        <v>115837</v>
      </c>
      <c r="M2192">
        <v>116230</v>
      </c>
      <c r="N2192">
        <v>16078700</v>
      </c>
      <c r="O2192">
        <v>116230</v>
      </c>
      <c r="P2192">
        <v>8.26631305216319E-4</v>
      </c>
      <c r="Q2192">
        <v>8.2628983372666205E-4</v>
      </c>
      <c r="R2192" s="8">
        <v>6.33618211746216</v>
      </c>
      <c r="S2192" s="8">
        <v>1.92592432363108E-2</v>
      </c>
      <c r="T2192" s="9">
        <v>1.90761313406244E-2</v>
      </c>
      <c r="U2192" s="12">
        <v>5.0788E-2</v>
      </c>
      <c r="V2192" s="16">
        <v>5.0617000000000001</v>
      </c>
      <c r="W2192" s="17">
        <f t="shared" si="34"/>
        <v>3.7479178234314237E-3</v>
      </c>
    </row>
    <row r="2193" spans="1:23" x14ac:dyDescent="0.2">
      <c r="A2193" s="15">
        <v>44761</v>
      </c>
      <c r="B2193" s="5">
        <v>138302623081453</v>
      </c>
      <c r="C2193" s="5">
        <f>[1]!nefin_factors__1[[#This Row],[Rm_minus_Rf]]/B2192-1</f>
        <v>0.19372517777089682</v>
      </c>
      <c r="D2193" s="5">
        <v>-536481265909444</v>
      </c>
      <c r="E2193" s="5">
        <f>[1]!nefin_factors__1[[#This Row],[SMB]]/D2192-1</f>
        <v>3.3164523292449442</v>
      </c>
      <c r="F2193" s="5">
        <v>-41539008322385</v>
      </c>
      <c r="G2193" s="5">
        <f>[1]!nefin_factors__1[[#This Row],[HML]]/F2192-1</f>
        <v>-1.1340968976880632</v>
      </c>
      <c r="H2193" s="5">
        <v>499137247026438</v>
      </c>
      <c r="I2193" s="6">
        <f>[1]!nefin_factors__1[[#This Row],[Risk_Free]]/H2192-1</f>
        <v>1.4049504958772996E-3</v>
      </c>
      <c r="J2193">
        <v>116231</v>
      </c>
      <c r="K2193">
        <v>117514</v>
      </c>
      <c r="L2193">
        <v>115906</v>
      </c>
      <c r="M2193">
        <v>117198</v>
      </c>
      <c r="N2193">
        <v>13555200</v>
      </c>
      <c r="O2193">
        <v>117198</v>
      </c>
      <c r="P2193">
        <v>8.3283145487396092E-3</v>
      </c>
      <c r="Q2193">
        <v>8.2938254952731692E-3</v>
      </c>
      <c r="R2193" s="8">
        <v>6.4466972351074201</v>
      </c>
      <c r="S2193" s="8">
        <v>1.74419099067071E-2</v>
      </c>
      <c r="T2193" s="9">
        <v>1.7291545704080601E-2</v>
      </c>
      <c r="U2193" s="12">
        <v>5.0788E-2</v>
      </c>
      <c r="V2193" s="16">
        <v>5.1790000000000003</v>
      </c>
      <c r="W2193" s="17">
        <f t="shared" si="34"/>
        <v>2.3174032439694292E-2</v>
      </c>
    </row>
    <row r="2194" spans="1:23" x14ac:dyDescent="0.2">
      <c r="A2194" s="14">
        <v>44762</v>
      </c>
      <c r="B2194" s="3">
        <v>161861278829414</v>
      </c>
      <c r="C2194" s="3">
        <f>[1]!nefin_factors__1[[#This Row],[Rm_minus_Rf]]/B2193-1</f>
        <v>0.17034135161764929</v>
      </c>
      <c r="D2194" s="3">
        <v>21024355513608</v>
      </c>
      <c r="E2194" s="3">
        <f>[1]!nefin_factors__1[[#This Row],[SMB]]/D2193-1</f>
        <v>-1.0391893563663728</v>
      </c>
      <c r="F2194" s="3">
        <v>-165561606429434</v>
      </c>
      <c r="G2194" s="3">
        <f>[1]!nefin_factors__1[[#This Row],[HML]]/F2193-1</f>
        <v>2.9856899121064076</v>
      </c>
      <c r="H2194" s="3">
        <v>499837403286074</v>
      </c>
      <c r="I2194" s="4">
        <f>[1]!nefin_factors__1[[#This Row],[Risk_Free]]/H2193-1</f>
        <v>1.4027329433079494E-3</v>
      </c>
      <c r="J2194">
        <v>117200</v>
      </c>
      <c r="K2194">
        <v>118382</v>
      </c>
      <c r="L2194">
        <v>117144</v>
      </c>
      <c r="M2194">
        <v>117561</v>
      </c>
      <c r="N2194">
        <v>14520500</v>
      </c>
      <c r="O2194">
        <v>117561</v>
      </c>
      <c r="P2194">
        <v>3.0973224799058E-3</v>
      </c>
      <c r="Q2194">
        <v>3.0925356583066201E-3</v>
      </c>
      <c r="R2194" s="8">
        <v>6.5756311416626003</v>
      </c>
      <c r="S2194" s="8">
        <v>1.99999940827107E-2</v>
      </c>
      <c r="T2194" s="9">
        <v>1.9802621494915702E-2</v>
      </c>
      <c r="U2194" s="12">
        <v>5.0788E-2</v>
      </c>
      <c r="V2194" s="16">
        <v>5.2007000000000003</v>
      </c>
      <c r="W2194" s="17">
        <f t="shared" si="34"/>
        <v>4.1899980691253447E-3</v>
      </c>
    </row>
    <row r="2195" spans="1:23" x14ac:dyDescent="0.2">
      <c r="A2195" s="15">
        <v>44763</v>
      </c>
      <c r="B2195" s="5">
        <v>585212077804213</v>
      </c>
      <c r="C2195" s="5">
        <f>[1]!nefin_factors__1[[#This Row],[Rm_minus_Rf]]/B2194-1</f>
        <v>2.6155162126265505</v>
      </c>
      <c r="D2195" s="5">
        <v>121756089414565</v>
      </c>
      <c r="E2195" s="5">
        <f>[1]!nefin_factors__1[[#This Row],[SMB]]/D2194-1</f>
        <v>4.7911924736888345</v>
      </c>
      <c r="F2195" s="5">
        <v>-687459348924657</v>
      </c>
      <c r="G2195" s="5">
        <f>[1]!nefin_factors__1[[#This Row],[HML]]/F2194-1</f>
        <v>3.1522872588075987</v>
      </c>
      <c r="H2195" s="5">
        <v>500187435302557</v>
      </c>
      <c r="I2195" s="6">
        <f>[1]!nefin_factors__1[[#This Row],[Risk_Free]]/H2194-1</f>
        <v>7.0029176324504228E-4</v>
      </c>
      <c r="J2195">
        <v>117560</v>
      </c>
      <c r="K2195">
        <v>117960</v>
      </c>
      <c r="L2195">
        <v>115924</v>
      </c>
      <c r="M2195">
        <v>116375</v>
      </c>
      <c r="N2195">
        <v>13616500</v>
      </c>
      <c r="O2195">
        <v>116375</v>
      </c>
      <c r="P2195">
        <v>-1.00883796497138E-2</v>
      </c>
      <c r="Q2195">
        <v>-1.01396122119652E-2</v>
      </c>
      <c r="R2195" s="8">
        <v>6.4282779693603498</v>
      </c>
      <c r="S2195" s="8">
        <v>-2.2408977804218699E-2</v>
      </c>
      <c r="T2195" s="9">
        <v>-2.26638741219286E-2</v>
      </c>
      <c r="U2195" s="12">
        <v>5.0788E-2</v>
      </c>
      <c r="V2195" s="16">
        <v>5.1878000000000002</v>
      </c>
      <c r="W2195" s="17">
        <f t="shared" si="34"/>
        <v>-2.4804353260138301E-3</v>
      </c>
    </row>
    <row r="2196" spans="1:23" x14ac:dyDescent="0.2">
      <c r="A2196" s="14">
        <v>44764</v>
      </c>
      <c r="B2196" s="3">
        <v>-251063134739865</v>
      </c>
      <c r="C2196" s="3">
        <f>[1]!nefin_factors__1[[#This Row],[Rm_minus_Rf]]/B2195-1</f>
        <v>-1.4290122235376352</v>
      </c>
      <c r="D2196" s="3">
        <v>-32652186134481</v>
      </c>
      <c r="E2196" s="3">
        <f>[1]!nefin_factors__1[[#This Row],[SMB]]/D2195-1</f>
        <v>-1.2681770274610593</v>
      </c>
      <c r="F2196" s="3">
        <v>416405305421504</v>
      </c>
      <c r="G2196" s="3">
        <f>[1]!nefin_factors__1[[#This Row],[HML]]/F2195-1</f>
        <v>-1.6057162595473562</v>
      </c>
      <c r="H2196" s="3">
        <v>500887407135941</v>
      </c>
      <c r="I2196" s="4">
        <f>[1]!nefin_factors__1[[#This Row],[Risk_Free]]/H2195-1</f>
        <v>1.3994190656960726E-3</v>
      </c>
      <c r="J2196">
        <v>116377</v>
      </c>
      <c r="K2196">
        <v>116841</v>
      </c>
      <c r="L2196">
        <v>115261</v>
      </c>
      <c r="M2196">
        <v>115941</v>
      </c>
      <c r="N2196">
        <v>11429900</v>
      </c>
      <c r="O2196">
        <v>115941</v>
      </c>
      <c r="P2196">
        <v>-3.7293233082706899E-3</v>
      </c>
      <c r="Q2196">
        <v>-3.73629457190061E-3</v>
      </c>
      <c r="R2196" s="8">
        <v>6.3638110160827601</v>
      </c>
      <c r="S2196" s="8">
        <v>-1.00286505320495E-2</v>
      </c>
      <c r="T2196" s="9">
        <v>-1.00792762036325E-2</v>
      </c>
      <c r="U2196" s="12">
        <v>5.0788E-2</v>
      </c>
      <c r="V2196" s="16">
        <v>5.1685999999999996</v>
      </c>
      <c r="W2196" s="17">
        <f t="shared" si="34"/>
        <v>-3.700990786075109E-3</v>
      </c>
    </row>
    <row r="2197" spans="1:23" x14ac:dyDescent="0.2">
      <c r="A2197" s="15">
        <v>44767</v>
      </c>
      <c r="B2197" s="5">
        <v>116181098265733</v>
      </c>
      <c r="C2197" s="5">
        <f>[1]!nefin_factors__1[[#This Row],[Rm_minus_Rf]]/B2196-1</f>
        <v>-1.462756503005159</v>
      </c>
      <c r="D2197" s="5">
        <v>-154933306672332</v>
      </c>
      <c r="E2197" s="5">
        <f>[1]!nefin_factors__1[[#This Row],[SMB]]/D2196-1</f>
        <v>3.7449596800111662</v>
      </c>
      <c r="F2197" s="5">
        <v>23713874793369</v>
      </c>
      <c r="G2197" s="5">
        <f>[1]!nefin_factors__1[[#This Row],[HML]]/F2196-1</f>
        <v>-0.94305097825455231</v>
      </c>
      <c r="H2197" s="5">
        <v>501587256072078</v>
      </c>
      <c r="I2197" s="6">
        <f>[1]!nefin_factors__1[[#This Row],[Risk_Free]]/H2196-1</f>
        <v>1.3972180697030545E-3</v>
      </c>
      <c r="J2197">
        <v>115928</v>
      </c>
      <c r="K2197">
        <v>115928</v>
      </c>
      <c r="L2197">
        <v>114297</v>
      </c>
      <c r="M2197">
        <v>114827</v>
      </c>
      <c r="N2197">
        <v>13137900</v>
      </c>
      <c r="O2197">
        <v>114827</v>
      </c>
      <c r="P2197">
        <v>-9.6083352739755306E-3</v>
      </c>
      <c r="Q2197">
        <v>-9.6547931554512405E-3</v>
      </c>
      <c r="R2197" s="8">
        <v>6.0138468742370597</v>
      </c>
      <c r="S2197" s="8">
        <v>-5.4992855847112103E-2</v>
      </c>
      <c r="T2197" s="9">
        <v>-5.6562791566824699E-2</v>
      </c>
      <c r="U2197" s="12">
        <v>5.0788E-2</v>
      </c>
      <c r="V2197" s="16">
        <v>5.2228000000000003</v>
      </c>
      <c r="W2197" s="17">
        <f t="shared" si="34"/>
        <v>1.0486398637929106E-2</v>
      </c>
    </row>
    <row r="2198" spans="1:23" x14ac:dyDescent="0.2">
      <c r="A2198" s="14">
        <v>44768</v>
      </c>
      <c r="B2198" s="3">
        <v>-51891686679815</v>
      </c>
      <c r="C2198" s="3">
        <f>[1]!nefin_factors__1[[#This Row],[Rm_minus_Rf]]/B2197-1</f>
        <v>-1.4466448282415676</v>
      </c>
      <c r="D2198" s="3">
        <v>-270232540351812</v>
      </c>
      <c r="E2198" s="3">
        <f>[1]!nefin_factors__1[[#This Row],[SMB]]/D2197-1</f>
        <v>0.74418623184313759</v>
      </c>
      <c r="F2198" s="3">
        <v>348695173390753</v>
      </c>
      <c r="G2198" s="3">
        <f>[1]!nefin_factors__1[[#This Row],[HML]]/F2197-1</f>
        <v>13.704268131172599</v>
      </c>
      <c r="H2198" s="3">
        <v>502286982154709</v>
      </c>
      <c r="I2198" s="4">
        <f>[1]!nefin_factors__1[[#This Row],[Risk_Free]]/H2197-1</f>
        <v>1.3950236457571652E-3</v>
      </c>
      <c r="J2198">
        <v>114819</v>
      </c>
      <c r="K2198">
        <v>115367</v>
      </c>
      <c r="L2198">
        <v>112690</v>
      </c>
      <c r="M2198">
        <v>114300</v>
      </c>
      <c r="N2198">
        <v>14583700</v>
      </c>
      <c r="O2198">
        <v>114300</v>
      </c>
      <c r="P2198">
        <v>-4.58951291943532E-3</v>
      </c>
      <c r="Q2198">
        <v>-4.6000770691143099E-3</v>
      </c>
      <c r="R2198" s="8">
        <v>6.1335721015930202</v>
      </c>
      <c r="S2198" s="8">
        <v>1.9908260030506102E-2</v>
      </c>
      <c r="T2198" s="9">
        <v>1.9712682104669602E-2</v>
      </c>
      <c r="U2198" s="12">
        <v>5.0788E-2</v>
      </c>
      <c r="V2198" s="16">
        <v>5.2154999999999996</v>
      </c>
      <c r="W2198" s="17">
        <f t="shared" si="34"/>
        <v>-1.3977176993185125E-3</v>
      </c>
    </row>
    <row r="2199" spans="1:23" x14ac:dyDescent="0.2">
      <c r="A2199" s="15">
        <v>44769</v>
      </c>
      <c r="B2199" s="5">
        <v>176286024681519</v>
      </c>
      <c r="C2199" s="5">
        <f>[1]!nefin_factors__1[[#This Row],[Rm_minus_Rf]]/B2198-1</f>
        <v>-4.397192035195328</v>
      </c>
      <c r="D2199" s="5">
        <v>757324920151028</v>
      </c>
      <c r="E2199" s="5">
        <f>[1]!nefin_factors__1[[#This Row],[SMB]]/D2198-1</f>
        <v>-3.8024934345992425</v>
      </c>
      <c r="F2199" s="5">
        <v>-556587221662842</v>
      </c>
      <c r="G2199" s="5">
        <f>[1]!nefin_factors__1[[#This Row],[HML]]/F2198-1</f>
        <v>-2.5961999595535614</v>
      </c>
      <c r="H2199" s="5">
        <v>503336341022287</v>
      </c>
      <c r="I2199" s="6">
        <f>[1]!nefin_factors__1[[#This Row],[Risk_Free]]/H2198-1</f>
        <v>2.0891619828100616E-3</v>
      </c>
      <c r="J2199">
        <v>114301</v>
      </c>
      <c r="K2199">
        <v>114712</v>
      </c>
      <c r="L2199">
        <v>111631</v>
      </c>
      <c r="M2199">
        <v>112072</v>
      </c>
      <c r="N2199">
        <v>13096100</v>
      </c>
      <c r="O2199">
        <v>112072</v>
      </c>
      <c r="P2199">
        <v>-1.94925634295713E-2</v>
      </c>
      <c r="Q2199">
        <v>-1.9685048906952201E-2</v>
      </c>
      <c r="R2199" s="8">
        <v>5.8204469680786097</v>
      </c>
      <c r="S2199" s="8">
        <v>-5.10510235027773E-2</v>
      </c>
      <c r="T2199" s="9">
        <v>-5.2400247363231102E-2</v>
      </c>
      <c r="U2199" s="12">
        <v>5.0788E-2</v>
      </c>
      <c r="V2199" s="16">
        <v>5.1632999999999996</v>
      </c>
      <c r="W2199" s="17">
        <f t="shared" si="34"/>
        <v>-1.0008628127696317E-2</v>
      </c>
    </row>
    <row r="2200" spans="1:23" x14ac:dyDescent="0.2">
      <c r="A2200" s="14">
        <v>44770</v>
      </c>
      <c r="B2200" s="3">
        <v>117191890742417</v>
      </c>
      <c r="C2200" s="3">
        <f>[1]!nefin_factors__1[[#This Row],[Rm_minus_Rf]]/B2199-1</f>
        <v>-0.33521734945162196</v>
      </c>
      <c r="D2200" s="3">
        <v>182236942027803</v>
      </c>
      <c r="E2200" s="3">
        <f>[1]!nefin_factors__1[[#This Row],[SMB]]/D2199-1</f>
        <v>-0.75936756182344989</v>
      </c>
      <c r="F2200" s="3">
        <v>-804452759943453</v>
      </c>
      <c r="G2200" s="3">
        <f>[1]!nefin_factors__1[[#This Row],[HML]]/F2199-1</f>
        <v>0.44533098970561324</v>
      </c>
      <c r="H2200" s="3">
        <v>503686065931541</v>
      </c>
      <c r="I2200" s="4">
        <f>[1]!nefin_factors__1[[#This Row],[Risk_Free]]/H2199-1</f>
        <v>6.9481354861777866E-4</v>
      </c>
      <c r="J2200">
        <v>112107</v>
      </c>
      <c r="K2200">
        <v>114406</v>
      </c>
      <c r="L2200">
        <v>112090</v>
      </c>
      <c r="M2200">
        <v>113624</v>
      </c>
      <c r="N2200">
        <v>11633000</v>
      </c>
      <c r="O2200">
        <v>113624</v>
      </c>
      <c r="P2200">
        <v>1.38482404168749E-2</v>
      </c>
      <c r="Q2200">
        <v>1.37532296850142E-2</v>
      </c>
      <c r="R2200" s="8">
        <v>6.3546018600463903</v>
      </c>
      <c r="S2200" s="8">
        <v>9.1772143084073707E-2</v>
      </c>
      <c r="T2200" s="9">
        <v>8.7802195370729599E-2</v>
      </c>
      <c r="U2200" s="12">
        <v>5.0788E-2</v>
      </c>
      <c r="V2200" s="16">
        <v>5.1182999999999996</v>
      </c>
      <c r="W2200" s="17">
        <f t="shared" si="34"/>
        <v>-8.7153564580790821E-3</v>
      </c>
    </row>
    <row r="2201" spans="1:23" x14ac:dyDescent="0.2">
      <c r="A2201" s="15">
        <v>44771</v>
      </c>
      <c r="B2201" s="5">
        <v>478796111603607</v>
      </c>
      <c r="C2201" s="5">
        <f>[1]!nefin_factors__1[[#This Row],[Rm_minus_Rf]]/B2200-1</f>
        <v>3.0855737420943345</v>
      </c>
      <c r="D2201" s="5">
        <v>142883141258036</v>
      </c>
      <c r="E2201" s="5">
        <f>[1]!nefin_factors__1[[#This Row],[SMB]]/D2200-1</f>
        <v>-0.21594853563644079</v>
      </c>
      <c r="F2201" s="5">
        <v>361072625979937</v>
      </c>
      <c r="G2201" s="5">
        <f>[1]!nefin_factors__1[[#This Row],[HML]]/F2200-1</f>
        <v>-1.4488425473303339</v>
      </c>
      <c r="H2201" s="5">
        <v>504385423712117</v>
      </c>
      <c r="I2201" s="6">
        <f>[1]!nefin_factors__1[[#This Row],[Risk_Free]]/H2200-1</f>
        <v>1.3884795071361644E-3</v>
      </c>
      <c r="J2201">
        <v>113627</v>
      </c>
      <c r="K2201">
        <v>115795</v>
      </c>
      <c r="L2201">
        <v>113627</v>
      </c>
      <c r="M2201">
        <v>115743</v>
      </c>
      <c r="N2201">
        <v>14744200</v>
      </c>
      <c r="O2201">
        <v>115743</v>
      </c>
      <c r="P2201">
        <v>1.8649229036119101E-2</v>
      </c>
      <c r="Q2201">
        <v>1.84774643968331E-2</v>
      </c>
      <c r="R2201" s="8">
        <v>6.5203738212585396</v>
      </c>
      <c r="S2201" s="8">
        <v>2.6086915413918301E-2</v>
      </c>
      <c r="T2201" s="9">
        <v>2.5752456039707099E-2</v>
      </c>
      <c r="U2201" s="12">
        <v>5.0788E-2</v>
      </c>
      <c r="V2201" s="16">
        <v>5.1794000000000002</v>
      </c>
      <c r="W2201" s="17">
        <f t="shared" si="34"/>
        <v>1.1937557392103004E-2</v>
      </c>
    </row>
    <row r="2202" spans="1:23" x14ac:dyDescent="0.2">
      <c r="A2202" s="14">
        <v>44774</v>
      </c>
      <c r="B2202" s="3">
        <v>-836332923501196</v>
      </c>
      <c r="C2202" s="3">
        <f>[1]!nefin_factors__1[[#This Row],[Rm_minus_Rf]]/B2201-1</f>
        <v>-2.7467412604920902</v>
      </c>
      <c r="D2202" s="3">
        <v>126746786780954</v>
      </c>
      <c r="E2202" s="3">
        <f>[1]!nefin_factors__1[[#This Row],[SMB]]/D2201-1</f>
        <v>-0.11293392862871754</v>
      </c>
      <c r="F2202" s="3">
        <v>325279641767028</v>
      </c>
      <c r="G2202" s="3">
        <f>[1]!nefin_factors__1[[#This Row],[HML]]/F2201-1</f>
        <v>-9.912959786349973E-2</v>
      </c>
      <c r="H2202" s="3">
        <v>505084658811716</v>
      </c>
      <c r="I2202" s="4">
        <f>[1]!nefin_factors__1[[#This Row],[Risk_Free]]/H2201-1</f>
        <v>1.3863110762655229E-3</v>
      </c>
      <c r="J2202">
        <v>115744</v>
      </c>
      <c r="K2202">
        <v>116459</v>
      </c>
      <c r="L2202">
        <v>115264</v>
      </c>
      <c r="M2202">
        <v>116274</v>
      </c>
      <c r="N2202">
        <v>12729900</v>
      </c>
      <c r="O2202">
        <v>116274</v>
      </c>
      <c r="P2202">
        <v>4.5877504471112402E-3</v>
      </c>
      <c r="Q2202">
        <v>4.5772587965072602E-3</v>
      </c>
      <c r="R2202" s="8">
        <v>6.41906785964966</v>
      </c>
      <c r="S2202" s="8">
        <v>-1.55368333758099E-2</v>
      </c>
      <c r="T2202" s="9">
        <v>-1.5658794884527E-2</v>
      </c>
      <c r="U2202" s="12">
        <v>5.0788E-2</v>
      </c>
      <c r="V2202" s="16">
        <v>5.1773999999999996</v>
      </c>
      <c r="W2202" s="17">
        <f t="shared" si="34"/>
        <v>-3.8614511333368018E-4</v>
      </c>
    </row>
    <row r="2203" spans="1:23" x14ac:dyDescent="0.2">
      <c r="A2203" s="15">
        <v>44775</v>
      </c>
      <c r="B2203" s="5">
        <v>907134552185289</v>
      </c>
      <c r="C2203" s="5">
        <f>[1]!nefin_factors__1[[#This Row],[Rm_minus_Rf]]/B2202-1</f>
        <v>-2.0846572300271182</v>
      </c>
      <c r="D2203" s="5">
        <v>-445237440514367</v>
      </c>
      <c r="E2203" s="5">
        <f>[1]!nefin_factors__1[[#This Row],[SMB]]/D2202-1</f>
        <v>-4.5128104768749218</v>
      </c>
      <c r="F2203" s="5">
        <v>-27463735280783</v>
      </c>
      <c r="G2203" s="5">
        <f>[1]!nefin_factors__1[[#This Row],[HML]]/F2202-1</f>
        <v>-1.0844311532427631</v>
      </c>
      <c r="H2203" s="5">
        <v>506133281528376</v>
      </c>
      <c r="I2203" s="6">
        <f>[1]!nefin_factors__1[[#This Row],[Risk_Free]]/H2202-1</f>
        <v>2.0761325816687215E-3</v>
      </c>
      <c r="J2203">
        <v>116276</v>
      </c>
      <c r="K2203">
        <v>117367</v>
      </c>
      <c r="L2203">
        <v>116276</v>
      </c>
      <c r="M2203">
        <v>117171</v>
      </c>
      <c r="N2203">
        <v>16915800</v>
      </c>
      <c r="O2203">
        <v>117171</v>
      </c>
      <c r="P2203">
        <v>7.7145363537849398E-3</v>
      </c>
      <c r="Q2203">
        <v>7.6849314793119598E-3</v>
      </c>
      <c r="R2203" s="8">
        <v>6.2164578437805202</v>
      </c>
      <c r="S2203" s="8">
        <v>-3.1563775348559503E-2</v>
      </c>
      <c r="T2203" s="9">
        <v>-3.2072647914583301E-2</v>
      </c>
      <c r="U2203" s="12">
        <v>5.0788E-2</v>
      </c>
      <c r="V2203" s="16">
        <v>5.2210999999999999</v>
      </c>
      <c r="W2203" s="17">
        <f t="shared" si="34"/>
        <v>8.4405299957508451E-3</v>
      </c>
    </row>
    <row r="2204" spans="1:23" x14ac:dyDescent="0.2">
      <c r="A2204" s="14">
        <v>44776</v>
      </c>
      <c r="B2204" s="3">
        <v>532501061845083</v>
      </c>
      <c r="C2204" s="3">
        <f>[1]!nefin_factors__1[[#This Row],[Rm_minus_Rf]]/B2203-1</f>
        <v>-0.41298558128748719</v>
      </c>
      <c r="D2204" s="3">
        <v>2056328191781</v>
      </c>
      <c r="E2204" s="3">
        <f>[1]!nefin_factors__1[[#This Row],[SMB]]/D2203-1</f>
        <v>-1.004618497917438</v>
      </c>
      <c r="F2204" s="3">
        <v>-407498700352118</v>
      </c>
      <c r="G2204" s="3">
        <f>[1]!nefin_factors__1[[#This Row],[HML]]/F2203-1</f>
        <v>13.837701288114808</v>
      </c>
      <c r="H2204" s="3">
        <v>50683221011405</v>
      </c>
      <c r="I2204" s="4">
        <f>[1]!nefin_factors__1[[#This Row],[Risk_Free]]/H2203-1</f>
        <v>-0.89986190819470246</v>
      </c>
      <c r="J2204">
        <v>117170</v>
      </c>
      <c r="K2204">
        <v>120752</v>
      </c>
      <c r="L2204">
        <v>116736</v>
      </c>
      <c r="M2204">
        <v>119929</v>
      </c>
      <c r="N2204">
        <v>18579800</v>
      </c>
      <c r="O2204">
        <v>119929</v>
      </c>
      <c r="P2204">
        <v>2.35382475185839E-2</v>
      </c>
      <c r="Q2204">
        <v>2.3265494760105501E-2</v>
      </c>
      <c r="R2204" s="8">
        <v>6.2532958984375</v>
      </c>
      <c r="S2204" s="8">
        <v>5.9258914936322097E-3</v>
      </c>
      <c r="T2204" s="9">
        <v>5.9084024567132003E-3</v>
      </c>
      <c r="U2204" s="12">
        <v>5.0788E-2</v>
      </c>
      <c r="V2204" s="16">
        <v>5.2881999999999998</v>
      </c>
      <c r="W2204" s="17">
        <f t="shared" si="34"/>
        <v>1.2851697918063287E-2</v>
      </c>
    </row>
    <row r="2205" spans="1:23" x14ac:dyDescent="0.2">
      <c r="A2205" s="15">
        <v>44777</v>
      </c>
      <c r="B2205" s="5">
        <v>201140647913899</v>
      </c>
      <c r="C2205" s="5">
        <f>[1]!nefin_factors__1[[#This Row],[Rm_minus_Rf]]/B2204-1</f>
        <v>-0.62227183694815702</v>
      </c>
      <c r="D2205" s="5">
        <v>175177471439425</v>
      </c>
      <c r="E2205" s="5">
        <f>[1]!nefin_factors__1[[#This Row],[SMB]]/D2204-1</f>
        <v>84.18945182952659</v>
      </c>
      <c r="F2205" s="5">
        <v>-209051833984049</v>
      </c>
      <c r="G2205" s="5">
        <f>[1]!nefin_factors__1[[#This Row],[HML]]/F2204-1</f>
        <v>-0.48698772829604575</v>
      </c>
      <c r="H2205" s="5">
        <v>50822969973785</v>
      </c>
      <c r="I2205" s="6">
        <f>[1]!nefin_factors__1[[#This Row],[Risk_Free]]/H2204-1</f>
        <v>2.7573023101383765E-3</v>
      </c>
      <c r="J2205">
        <v>119922</v>
      </c>
      <c r="K2205">
        <v>119924</v>
      </c>
      <c r="L2205">
        <v>115793</v>
      </c>
      <c r="M2205">
        <v>116013</v>
      </c>
      <c r="N2205">
        <v>13278800</v>
      </c>
      <c r="O2205">
        <v>116013</v>
      </c>
      <c r="P2205">
        <v>-3.2652652819585001E-2</v>
      </c>
      <c r="Q2205">
        <v>-3.3197647218960499E-2</v>
      </c>
      <c r="R2205" s="8">
        <v>6.3269729614257804</v>
      </c>
      <c r="S2205" s="8">
        <v>1.1782116852441E-2</v>
      </c>
      <c r="T2205" s="9">
        <v>1.1713248132074E-2</v>
      </c>
      <c r="U2205" s="12">
        <v>5.0788E-2</v>
      </c>
      <c r="V2205" s="16">
        <v>5.2366999999999999</v>
      </c>
      <c r="W2205" s="17">
        <f t="shared" si="34"/>
        <v>-9.7386634393554772E-3</v>
      </c>
    </row>
    <row r="2206" spans="1:23" x14ac:dyDescent="0.2">
      <c r="A2206" s="14">
        <v>44778</v>
      </c>
      <c r="B2206" s="3">
        <v>462525172543494</v>
      </c>
      <c r="C2206" s="3">
        <f>[1]!nefin_factors__1[[#This Row],[Rm_minus_Rf]]/B2205-1</f>
        <v>1.2995111994542454</v>
      </c>
      <c r="D2206" s="3">
        <v>253887916783661</v>
      </c>
      <c r="E2206" s="3">
        <f>[1]!nefin_factors__1[[#This Row],[SMB]]/D2205-1</f>
        <v>0.44931830958328134</v>
      </c>
      <c r="F2206" s="3">
        <v>104575732427288</v>
      </c>
      <c r="G2206" s="3">
        <f>[1]!nefin_factors__1[[#This Row],[HML]]/F2205-1</f>
        <v>-1.500238292266153</v>
      </c>
      <c r="H2206" s="3">
        <v>50822969973785</v>
      </c>
      <c r="I2206" s="4">
        <f>[1]!nefin_factors__1[[#This Row],[Risk_Free]]/H2205-1</f>
        <v>0</v>
      </c>
      <c r="J2206">
        <v>116016</v>
      </c>
      <c r="K2206">
        <v>116203</v>
      </c>
      <c r="L2206">
        <v>114626</v>
      </c>
      <c r="M2206">
        <v>114626</v>
      </c>
      <c r="N2206">
        <v>14727200</v>
      </c>
      <c r="O2206">
        <v>114626</v>
      </c>
      <c r="P2206">
        <v>-1.1955556704852001E-2</v>
      </c>
      <c r="Q2206">
        <v>-1.2027599153723201E-2</v>
      </c>
      <c r="R2206" s="8">
        <v>6.1612010002136204</v>
      </c>
      <c r="S2206" s="8">
        <v>-2.6200832882143602E-2</v>
      </c>
      <c r="T2206" s="9">
        <v>-2.65501905246638E-2</v>
      </c>
      <c r="U2206" s="12">
        <v>5.0788E-2</v>
      </c>
      <c r="V2206" s="16">
        <v>5.1704999999999997</v>
      </c>
      <c r="W2206" s="17">
        <f t="shared" si="34"/>
        <v>-1.264154906716064E-2</v>
      </c>
    </row>
    <row r="2207" spans="1:23" x14ac:dyDescent="0.2">
      <c r="A2207" s="15">
        <v>44781</v>
      </c>
      <c r="B2207" s="5">
        <v>173919538130577</v>
      </c>
      <c r="C2207" s="5">
        <f>[1]!nefin_factors__1[[#This Row],[Rm_minus_Rf]]/B2206-1</f>
        <v>-0.62397822117622725</v>
      </c>
      <c r="D2207" s="5">
        <v>-46595242567073</v>
      </c>
      <c r="E2207" s="5">
        <f>[1]!nefin_factors__1[[#This Row],[SMB]]/D2206-1</f>
        <v>-1.1835268222188653</v>
      </c>
      <c r="F2207" s="5">
        <v>-258207236921485</v>
      </c>
      <c r="G2207" s="5">
        <f>[1]!nefin_factors__1[[#This Row],[HML]]/F2206-1</f>
        <v>-3.4690932678957589</v>
      </c>
      <c r="H2207" s="5">
        <v>50822969973785</v>
      </c>
      <c r="I2207" s="6">
        <f>[1]!nefin_factors__1[[#This Row],[Risk_Free]]/H2206-1</f>
        <v>0</v>
      </c>
      <c r="J2207">
        <v>114626</v>
      </c>
      <c r="K2207">
        <v>114626</v>
      </c>
      <c r="L2207">
        <v>112577</v>
      </c>
      <c r="M2207">
        <v>112764</v>
      </c>
      <c r="N2207">
        <v>16088200</v>
      </c>
      <c r="O2207">
        <v>112764</v>
      </c>
      <c r="P2207">
        <v>-1.6244133093713399E-2</v>
      </c>
      <c r="Q2207">
        <v>-1.6377515449972999E-2</v>
      </c>
      <c r="R2207" s="8">
        <v>5.6915130615234402</v>
      </c>
      <c r="S2207" s="8">
        <v>-7.6233178997715006E-2</v>
      </c>
      <c r="T2207" s="9">
        <v>-7.9295597410782501E-2</v>
      </c>
      <c r="U2207" s="12">
        <v>5.0788E-2</v>
      </c>
      <c r="V2207" s="16">
        <v>5.1692</v>
      </c>
      <c r="W2207" s="17">
        <f t="shared" si="34"/>
        <v>-2.5142636108688166E-4</v>
      </c>
    </row>
    <row r="2208" spans="1:23" x14ac:dyDescent="0.2">
      <c r="A2208" s="14">
        <v>44782</v>
      </c>
      <c r="B2208" s="3">
        <v>545170069490341</v>
      </c>
      <c r="C2208" s="3">
        <f>[1]!nefin_factors__1[[#This Row],[Rm_minus_Rf]]/B2207-1</f>
        <v>2.1346108398760402</v>
      </c>
      <c r="D2208" s="3">
        <v>-941946011042245</v>
      </c>
      <c r="E2208" s="3">
        <f>[1]!nefin_factors__1[[#This Row],[SMB]]/D2207-1</f>
        <v>19.215497530382656</v>
      </c>
      <c r="F2208" s="3">
        <v>114351248141786</v>
      </c>
      <c r="G2208" s="3">
        <f>[1]!nefin_factors__1[[#This Row],[HML]]/F2207-1</f>
        <v>-1.4428661624869856</v>
      </c>
      <c r="H2208" s="3">
        <v>50822969973785</v>
      </c>
      <c r="I2208" s="4">
        <f>[1]!nefin_factors__1[[#This Row],[Risk_Free]]/H2207-1</f>
        <v>0</v>
      </c>
      <c r="J2208">
        <v>112766</v>
      </c>
      <c r="K2208">
        <v>116236</v>
      </c>
      <c r="L2208">
        <v>112765</v>
      </c>
      <c r="M2208">
        <v>114641</v>
      </c>
      <c r="N2208">
        <v>15530800</v>
      </c>
      <c r="O2208">
        <v>114641</v>
      </c>
      <c r="P2208">
        <v>1.66453832783513E-2</v>
      </c>
      <c r="Q2208">
        <v>1.65083672517711E-2</v>
      </c>
      <c r="R2208" s="8">
        <v>5.8757038116455096</v>
      </c>
      <c r="S2208" s="8">
        <v>3.2362352177888E-2</v>
      </c>
      <c r="T2208" s="9">
        <v>3.1849721883856701E-2</v>
      </c>
      <c r="U2208" s="12">
        <v>5.0788E-2</v>
      </c>
      <c r="V2208" s="16">
        <v>5.1677</v>
      </c>
      <c r="W2208" s="17">
        <f t="shared" si="34"/>
        <v>-2.9018029869221085E-4</v>
      </c>
    </row>
    <row r="2209" spans="1:23" x14ac:dyDescent="0.2">
      <c r="A2209" s="15">
        <v>44783</v>
      </c>
      <c r="B2209" s="5">
        <v>159481593035038</v>
      </c>
      <c r="C2209" s="5">
        <f>[1]!nefin_factors__1[[#This Row],[Rm_minus_Rf]]/B2208-1</f>
        <v>-0.70746451069089078</v>
      </c>
      <c r="D2209" s="5">
        <v>227871303646726</v>
      </c>
      <c r="E2209" s="5">
        <f>[1]!nefin_factors__1[[#This Row],[SMB]]/D2208-1</f>
        <v>-1.2419154611574721</v>
      </c>
      <c r="F2209" s="5">
        <v>-314004035338476</v>
      </c>
      <c r="G2209" s="5">
        <f>[1]!nefin_factors__1[[#This Row],[HML]]/F2208-1</f>
        <v>-3.7459607170106022</v>
      </c>
      <c r="H2209" s="5">
        <v>50822969973785</v>
      </c>
      <c r="I2209" s="6">
        <f>[1]!nefin_factors__1[[#This Row],[Risk_Free]]/H2208-1</f>
        <v>0</v>
      </c>
      <c r="J2209">
        <v>114636</v>
      </c>
      <c r="K2209">
        <v>114712</v>
      </c>
      <c r="L2209">
        <v>113336</v>
      </c>
      <c r="M2209">
        <v>114539</v>
      </c>
      <c r="N2209">
        <v>14392400</v>
      </c>
      <c r="O2209">
        <v>114539</v>
      </c>
      <c r="P2209">
        <v>-8.8973403930525696E-4</v>
      </c>
      <c r="Q2209">
        <v>-8.9013008757144797E-4</v>
      </c>
      <c r="R2209" s="8">
        <v>6.0230569839477504</v>
      </c>
      <c r="S2209" s="8">
        <v>2.5078386696449E-2</v>
      </c>
      <c r="T2209" s="9">
        <v>2.4769084492125001E-2</v>
      </c>
      <c r="U2209" s="12">
        <v>5.0788E-2</v>
      </c>
      <c r="V2209" s="16">
        <v>5.2256999999999998</v>
      </c>
      <c r="W2209" s="17">
        <f t="shared" si="34"/>
        <v>1.1223561739265087E-2</v>
      </c>
    </row>
    <row r="2210" spans="1:23" x14ac:dyDescent="0.2">
      <c r="A2210" s="14">
        <v>44784</v>
      </c>
      <c r="B2210" s="3">
        <v>-741040071181971</v>
      </c>
      <c r="C2210" s="3">
        <f>[1]!nefin_factors__1[[#This Row],[Rm_minus_Rf]]/B2209-1</f>
        <v>-5.6465554869342505</v>
      </c>
      <c r="D2210" s="3">
        <v>-163239445394571</v>
      </c>
      <c r="E2210" s="3">
        <f>[1]!nefin_factors__1[[#This Row],[SMB]]/D2209-1</f>
        <v>-1.7163668385714983</v>
      </c>
      <c r="F2210" s="3">
        <v>168061060984313</v>
      </c>
      <c r="G2210" s="3">
        <f>[1]!nefin_factors__1[[#This Row],[HML]]/F2209-1</f>
        <v>-1.535219430550165</v>
      </c>
      <c r="H2210" s="3">
        <v>50822969973785</v>
      </c>
      <c r="I2210" s="4">
        <f>[1]!nefin_factors__1[[#This Row],[Risk_Free]]/H2209-1</f>
        <v>0</v>
      </c>
      <c r="J2210">
        <v>114533</v>
      </c>
      <c r="K2210">
        <v>116763</v>
      </c>
      <c r="L2210">
        <v>112113</v>
      </c>
      <c r="M2210">
        <v>116037</v>
      </c>
      <c r="N2210">
        <v>21637900</v>
      </c>
      <c r="O2210">
        <v>116037</v>
      </c>
      <c r="P2210">
        <v>1.3078514741703601E-2</v>
      </c>
      <c r="Q2210">
        <v>1.2993729411792099E-2</v>
      </c>
      <c r="R2210" s="8">
        <v>6.6032600402831996</v>
      </c>
      <c r="S2210" s="8">
        <v>9.6330328250549005E-2</v>
      </c>
      <c r="T2210" s="9">
        <v>9.1968537504845904E-2</v>
      </c>
      <c r="U2210" s="12">
        <v>5.0788E-2</v>
      </c>
      <c r="V2210" s="16">
        <v>5.3548</v>
      </c>
      <c r="W2210" s="17">
        <f t="shared" si="34"/>
        <v>2.4704824234073941E-2</v>
      </c>
    </row>
    <row r="2211" spans="1:23" x14ac:dyDescent="0.2">
      <c r="A2211" s="15">
        <v>44785</v>
      </c>
      <c r="B2211" s="5">
        <v>271343090431881</v>
      </c>
      <c r="C2211" s="5">
        <f>[1]!nefin_factors__1[[#This Row],[Rm_minus_Rf]]/B2210-1</f>
        <v>-1.3661652061528662</v>
      </c>
      <c r="D2211" s="5">
        <v>-109494089715056</v>
      </c>
      <c r="E2211" s="5">
        <f>[1]!nefin_factors__1[[#This Row],[SMB]]/D2210-1</f>
        <v>-0.32924245454035617</v>
      </c>
      <c r="F2211" s="5">
        <v>-117227312544771</v>
      </c>
      <c r="G2211" s="5">
        <f>[1]!nefin_factors__1[[#This Row],[HML]]/F2210-1</f>
        <v>-1.6975280999547726</v>
      </c>
      <c r="H2211" s="5">
        <v>50822969973785</v>
      </c>
      <c r="I2211" s="6">
        <f>[1]!nefin_factors__1[[#This Row],[Risk_Free]]/H2210-1</f>
        <v>0</v>
      </c>
      <c r="J2211">
        <v>116037</v>
      </c>
      <c r="K2211">
        <v>118261</v>
      </c>
      <c r="L2211">
        <v>115547</v>
      </c>
      <c r="M2211">
        <v>116929</v>
      </c>
      <c r="N2211">
        <v>17969700</v>
      </c>
      <c r="O2211">
        <v>116929</v>
      </c>
      <c r="P2211">
        <v>7.6872032196626501E-3</v>
      </c>
      <c r="Q2211">
        <v>7.6578072255344002E-3</v>
      </c>
      <c r="R2211" s="8">
        <v>6.8242888450622603</v>
      </c>
      <c r="S2211" s="8">
        <v>3.3472679166149003E-2</v>
      </c>
      <c r="T2211" s="9">
        <v>3.2924664537389001E-2</v>
      </c>
      <c r="U2211" s="12">
        <v>5.0788E-2</v>
      </c>
      <c r="V2211" s="16">
        <v>5.3507999999999996</v>
      </c>
      <c r="W2211" s="17">
        <f t="shared" si="34"/>
        <v>-7.4699335175920645E-4</v>
      </c>
    </row>
    <row r="2212" spans="1:23" x14ac:dyDescent="0.2">
      <c r="A2212" s="14">
        <v>44788</v>
      </c>
      <c r="B2212" s="3">
        <v>404408574622706</v>
      </c>
      <c r="C2212" s="3">
        <f>[1]!nefin_factors__1[[#This Row],[Rm_minus_Rf]]/B2211-1</f>
        <v>0.49039569785629111</v>
      </c>
      <c r="D2212" s="3">
        <v>309176115081442</v>
      </c>
      <c r="E2212" s="3">
        <f>[1]!nefin_factors__1[[#This Row],[SMB]]/D2211-1</f>
        <v>-3.8236785737571064</v>
      </c>
      <c r="F2212" s="3">
        <v>-392251400183308</v>
      </c>
      <c r="G2212" s="3">
        <f>[1]!nefin_factors__1[[#This Row],[HML]]/F2211-1</f>
        <v>2.3460751736802026</v>
      </c>
      <c r="H2212" s="3">
        <v>508578995602749</v>
      </c>
      <c r="I2212" s="4">
        <f>[1]!nefin_factors__1[[#This Row],[Risk_Free]]/H2211-1</f>
        <v>9.0068727952160046</v>
      </c>
      <c r="J2212">
        <v>116927</v>
      </c>
      <c r="K2212">
        <v>117373</v>
      </c>
      <c r="L2212">
        <v>114485</v>
      </c>
      <c r="M2212">
        <v>116896</v>
      </c>
      <c r="N2212">
        <v>15634600</v>
      </c>
      <c r="O2212">
        <v>116896</v>
      </c>
      <c r="P2212">
        <v>-2.8222254530529999E-4</v>
      </c>
      <c r="Q2212">
        <v>-2.8226237758239301E-4</v>
      </c>
      <c r="R2212" s="8">
        <v>6.8519182205200204</v>
      </c>
      <c r="S2212" s="8">
        <v>4.0486820070277903E-3</v>
      </c>
      <c r="T2212" s="9">
        <v>4.0405081488382802E-3</v>
      </c>
      <c r="U2212" s="12">
        <v>5.0788E-2</v>
      </c>
      <c r="V2212" s="16">
        <v>5.3593999999999999</v>
      </c>
      <c r="W2212" s="17">
        <f t="shared" si="34"/>
        <v>1.6072363011139235E-3</v>
      </c>
    </row>
    <row r="2213" spans="1:23" x14ac:dyDescent="0.2">
      <c r="A2213" s="15">
        <v>44789</v>
      </c>
      <c r="B2213" s="5">
        <v>261840008021361</v>
      </c>
      <c r="C2213" s="5">
        <f>[1]!nefin_factors__1[[#This Row],[Rm_minus_Rf]]/B2212-1</f>
        <v>-0.35253596374496932</v>
      </c>
      <c r="D2213" s="5">
        <v>-125943947174063</v>
      </c>
      <c r="E2213" s="5">
        <f>[1]!nefin_factors__1[[#This Row],[SMB]]/D2212-1</f>
        <v>-1.4073534177790135</v>
      </c>
      <c r="F2213" s="5">
        <v>715596599982619</v>
      </c>
      <c r="G2213" s="5">
        <f>[1]!nefin_factors__1[[#This Row],[HML]]/F2212-1</f>
        <v>-2.8243315374991766</v>
      </c>
      <c r="H2213" s="5">
        <v>50822969973785</v>
      </c>
      <c r="I2213" s="6">
        <f>[1]!nefin_factors__1[[#This Row],[Risk_Free]]/H2212-1</f>
        <v>-0.90006868074928748</v>
      </c>
      <c r="J2213">
        <v>116907</v>
      </c>
      <c r="K2213">
        <v>120039</v>
      </c>
      <c r="L2213">
        <v>116904</v>
      </c>
      <c r="M2213">
        <v>118155</v>
      </c>
      <c r="N2213">
        <v>16209500</v>
      </c>
      <c r="O2213">
        <v>118155</v>
      </c>
      <c r="P2213">
        <v>1.0770257322748399E-2</v>
      </c>
      <c r="Q2213">
        <v>1.07126712105253E-2</v>
      </c>
      <c r="R2213" s="8">
        <v>6.6585168838501003</v>
      </c>
      <c r="S2213" s="8">
        <v>-2.8225867625028898E-2</v>
      </c>
      <c r="T2213" s="9">
        <v>-2.8631875624566299E-2</v>
      </c>
      <c r="U2213" s="12">
        <v>5.0788E-2</v>
      </c>
      <c r="V2213" s="16">
        <v>5.3916000000000004</v>
      </c>
      <c r="W2213" s="17">
        <f t="shared" si="34"/>
        <v>6.0081352390193299E-3</v>
      </c>
    </row>
    <row r="2214" spans="1:23" x14ac:dyDescent="0.2">
      <c r="A2214" s="14">
        <v>44790</v>
      </c>
      <c r="B2214" s="3">
        <v>294413768775936</v>
      </c>
      <c r="C2214" s="3">
        <f>[1]!nefin_factors__1[[#This Row],[Rm_minus_Rf]]/B2213-1</f>
        <v>0.12440329879579592</v>
      </c>
      <c r="D2214" s="3">
        <v>-143917515895162</v>
      </c>
      <c r="E2214" s="3">
        <f>[1]!nefin_factors__1[[#This Row],[SMB]]/D2213-1</f>
        <v>0.14271085768225378</v>
      </c>
      <c r="F2214" s="3">
        <v>732663693185906</v>
      </c>
      <c r="G2214" s="3">
        <f>[1]!nefin_factors__1[[#This Row],[HML]]/F2213-1</f>
        <v>2.3850159718061148E-2</v>
      </c>
      <c r="H2214" s="3">
        <v>50822969973785</v>
      </c>
      <c r="I2214" s="4">
        <f>[1]!nefin_factors__1[[#This Row],[Risk_Free]]/H2213-1</f>
        <v>0</v>
      </c>
      <c r="J2214">
        <v>118148</v>
      </c>
      <c r="K2214">
        <v>118240</v>
      </c>
      <c r="L2214">
        <v>115266</v>
      </c>
      <c r="M2214">
        <v>115342</v>
      </c>
      <c r="N2214">
        <v>15221900</v>
      </c>
      <c r="O2214">
        <v>115342</v>
      </c>
      <c r="P2214">
        <v>-2.3807710211163301E-2</v>
      </c>
      <c r="Q2214">
        <v>-2.4095693748319501E-2</v>
      </c>
      <c r="R2214" s="8">
        <v>6.17041015625</v>
      </c>
      <c r="S2214" s="8">
        <v>-7.3305622875865395E-2</v>
      </c>
      <c r="T2214" s="9">
        <v>-7.6131458041292593E-2</v>
      </c>
      <c r="U2214" s="12">
        <v>5.0788E-2</v>
      </c>
      <c r="V2214" s="16">
        <v>5.4066000000000001</v>
      </c>
      <c r="W2214" s="17">
        <f t="shared" si="34"/>
        <v>2.7821054974404014E-3</v>
      </c>
    </row>
    <row r="2215" spans="1:23" x14ac:dyDescent="0.2">
      <c r="A2215" s="15">
        <v>44791</v>
      </c>
      <c r="B2215" s="5">
        <v>514727269903595</v>
      </c>
      <c r="C2215" s="5">
        <f>[1]!nefin_factors__1[[#This Row],[Rm_minus_Rf]]/B2214-1</f>
        <v>0.74831249246134579</v>
      </c>
      <c r="D2215" s="5">
        <v>-175315160951609</v>
      </c>
      <c r="E2215" s="5">
        <f>[1]!nefin_factors__1[[#This Row],[SMB]]/D2214-1</f>
        <v>0.21816416758693147</v>
      </c>
      <c r="F2215" s="5">
        <v>775657216722382</v>
      </c>
      <c r="G2215" s="5">
        <f>[1]!nefin_factors__1[[#This Row],[HML]]/F2214-1</f>
        <v>5.8681116501792863E-2</v>
      </c>
      <c r="H2215" s="5">
        <v>50822969973785</v>
      </c>
      <c r="I2215" s="6">
        <f>[1]!nefin_factors__1[[#This Row],[Risk_Free]]/H2214-1</f>
        <v>0</v>
      </c>
      <c r="J2215">
        <v>115340</v>
      </c>
      <c r="K2215">
        <v>117072</v>
      </c>
      <c r="L2215">
        <v>114688</v>
      </c>
      <c r="M2215">
        <v>116160</v>
      </c>
      <c r="N2215">
        <v>14239800</v>
      </c>
      <c r="O2215">
        <v>116160</v>
      </c>
      <c r="P2215">
        <v>7.09195262783724E-3</v>
      </c>
      <c r="Q2215">
        <v>7.0669230014080604E-3</v>
      </c>
      <c r="R2215" s="8">
        <v>6.1243619918823198</v>
      </c>
      <c r="S2215" s="8">
        <v>-7.4627396237240103E-3</v>
      </c>
      <c r="T2215" s="9">
        <v>-7.49072518464037E-3</v>
      </c>
      <c r="U2215" s="12">
        <v>5.0788E-2</v>
      </c>
      <c r="V2215" s="16">
        <v>5.2001999999999997</v>
      </c>
      <c r="W2215" s="17">
        <f t="shared" si="34"/>
        <v>-3.8175563200532725E-2</v>
      </c>
    </row>
    <row r="2216" spans="1:23" x14ac:dyDescent="0.2">
      <c r="A2216" s="14">
        <v>44792</v>
      </c>
      <c r="B2216" s="3">
        <v>-216487666194042</v>
      </c>
      <c r="C2216" s="3">
        <f>[1]!nefin_factors__1[[#This Row],[Rm_minus_Rf]]/B2215-1</f>
        <v>-1.4205871319671652</v>
      </c>
      <c r="D2216" s="3">
        <v>-855103653921526</v>
      </c>
      <c r="E2216" s="3">
        <f>[1]!nefin_factors__1[[#This Row],[SMB]]/D2215-1</f>
        <v>3.8775225672442222</v>
      </c>
      <c r="F2216" s="3">
        <v>486657291122234</v>
      </c>
      <c r="G2216" s="3">
        <f>[1]!nefin_factors__1[[#This Row],[HML]]/F2215-1</f>
        <v>-0.3725871678488939</v>
      </c>
      <c r="H2216" s="3">
        <v>50822969973785</v>
      </c>
      <c r="I2216" s="4">
        <f>[1]!nefin_factors__1[[#This Row],[Risk_Free]]/H2215-1</f>
        <v>0</v>
      </c>
      <c r="J2216">
        <v>116153</v>
      </c>
      <c r="K2216">
        <v>116183</v>
      </c>
      <c r="L2216">
        <v>113110</v>
      </c>
      <c r="M2216">
        <v>113580</v>
      </c>
      <c r="N2216">
        <v>20531600</v>
      </c>
      <c r="O2216">
        <v>113580</v>
      </c>
      <c r="P2216">
        <v>-2.2210743801652898E-2</v>
      </c>
      <c r="Q2216">
        <v>-2.24611166271995E-2</v>
      </c>
      <c r="R2216" s="8">
        <v>6.0783138275146502</v>
      </c>
      <c r="S2216" s="8">
        <v>-7.5188508498863502E-3</v>
      </c>
      <c r="T2216" s="9">
        <v>-7.5472599008001703E-3</v>
      </c>
      <c r="U2216" s="12">
        <v>5.0788E-2</v>
      </c>
      <c r="V2216" s="16">
        <v>5.1410999999999998</v>
      </c>
      <c r="W2216" s="17">
        <f t="shared" si="34"/>
        <v>-1.1364947502019107E-2</v>
      </c>
    </row>
    <row r="2217" spans="1:23" x14ac:dyDescent="0.2">
      <c r="A2217" s="15">
        <v>44795</v>
      </c>
      <c r="B2217" s="5">
        <v>-834235027937514</v>
      </c>
      <c r="C2217" s="5">
        <f>[1]!nefin_factors__1[[#This Row],[Rm_minus_Rf]]/B2216-1</f>
        <v>2.8534991050703709</v>
      </c>
      <c r="D2217" s="5">
        <v>-83348679955312</v>
      </c>
      <c r="E2217" s="5">
        <f>[1]!nefin_factors__1[[#This Row],[SMB]]/D2216-1</f>
        <v>-0.90252798058682948</v>
      </c>
      <c r="F2217" s="5">
        <v>192029016702748</v>
      </c>
      <c r="G2217" s="5">
        <f>[1]!nefin_factors__1[[#This Row],[HML]]/F2216-1</f>
        <v>-0.60541222703161768</v>
      </c>
      <c r="H2217" s="5">
        <v>508578995602749</v>
      </c>
      <c r="I2217" s="6">
        <f>[1]!nefin_factors__1[[#This Row],[Risk_Free]]/H2216-1</f>
        <v>9.0068727952160046</v>
      </c>
      <c r="J2217">
        <v>113579</v>
      </c>
      <c r="K2217">
        <v>113579</v>
      </c>
      <c r="L2217">
        <v>108516</v>
      </c>
      <c r="M2217">
        <v>109775</v>
      </c>
      <c r="N2217">
        <v>26029300</v>
      </c>
      <c r="O2217">
        <v>109775</v>
      </c>
      <c r="P2217">
        <v>-3.3500616305687597E-2</v>
      </c>
      <c r="Q2217">
        <v>-3.4074618001505297E-2</v>
      </c>
      <c r="R2217" s="8">
        <v>5.2678718566894496</v>
      </c>
      <c r="S2217" s="8">
        <v>-0.13333335425304499</v>
      </c>
      <c r="T2217" s="9">
        <v>-0.14310086777880299</v>
      </c>
      <c r="U2217" s="12">
        <v>5.0788E-2</v>
      </c>
      <c r="V2217" s="16">
        <v>5.2144000000000004</v>
      </c>
      <c r="W2217" s="17">
        <f t="shared" si="34"/>
        <v>1.4257649141234507E-2</v>
      </c>
    </row>
    <row r="2218" spans="1:23" x14ac:dyDescent="0.2">
      <c r="A2218" s="14">
        <v>44796</v>
      </c>
      <c r="B2218" s="3">
        <v>167646420139184</v>
      </c>
      <c r="C2218" s="3">
        <f>[1]!nefin_factors__1[[#This Row],[Rm_minus_Rf]]/B2217-1</f>
        <v>-1.2009582605919313</v>
      </c>
      <c r="D2218" s="3">
        <v>568683781650855</v>
      </c>
      <c r="E2218" s="3">
        <f>[1]!nefin_factors__1[[#This Row],[SMB]]/D2217-1</f>
        <v>-7.8229488692053541</v>
      </c>
      <c r="F2218" s="3">
        <v>-101554812144192</v>
      </c>
      <c r="G2218" s="3">
        <f>[1]!nefin_factors__1[[#This Row],[HML]]/F2217-1</f>
        <v>-1.5288513886492172</v>
      </c>
      <c r="H2218" s="3">
        <v>508578995602749</v>
      </c>
      <c r="I2218" s="4">
        <f>[1]!nefin_factors__1[[#This Row],[Risk_Free]]/H2217-1</f>
        <v>0</v>
      </c>
      <c r="J2218">
        <v>109775</v>
      </c>
      <c r="K2218">
        <v>113010</v>
      </c>
      <c r="L2218">
        <v>109408</v>
      </c>
      <c r="M2218">
        <v>112253</v>
      </c>
      <c r="N2218">
        <v>25038700</v>
      </c>
      <c r="O2218">
        <v>112253</v>
      </c>
      <c r="P2218">
        <v>2.25734456843543E-2</v>
      </c>
      <c r="Q2218">
        <v>2.23224358753542E-2</v>
      </c>
      <c r="R2218" s="8">
        <v>5.3323388099670401</v>
      </c>
      <c r="S2218" s="8">
        <v>1.22377603387835E-2</v>
      </c>
      <c r="T2218" s="9">
        <v>1.21634843171769E-2</v>
      </c>
      <c r="U2218" s="12">
        <v>5.0788E-2</v>
      </c>
      <c r="V2218" s="16">
        <v>5.2008999999999999</v>
      </c>
      <c r="W2218" s="17">
        <f t="shared" si="34"/>
        <v>-2.5889843510280564E-3</v>
      </c>
    </row>
    <row r="2219" spans="1:23" x14ac:dyDescent="0.2">
      <c r="A2219" s="15">
        <v>44797</v>
      </c>
      <c r="B2219" s="5">
        <v>228600024798212</v>
      </c>
      <c r="C2219" s="5">
        <f>[1]!nefin_factors__1[[#This Row],[Rm_minus_Rf]]/B2218-1</f>
        <v>0.36358429012932625</v>
      </c>
      <c r="D2219" s="5">
        <v>162117788133739</v>
      </c>
      <c r="E2219" s="5">
        <f>[1]!nefin_factors__1[[#This Row],[SMB]]/D2218-1</f>
        <v>-0.71492454442234887</v>
      </c>
      <c r="F2219" s="5">
        <v>-526287152297517</v>
      </c>
      <c r="G2219" s="5">
        <f>[1]!nefin_factors__1[[#This Row],[HML]]/F2218-1</f>
        <v>4.1822965469156825</v>
      </c>
      <c r="H2219" s="5">
        <v>508578995602749</v>
      </c>
      <c r="I2219" s="6">
        <f>[1]!nefin_factors__1[[#This Row],[Risk_Free]]/H2218-1</f>
        <v>0</v>
      </c>
      <c r="J2219">
        <v>112256</v>
      </c>
      <c r="K2219">
        <v>114322</v>
      </c>
      <c r="L2219">
        <v>111930</v>
      </c>
      <c r="M2219">
        <v>113161</v>
      </c>
      <c r="N2219">
        <v>15080400</v>
      </c>
      <c r="O2219">
        <v>113161</v>
      </c>
      <c r="P2219">
        <v>8.0888706760620099E-3</v>
      </c>
      <c r="Q2219">
        <v>8.0563311160766603E-3</v>
      </c>
      <c r="R2219" s="8">
        <v>5.5349497795104998</v>
      </c>
      <c r="S2219" s="8">
        <v>3.7996642142232903E-2</v>
      </c>
      <c r="T2219" s="9">
        <v>3.7292549808053001E-2</v>
      </c>
      <c r="U2219" s="12">
        <v>5.0788E-2</v>
      </c>
      <c r="V2219" s="16">
        <v>5.2221000000000002</v>
      </c>
      <c r="W2219" s="17">
        <f t="shared" si="34"/>
        <v>4.076217577726915E-3</v>
      </c>
    </row>
    <row r="2220" spans="1:23" x14ac:dyDescent="0.2">
      <c r="A2220" s="14">
        <v>44798</v>
      </c>
      <c r="B2220" s="3">
        <v>428691854511516</v>
      </c>
      <c r="C2220" s="3">
        <f>[1]!nefin_factors__1[[#This Row],[Rm_minus_Rf]]/B2219-1</f>
        <v>0.87529224850228027</v>
      </c>
      <c r="D2220" s="3">
        <v>448054537388442</v>
      </c>
      <c r="E2220" s="3">
        <f>[1]!nefin_factors__1[[#This Row],[SMB]]/D2219-1</f>
        <v>1.7637592552078223</v>
      </c>
      <c r="F2220" s="3">
        <v>-128750762118434</v>
      </c>
      <c r="G2220" s="3">
        <f>[1]!nefin_factors__1[[#This Row],[HML]]/F2219-1</f>
        <v>-0.75536024097040944</v>
      </c>
      <c r="H2220" s="3">
        <v>508578995602749</v>
      </c>
      <c r="I2220" s="4">
        <f>[1]!nefin_factors__1[[#This Row],[Risk_Free]]/H2219-1</f>
        <v>0</v>
      </c>
      <c r="J2220">
        <v>113166</v>
      </c>
      <c r="K2220">
        <v>113473</v>
      </c>
      <c r="L2220">
        <v>109512</v>
      </c>
      <c r="M2220">
        <v>110243</v>
      </c>
      <c r="N2220">
        <v>18351000</v>
      </c>
      <c r="O2220">
        <v>110243</v>
      </c>
      <c r="P2220">
        <v>-2.5786269120986902E-2</v>
      </c>
      <c r="Q2220">
        <v>-2.6124563191455299E-2</v>
      </c>
      <c r="R2220" s="8">
        <v>5.27708196640015</v>
      </c>
      <c r="S2220" s="8">
        <v>-4.6589006835244799E-2</v>
      </c>
      <c r="T2220" s="9">
        <v>-4.7709205792513698E-2</v>
      </c>
      <c r="U2220" s="12">
        <v>5.0788E-2</v>
      </c>
      <c r="V2220" s="16">
        <v>5.1940999999999997</v>
      </c>
      <c r="W2220" s="17">
        <f t="shared" si="34"/>
        <v>-5.361827617242243E-3</v>
      </c>
    </row>
    <row r="2221" spans="1:23" x14ac:dyDescent="0.2">
      <c r="A2221" s="15">
        <v>44799</v>
      </c>
      <c r="B2221" s="5">
        <v>-102538571851315</v>
      </c>
      <c r="C2221" s="5">
        <f>[1]!nefin_factors__1[[#This Row],[Rm_minus_Rf]]/B2220-1</f>
        <v>-1.2391894568842583</v>
      </c>
      <c r="D2221" s="5">
        <v>344012119901087</v>
      </c>
      <c r="E2221" s="5">
        <f>[1]!nefin_factors__1[[#This Row],[SMB]]/D2220-1</f>
        <v>-0.23220927098246336</v>
      </c>
      <c r="F2221" s="5">
        <v>102829206358239</v>
      </c>
      <c r="G2221" s="5">
        <f>[1]!nefin_factors__1[[#This Row],[HML]]/F2220-1</f>
        <v>-1.7986687198297862</v>
      </c>
      <c r="H2221" s="5">
        <v>508578995602749</v>
      </c>
      <c r="I2221" s="6">
        <f>[1]!nefin_factors__1[[#This Row],[Risk_Free]]/H2220-1</f>
        <v>0</v>
      </c>
      <c r="J2221">
        <v>110241</v>
      </c>
      <c r="K2221">
        <v>110242</v>
      </c>
      <c r="L2221">
        <v>107245</v>
      </c>
      <c r="M2221">
        <v>109703</v>
      </c>
      <c r="N2221">
        <v>23119600</v>
      </c>
      <c r="O2221">
        <v>109703</v>
      </c>
      <c r="P2221">
        <v>-4.8982701849550302E-3</v>
      </c>
      <c r="Q2221">
        <v>-4.9103060296554696E-3</v>
      </c>
      <c r="R2221" s="8">
        <v>5.0836811065673801</v>
      </c>
      <c r="S2221" s="8">
        <v>-3.6649205197905203E-2</v>
      </c>
      <c r="T2221" s="9">
        <v>-3.7337660615904503E-2</v>
      </c>
      <c r="U2221" s="12">
        <v>5.0788E-2</v>
      </c>
      <c r="V2221" s="16">
        <v>5.2068000000000003</v>
      </c>
      <c r="W2221" s="17">
        <f t="shared" si="34"/>
        <v>2.4450819198706952E-3</v>
      </c>
    </row>
    <row r="2222" spans="1:23" x14ac:dyDescent="0.2">
      <c r="A2222" s="14">
        <v>44802</v>
      </c>
      <c r="B2222" s="3">
        <v>102122400060678</v>
      </c>
      <c r="C2222" s="3">
        <f>[1]!nefin_factors__1[[#This Row],[Rm_minus_Rf]]/B2221-1</f>
        <v>-1.9959413147352933</v>
      </c>
      <c r="D2222" s="3">
        <v>860462752433324</v>
      </c>
      <c r="E2222" s="3">
        <f>[1]!nefin_factors__1[[#This Row],[SMB]]/D2221-1</f>
        <v>1.5012570855955043</v>
      </c>
      <c r="F2222" s="3">
        <v>-914085917539583</v>
      </c>
      <c r="G2222" s="3">
        <f>[1]!nefin_factors__1[[#This Row],[HML]]/F2221-1</f>
        <v>-9.8893608140382536</v>
      </c>
      <c r="H2222" s="3">
        <v>508578995602749</v>
      </c>
      <c r="I2222" s="4">
        <f>[1]!nefin_factors__1[[#This Row],[Risk_Free]]/H2221-1</f>
        <v>0</v>
      </c>
      <c r="J2222">
        <v>109706</v>
      </c>
      <c r="K2222">
        <v>111585</v>
      </c>
      <c r="L2222">
        <v>108512</v>
      </c>
      <c r="M2222">
        <v>108880</v>
      </c>
      <c r="N2222">
        <v>18769100</v>
      </c>
      <c r="O2222">
        <v>108880</v>
      </c>
      <c r="P2222">
        <v>-7.5020737810269598E-3</v>
      </c>
      <c r="Q2222">
        <v>-7.5303558748908202E-3</v>
      </c>
      <c r="R2222" s="8">
        <v>5.19419622421265</v>
      </c>
      <c r="S2222" s="8">
        <v>2.1739191607139701E-2</v>
      </c>
      <c r="T2222" s="9">
        <v>2.15062650917793E-2</v>
      </c>
      <c r="U2222" s="12">
        <v>5.0788E-2</v>
      </c>
      <c r="V2222" s="16">
        <v>5.3017000000000003</v>
      </c>
      <c r="W2222" s="17">
        <f t="shared" si="34"/>
        <v>1.8226165783206572E-2</v>
      </c>
    </row>
    <row r="2223" spans="1:23" x14ac:dyDescent="0.2">
      <c r="A2223" s="15">
        <v>44803</v>
      </c>
      <c r="B2223" s="5">
        <v>-164908369271406</v>
      </c>
      <c r="C2223" s="5">
        <f>[1]!nefin_factors__1[[#This Row],[Rm_minus_Rf]]/B2222-1</f>
        <v>-2.6148109442533913</v>
      </c>
      <c r="D2223" s="5">
        <v>-333601568278336</v>
      </c>
      <c r="E2223" s="5">
        <f>[1]!nefin_factors__1[[#This Row],[SMB]]/D2222-1</f>
        <v>-1.3877001849701638</v>
      </c>
      <c r="F2223" s="5">
        <v>-50982793630871</v>
      </c>
      <c r="G2223" s="5">
        <f>[1]!nefin_factors__1[[#This Row],[HML]]/F2222-1</f>
        <v>-0.9442253811675605</v>
      </c>
      <c r="H2223" s="5">
        <v>508578995602749</v>
      </c>
      <c r="I2223" s="6">
        <f>[1]!nefin_factors__1[[#This Row],[Risk_Free]]/H2222-1</f>
        <v>0</v>
      </c>
      <c r="J2223">
        <v>108868</v>
      </c>
      <c r="K2223">
        <v>110235</v>
      </c>
      <c r="L2223">
        <v>107957</v>
      </c>
      <c r="M2223">
        <v>109748</v>
      </c>
      <c r="N2223">
        <v>16651600</v>
      </c>
      <c r="O2223">
        <v>109748</v>
      </c>
      <c r="P2223">
        <v>7.9720793534165998E-3</v>
      </c>
      <c r="Q2223">
        <v>7.9404702114007908E-3</v>
      </c>
      <c r="R2223" s="8">
        <v>5.2678718566894496</v>
      </c>
      <c r="S2223" s="8">
        <v>1.41842220232977E-2</v>
      </c>
      <c r="T2223" s="9">
        <v>1.4084567191409301E-2</v>
      </c>
      <c r="U2223" s="12">
        <v>5.0788E-2</v>
      </c>
      <c r="V2223" s="16">
        <v>5.2824</v>
      </c>
      <c r="W2223" s="17">
        <f t="shared" si="34"/>
        <v>-3.6403417771658786E-3</v>
      </c>
    </row>
    <row r="2224" spans="1:23" x14ac:dyDescent="0.2">
      <c r="A2224" s="14">
        <v>44804</v>
      </c>
      <c r="B2224" s="3">
        <v>-763813301432606</v>
      </c>
      <c r="C2224" s="3">
        <f>[1]!nefin_factors__1[[#This Row],[Rm_minus_Rf]]/B2223-1</f>
        <v>3.6317437059578399</v>
      </c>
      <c r="D2224" s="3">
        <v>110804620816338</v>
      </c>
      <c r="E2224" s="3">
        <f>[1]!nefin_factors__1[[#This Row],[SMB]]/D2223-1</f>
        <v>-1.3321465824881544</v>
      </c>
      <c r="F2224" s="3">
        <v>118989596741481</v>
      </c>
      <c r="G2224" s="3">
        <f>[1]!nefin_factors__1[[#This Row],[HML]]/F2223-1</f>
        <v>-3.3339167642125962</v>
      </c>
      <c r="H2224" s="3">
        <v>508928260861907</v>
      </c>
      <c r="I2224" s="4">
        <f>[1]!nefin_factors__1[[#This Row],[Risk_Free]]/H2223-1</f>
        <v>6.8674731394291477E-4</v>
      </c>
      <c r="J2224">
        <v>109750</v>
      </c>
      <c r="K2224">
        <v>110224</v>
      </c>
      <c r="L2224">
        <v>107867</v>
      </c>
      <c r="M2224">
        <v>109037</v>
      </c>
      <c r="N2224">
        <v>15056500</v>
      </c>
      <c r="O2224">
        <v>109037</v>
      </c>
      <c r="P2224">
        <v>-6.4784779677078399E-3</v>
      </c>
      <c r="Q2224">
        <v>-6.4995543841443798E-3</v>
      </c>
      <c r="R2224" s="8">
        <v>5.1020998954773003</v>
      </c>
      <c r="S2224" s="8">
        <v>-3.1468487792020002E-2</v>
      </c>
      <c r="T2224" s="9">
        <v>-3.1974259536911298E-2</v>
      </c>
      <c r="U2224" s="12">
        <v>5.0788E-2</v>
      </c>
      <c r="V2224" s="16">
        <v>5.2713000000000001</v>
      </c>
      <c r="W2224" s="17">
        <f t="shared" si="34"/>
        <v>-2.1013175829168729E-3</v>
      </c>
    </row>
    <row r="2225" spans="1:23" x14ac:dyDescent="0.2">
      <c r="A2225" s="15">
        <v>44805</v>
      </c>
      <c r="B2225" s="5">
        <v>814677900629637</v>
      </c>
      <c r="C2225" s="5">
        <f>[1]!nefin_factors__1[[#This Row],[Rm_minus_Rf]]/B2224-1</f>
        <v>-2.0665929738348749</v>
      </c>
      <c r="D2225" s="5">
        <v>109436442794327</v>
      </c>
      <c r="E2225" s="5">
        <f>[1]!nefin_factors__1[[#This Row],[SMB]]/D2224-1</f>
        <v>-1.2347662145595906E-2</v>
      </c>
      <c r="F2225" s="5">
        <v>-170402248280011</v>
      </c>
      <c r="G2225" s="5">
        <f>[1]!nefin_factors__1[[#This Row],[HML]]/F2224-1</f>
        <v>-2.4320768617296018</v>
      </c>
      <c r="H2225" s="5">
        <v>508928260861907</v>
      </c>
      <c r="I2225" s="6">
        <f>[1]!nefin_factors__1[[#This Row],[Risk_Free]]/H2224-1</f>
        <v>0</v>
      </c>
      <c r="J2225">
        <v>109036</v>
      </c>
      <c r="K2225">
        <v>109285</v>
      </c>
      <c r="L2225">
        <v>107902</v>
      </c>
      <c r="M2225">
        <v>108683</v>
      </c>
      <c r="N2225">
        <v>13198400</v>
      </c>
      <c r="O2225">
        <v>108683</v>
      </c>
      <c r="P2225">
        <v>-3.2466043636564198E-3</v>
      </c>
      <c r="Q2225">
        <v>-3.2518860183304199E-3</v>
      </c>
      <c r="R2225" s="8">
        <v>4.7337179183959996</v>
      </c>
      <c r="S2225" s="8">
        <v>-7.2202031443533099E-2</v>
      </c>
      <c r="T2225" s="9">
        <v>-7.4941276194303005E-2</v>
      </c>
      <c r="U2225" s="12">
        <v>5.0788E-2</v>
      </c>
      <c r="V2225" s="16">
        <v>5.2697000000000003</v>
      </c>
      <c r="W2225" s="17">
        <f t="shared" si="34"/>
        <v>-3.0353043841169214E-4</v>
      </c>
    </row>
    <row r="2226" spans="1:23" x14ac:dyDescent="0.2">
      <c r="A2226" s="14">
        <v>44806</v>
      </c>
      <c r="B2226" s="3">
        <v>361980454777817</v>
      </c>
      <c r="C2226" s="3">
        <f>[1]!nefin_factors__1[[#This Row],[Rm_minus_Rf]]/B2225-1</f>
        <v>-0.55567659991997509</v>
      </c>
      <c r="D2226" s="3">
        <v>-341682087088861</v>
      </c>
      <c r="E2226" s="3">
        <f>[1]!nefin_factors__1[[#This Row],[SMB]]/D2225-1</f>
        <v>-4.1221965769758482</v>
      </c>
      <c r="F2226" s="3">
        <v>393566310557806</v>
      </c>
      <c r="G2226" s="3">
        <f>[1]!nefin_factors__1[[#This Row],[HML]]/F2225-1</f>
        <v>-3.3096309733606559</v>
      </c>
      <c r="H2226" s="3">
        <v>508578995602749</v>
      </c>
      <c r="I2226" s="4">
        <f>[1]!nefin_factors__1[[#This Row],[Risk_Free]]/H2225-1</f>
        <v>-6.8627601573256758E-4</v>
      </c>
      <c r="J2226">
        <v>108846</v>
      </c>
      <c r="K2226">
        <v>112612</v>
      </c>
      <c r="L2226">
        <v>108846</v>
      </c>
      <c r="M2226">
        <v>111831</v>
      </c>
      <c r="N2226">
        <v>10296900</v>
      </c>
      <c r="O2226">
        <v>111831</v>
      </c>
      <c r="P2226">
        <v>2.89649715226852E-2</v>
      </c>
      <c r="Q2226">
        <v>2.8553414992305699E-2</v>
      </c>
      <c r="R2226" s="8">
        <v>4.97316598892212</v>
      </c>
      <c r="S2226" s="8">
        <v>5.05835106049706E-2</v>
      </c>
      <c r="T2226" s="9">
        <v>4.9345734197506E-2</v>
      </c>
      <c r="U2226" s="12">
        <v>5.0788E-2</v>
      </c>
      <c r="V2226" s="16">
        <v>5.2808000000000002</v>
      </c>
      <c r="W2226" s="17">
        <f t="shared" si="34"/>
        <v>2.1063817674629171E-3</v>
      </c>
    </row>
    <row r="2227" spans="1:23" x14ac:dyDescent="0.2">
      <c r="A2227" s="15">
        <v>44809</v>
      </c>
      <c r="B2227" s="5">
        <v>941699350259585</v>
      </c>
      <c r="C2227" s="5">
        <f>[1]!nefin_factors__1[[#This Row],[Rm_minus_Rf]]/B2226-1</f>
        <v>1.6015198827174206</v>
      </c>
      <c r="D2227" s="5">
        <v>-224912238744426</v>
      </c>
      <c r="E2227" s="5">
        <f>[1]!nefin_factors__1[[#This Row],[SMB]]/D2226-1</f>
        <v>-0.34174998560596692</v>
      </c>
      <c r="F2227" s="5">
        <v>-451069917464345</v>
      </c>
      <c r="G2227" s="5">
        <f>[1]!nefin_factors__1[[#This Row],[HML]]/F2226-1</f>
        <v>-2.1461090681899027</v>
      </c>
      <c r="H2227" s="5">
        <v>508578995602749</v>
      </c>
      <c r="I2227" s="6">
        <f>[1]!nefin_factors__1[[#This Row],[Risk_Free]]/H2226-1</f>
        <v>0</v>
      </c>
      <c r="J2227">
        <v>111831</v>
      </c>
      <c r="K2227">
        <v>112025</v>
      </c>
      <c r="L2227">
        <v>108552</v>
      </c>
      <c r="M2227">
        <v>108977</v>
      </c>
      <c r="N2227">
        <v>12309100</v>
      </c>
      <c r="O2227">
        <v>108977</v>
      </c>
      <c r="P2227">
        <v>-2.5520651697650901E-2</v>
      </c>
      <c r="Q2227">
        <v>-2.58519523551787E-2</v>
      </c>
      <c r="R2227" s="8">
        <v>4.6324119567871103</v>
      </c>
      <c r="S2227" s="8">
        <v>-6.8518531835464497E-2</v>
      </c>
      <c r="T2227" s="9">
        <v>-7.0978983755103503E-2</v>
      </c>
      <c r="U2227" s="12">
        <v>5.0788E-2</v>
      </c>
      <c r="V2227" s="16">
        <v>5.2176</v>
      </c>
      <c r="W2227" s="17">
        <f t="shared" si="34"/>
        <v>-1.1967883653991818E-2</v>
      </c>
    </row>
    <row r="2228" spans="1:23" x14ac:dyDescent="0.2">
      <c r="A2228" s="14">
        <v>44810</v>
      </c>
      <c r="B2228" s="3">
        <v>-20293091461597</v>
      </c>
      <c r="C2228" s="3">
        <f>[1]!nefin_factors__1[[#This Row],[Rm_minus_Rf]]/B2227-1</f>
        <v>-1.0215494376798742</v>
      </c>
      <c r="D2228" s="3">
        <v>-121580183300654</v>
      </c>
      <c r="E2228" s="3">
        <f>[1]!nefin_factors__1[[#This Row],[SMB]]/D2227-1</f>
        <v>-0.45943278151791056</v>
      </c>
      <c r="F2228" s="3">
        <v>44094611717332</v>
      </c>
      <c r="G2228" s="3">
        <f>[1]!nefin_factors__1[[#This Row],[HML]]/F2227-1</f>
        <v>-1.0977556028679689</v>
      </c>
      <c r="H2228" s="3">
        <v>509626699584986</v>
      </c>
      <c r="I2228" s="4">
        <f>[1]!nefin_factors__1[[#This Row],[Risk_Free]]/H2227-1</f>
        <v>2.060061448261985E-3</v>
      </c>
      <c r="J2228">
        <v>108977</v>
      </c>
      <c r="K2228">
        <v>109476</v>
      </c>
      <c r="L2228">
        <v>108378</v>
      </c>
      <c r="M2228">
        <v>108782</v>
      </c>
      <c r="N2228">
        <v>11492600</v>
      </c>
      <c r="O2228">
        <v>108782</v>
      </c>
      <c r="P2228">
        <v>-1.7893683988364801E-3</v>
      </c>
      <c r="Q2228">
        <v>-1.79097123079314E-3</v>
      </c>
      <c r="R2228" s="8">
        <v>4.36533498764038</v>
      </c>
      <c r="S2228" s="8">
        <v>-5.7653976295312999E-2</v>
      </c>
      <c r="T2228" s="9">
        <v>-5.93827430809181E-2</v>
      </c>
      <c r="U2228" s="12">
        <v>5.0788E-2</v>
      </c>
      <c r="V2228" s="16">
        <v>5.1919000000000004</v>
      </c>
      <c r="W2228" s="17">
        <f t="shared" si="34"/>
        <v>-4.9256363078808985E-3</v>
      </c>
    </row>
    <row r="2229" spans="1:23" x14ac:dyDescent="0.2">
      <c r="A2229" s="15">
        <v>44812</v>
      </c>
      <c r="B2229" s="5">
        <v>-924327465827858</v>
      </c>
      <c r="C2229" s="5">
        <f>[1]!nefin_factors__1[[#This Row],[Rm_minus_Rf]]/B2228-1</f>
        <v>44.548873988818876</v>
      </c>
      <c r="D2229" s="5">
        <v>898111003998463</v>
      </c>
      <c r="E2229" s="5">
        <f>[1]!nefin_factors__1[[#This Row],[SMB]]/D2228-1</f>
        <v>-8.3869851123479258</v>
      </c>
      <c r="F2229" s="5">
        <v>-14266775697461</v>
      </c>
      <c r="G2229" s="5">
        <f>[1]!nefin_factors__1[[#This Row],[HML]]/F2228-1</f>
        <v>-1.3235491853044994</v>
      </c>
      <c r="H2229" s="5">
        <v>509626699584986</v>
      </c>
      <c r="I2229" s="6">
        <f>[1]!nefin_factors__1[[#This Row],[Risk_Free]]/H2228-1</f>
        <v>0</v>
      </c>
      <c r="J2229">
        <v>108784</v>
      </c>
      <c r="K2229">
        <v>112187</v>
      </c>
      <c r="L2229">
        <v>108784</v>
      </c>
      <c r="M2229">
        <v>110910</v>
      </c>
      <c r="N2229">
        <v>14721700</v>
      </c>
      <c r="O2229">
        <v>110910</v>
      </c>
      <c r="P2229">
        <v>1.9562059899615802E-2</v>
      </c>
      <c r="Q2229">
        <v>1.93731820581797E-2</v>
      </c>
      <c r="R2229" s="8">
        <v>4.36533498764038</v>
      </c>
      <c r="S2229" s="8">
        <v>0</v>
      </c>
      <c r="T2229" s="9">
        <v>0</v>
      </c>
      <c r="U2229" s="12">
        <v>5.0788E-2</v>
      </c>
      <c r="V2229" s="16">
        <v>5.2744</v>
      </c>
      <c r="W2229" s="17">
        <f t="shared" si="34"/>
        <v>1.5890136558870394E-2</v>
      </c>
    </row>
    <row r="2230" spans="1:23" x14ac:dyDescent="0.2">
      <c r="A2230" s="14">
        <v>44813</v>
      </c>
      <c r="B2230" s="3">
        <v>170573418082598</v>
      </c>
      <c r="C2230" s="3">
        <f>[1]!nefin_factors__1[[#This Row],[Rm_minus_Rf]]/B2229-1</f>
        <v>-1.1845378660579202</v>
      </c>
      <c r="D2230" s="3">
        <v>294208319954903</v>
      </c>
      <c r="E2230" s="3">
        <f>[1]!nefin_factors__1[[#This Row],[SMB]]/D2229-1</f>
        <v>-0.67241430219086085</v>
      </c>
      <c r="F2230" s="3">
        <v>-404840366896507</v>
      </c>
      <c r="G2230" s="3">
        <f>[1]!nefin_factors__1[[#This Row],[HML]]/F2229-1</f>
        <v>27.376444368474566</v>
      </c>
      <c r="H2230" s="3">
        <v>509626699584986</v>
      </c>
      <c r="I2230" s="4">
        <f>[1]!nefin_factors__1[[#This Row],[Risk_Free]]/H2229-1</f>
        <v>0</v>
      </c>
      <c r="J2230">
        <v>110910</v>
      </c>
      <c r="K2230">
        <v>112486</v>
      </c>
      <c r="L2230">
        <v>110202</v>
      </c>
      <c r="M2230">
        <v>112486</v>
      </c>
      <c r="N2230">
        <v>19703200</v>
      </c>
      <c r="O2230">
        <v>112486</v>
      </c>
      <c r="P2230">
        <v>1.4209719592462399E-2</v>
      </c>
      <c r="Q2230">
        <v>1.4109707839527899E-2</v>
      </c>
      <c r="R2230" s="8">
        <v>4.6324119567871103</v>
      </c>
      <c r="S2230" s="8">
        <v>6.1181322831559602E-2</v>
      </c>
      <c r="T2230" s="9">
        <v>5.93827430809181E-2</v>
      </c>
      <c r="U2230" s="12">
        <v>5.0788E-2</v>
      </c>
      <c r="V2230" s="16">
        <v>5.3090999999999999</v>
      </c>
      <c r="W2230" s="17">
        <f t="shared" si="34"/>
        <v>6.5789473684210176E-3</v>
      </c>
    </row>
    <row r="2231" spans="1:23" x14ac:dyDescent="0.2">
      <c r="A2231" s="15">
        <v>44816</v>
      </c>
      <c r="B2231" s="5">
        <v>750992671830408</v>
      </c>
      <c r="C2231" s="5">
        <f>[1]!nefin_factors__1[[#This Row],[Rm_minus_Rf]]/B2230-1</f>
        <v>3.4027532558839235</v>
      </c>
      <c r="D2231" s="5">
        <v>379211590545605</v>
      </c>
      <c r="E2231" s="5">
        <f>[1]!nefin_factors__1[[#This Row],[SMB]]/D2230-1</f>
        <v>0.28892204885209072</v>
      </c>
      <c r="F2231" s="5">
        <v>-247011758087866</v>
      </c>
      <c r="G2231" s="5">
        <f>[1]!nefin_factors__1[[#This Row],[HML]]/F2230-1</f>
        <v>-0.3898539318560299</v>
      </c>
      <c r="H2231" s="5">
        <v>509626699584986</v>
      </c>
      <c r="I2231" s="6">
        <f>[1]!nefin_factors__1[[#This Row],[Risk_Free]]/H2230-1</f>
        <v>0</v>
      </c>
      <c r="J2231">
        <v>112479</v>
      </c>
      <c r="K2231">
        <v>112479</v>
      </c>
      <c r="L2231">
        <v>110548</v>
      </c>
      <c r="M2231">
        <v>110926</v>
      </c>
      <c r="N2231">
        <v>15193700</v>
      </c>
      <c r="O2231">
        <v>110926</v>
      </c>
      <c r="P2231">
        <v>-1.38683925110681E-2</v>
      </c>
      <c r="Q2231">
        <v>-1.39654571315477E-2</v>
      </c>
      <c r="R2231" s="8">
        <v>4.6324119567871103</v>
      </c>
      <c r="S2231" s="8">
        <v>0</v>
      </c>
      <c r="T2231" s="9">
        <v>0</v>
      </c>
      <c r="U2231" s="12">
        <v>5.0788E-2</v>
      </c>
      <c r="V2231" s="16">
        <v>5.3247999999999998</v>
      </c>
      <c r="W2231" s="17">
        <f t="shared" si="34"/>
        <v>2.9571867171460653E-3</v>
      </c>
    </row>
    <row r="2232" spans="1:23" x14ac:dyDescent="0.2">
      <c r="A2232" s="14">
        <v>44817</v>
      </c>
      <c r="B2232" s="3">
        <v>-230349897195414</v>
      </c>
      <c r="C2232" s="3">
        <f>[1]!nefin_factors__1[[#This Row],[Rm_minus_Rf]]/B2231-1</f>
        <v>-1.3067272236278658</v>
      </c>
      <c r="D2232" s="3">
        <v>419833911272736</v>
      </c>
      <c r="E2232" s="3">
        <f>[1]!nefin_factors__1[[#This Row],[SMB]]/D2231-1</f>
        <v>0.1071230989239651</v>
      </c>
      <c r="F2232" s="3">
        <v>720409765748309</v>
      </c>
      <c r="G2232" s="3">
        <f>[1]!nefin_factors__1[[#This Row],[HML]]/F2231-1</f>
        <v>-3.9164998918474474</v>
      </c>
      <c r="H2232" s="3">
        <v>51032501594972</v>
      </c>
      <c r="I2232" s="4">
        <f>[1]!nefin_factors__1[[#This Row],[Risk_Free]]/H2231-1</f>
        <v>-0.89986297492550871</v>
      </c>
      <c r="J2232">
        <v>110926</v>
      </c>
      <c r="K2232">
        <v>113761</v>
      </c>
      <c r="L2232">
        <v>109963</v>
      </c>
      <c r="M2232">
        <v>111924</v>
      </c>
      <c r="N2232">
        <v>15982000</v>
      </c>
      <c r="O2232">
        <v>111924</v>
      </c>
      <c r="P2232">
        <v>8.9969889836467604E-3</v>
      </c>
      <c r="Q2232">
        <v>8.9567572080963605E-3</v>
      </c>
      <c r="R2232" s="8">
        <v>4.5955739021301296</v>
      </c>
      <c r="S2232" s="8">
        <v>-7.9522406471233004E-3</v>
      </c>
      <c r="T2232" s="9">
        <v>-7.9840283472256499E-3</v>
      </c>
      <c r="U2232" s="12">
        <v>5.0788E-2</v>
      </c>
      <c r="V2232" s="16">
        <v>5.3003</v>
      </c>
      <c r="W2232" s="17">
        <f t="shared" si="34"/>
        <v>-4.6011117788461453E-3</v>
      </c>
    </row>
    <row r="2233" spans="1:23" x14ac:dyDescent="0.2">
      <c r="A2233" s="15">
        <v>44818</v>
      </c>
      <c r="B2233" s="5">
        <v>-150634803612508</v>
      </c>
      <c r="C2233" s="5">
        <f>[1]!nefin_factors__1[[#This Row],[Rm_minus_Rf]]/B2232-1</f>
        <v>-0.3460609036663943</v>
      </c>
      <c r="D2233" s="5">
        <v>-903714779987242</v>
      </c>
      <c r="E2233" s="5">
        <f>[1]!nefin_factors__1[[#This Row],[SMB]]/D2232-1</f>
        <v>-3.1525530828312802</v>
      </c>
      <c r="F2233" s="5">
        <v>-822307722753464</v>
      </c>
      <c r="G2233" s="5">
        <f>[1]!nefin_factors__1[[#This Row],[HML]]/F2232-1</f>
        <v>-2.1414444415523866</v>
      </c>
      <c r="H2233" s="5">
        <v>51032501594972</v>
      </c>
      <c r="I2233" s="6">
        <f>[1]!nefin_factors__1[[#This Row],[Risk_Free]]/H2232-1</f>
        <v>0</v>
      </c>
      <c r="J2233">
        <v>111922</v>
      </c>
      <c r="K2233">
        <v>112150</v>
      </c>
      <c r="L2233">
        <v>109270</v>
      </c>
      <c r="M2233">
        <v>109401</v>
      </c>
      <c r="N2233">
        <v>12308400</v>
      </c>
      <c r="O2233">
        <v>109401</v>
      </c>
      <c r="P2233">
        <v>-2.2542082127157699E-2</v>
      </c>
      <c r="Q2233">
        <v>-2.2800038818798E-2</v>
      </c>
      <c r="R2233" s="8">
        <v>4.2732391357421902</v>
      </c>
      <c r="S2233" s="8">
        <v>-7.0140263926238205E-2</v>
      </c>
      <c r="T2233" s="9">
        <v>-7.2721525635593004E-2</v>
      </c>
      <c r="U2233" s="12">
        <v>5.0788E-2</v>
      </c>
      <c r="V2233" s="16">
        <v>5.3453999999999997</v>
      </c>
      <c r="W2233" s="17">
        <f t="shared" si="34"/>
        <v>8.5089523234533893E-3</v>
      </c>
    </row>
    <row r="2234" spans="1:23" x14ac:dyDescent="0.2">
      <c r="A2234" s="14">
        <v>44819</v>
      </c>
      <c r="B2234" s="3">
        <v>-592571794361967</v>
      </c>
      <c r="C2234" s="3">
        <f>[1]!nefin_factors__1[[#This Row],[Rm_minus_Rf]]/B2233-1</f>
        <v>2.9338305633955275</v>
      </c>
      <c r="D2234" s="3">
        <v>892004245946562</v>
      </c>
      <c r="E2234" s="3">
        <f>[1]!nefin_factors__1[[#This Row],[SMB]]/D2233-1</f>
        <v>-1.9870417809910719</v>
      </c>
      <c r="F2234" s="3">
        <v>116481886079278</v>
      </c>
      <c r="G2234" s="3">
        <f>[1]!nefin_factors__1[[#This Row],[HML]]/F2233-1</f>
        <v>-1.1416524287151812</v>
      </c>
      <c r="H2234" s="3">
        <v>510674128261224</v>
      </c>
      <c r="I2234" s="4">
        <f>[1]!nefin_factors__1[[#This Row],[Risk_Free]]/H2233-1</f>
        <v>9.0068409797794118</v>
      </c>
      <c r="J2234">
        <v>109403</v>
      </c>
      <c r="K2234">
        <v>110663</v>
      </c>
      <c r="L2234">
        <v>109217</v>
      </c>
      <c r="M2234">
        <v>109533</v>
      </c>
      <c r="N2234">
        <v>13437500</v>
      </c>
      <c r="O2234">
        <v>109533</v>
      </c>
      <c r="P2234">
        <v>1.20657032385441E-3</v>
      </c>
      <c r="Q2234">
        <v>1.2058430028650301E-3</v>
      </c>
      <c r="R2234" s="8">
        <v>4.2640299797058097</v>
      </c>
      <c r="S2234" s="8">
        <v>-2.1550762182602802E-3</v>
      </c>
      <c r="T2234" s="9">
        <v>-2.1574017367272801E-3</v>
      </c>
      <c r="U2234" s="12">
        <v>5.0788E-2</v>
      </c>
      <c r="V2234" s="16">
        <v>5.2569999999999997</v>
      </c>
      <c r="W2234" s="17">
        <f t="shared" si="34"/>
        <v>-1.6537583716840665E-2</v>
      </c>
    </row>
    <row r="2235" spans="1:23" x14ac:dyDescent="0.2">
      <c r="A2235" s="15">
        <v>44820</v>
      </c>
      <c r="B2235" s="5">
        <v>-539203018610533</v>
      </c>
      <c r="C2235" s="5">
        <f>[1]!nefin_factors__1[[#This Row],[Rm_minus_Rf]]/B2234-1</f>
        <v>-9.0062970021880906E-2</v>
      </c>
      <c r="D2235" s="5">
        <v>-39515199808131</v>
      </c>
      <c r="E2235" s="5">
        <f>[1]!nefin_factors__1[[#This Row],[SMB]]/D2234-1</f>
        <v>-1.044299340488227</v>
      </c>
      <c r="F2235" s="5">
        <v>-112928633724158</v>
      </c>
      <c r="G2235" s="5">
        <f>[1]!nefin_factors__1[[#This Row],[HML]]/F2234-1</f>
        <v>-1.9694952367726803</v>
      </c>
      <c r="H2235" s="5">
        <v>511023209999406</v>
      </c>
      <c r="I2235" s="6">
        <f>[1]!nefin_factors__1[[#This Row],[Risk_Free]]/H2234-1</f>
        <v>6.835704392751385E-4</v>
      </c>
      <c r="J2235">
        <v>110188</v>
      </c>
      <c r="K2235">
        <v>110247</v>
      </c>
      <c r="L2235">
        <v>108612</v>
      </c>
      <c r="M2235">
        <v>109361</v>
      </c>
      <c r="N2235">
        <v>13825300</v>
      </c>
      <c r="O2235">
        <v>109361</v>
      </c>
      <c r="P2235">
        <v>-1.5703030137036399E-3</v>
      </c>
      <c r="Q2235">
        <v>-1.5715372317144599E-3</v>
      </c>
      <c r="R2235" s="8">
        <v>4.4113831520080602</v>
      </c>
      <c r="S2235" s="8">
        <v>3.4557255226524503E-2</v>
      </c>
      <c r="T2235" s="9">
        <v>3.39735624684823E-2</v>
      </c>
      <c r="U2235" s="12">
        <v>5.0788E-2</v>
      </c>
      <c r="V2235" s="16">
        <v>5.15</v>
      </c>
      <c r="W2235" s="17">
        <f t="shared" si="34"/>
        <v>-2.0353813962335821E-2</v>
      </c>
    </row>
    <row r="2236" spans="1:23" x14ac:dyDescent="0.2">
      <c r="A2236" s="14">
        <v>44823</v>
      </c>
      <c r="B2236" s="3">
        <v>196361814187344</v>
      </c>
      <c r="C2236" s="3">
        <f>[1]!nefin_factors__1[[#This Row],[Rm_minus_Rf]]/B2235-1</f>
        <v>-1.3641704653162863</v>
      </c>
      <c r="D2236" s="3">
        <v>-43338990783718</v>
      </c>
      <c r="E2236" s="3">
        <f>[1]!nefin_factors__1[[#This Row],[SMB]]/D2235-1</f>
        <v>9.6767598143339795E-2</v>
      </c>
      <c r="F2236" s="3">
        <v>693549323851621</v>
      </c>
      <c r="G2236" s="3">
        <f>[1]!nefin_factors__1[[#This Row],[HML]]/F2235-1</f>
        <v>-7.1414833508541333</v>
      </c>
      <c r="H2236" s="3">
        <v>510674128261224</v>
      </c>
      <c r="I2236" s="4">
        <f>[1]!nefin_factors__1[[#This Row],[Risk_Free]]/H2235-1</f>
        <v>-6.8310348992250969E-4</v>
      </c>
      <c r="J2236">
        <v>109068</v>
      </c>
      <c r="K2236">
        <v>109286</v>
      </c>
      <c r="L2236">
        <v>106906</v>
      </c>
      <c r="M2236">
        <v>107245</v>
      </c>
      <c r="N2236">
        <v>14921000</v>
      </c>
      <c r="O2236">
        <v>107245</v>
      </c>
      <c r="P2236">
        <v>-1.9348762355867199E-2</v>
      </c>
      <c r="Q2236">
        <v>-1.95383998103212E-2</v>
      </c>
      <c r="R2236" s="8">
        <v>3.9601140022277801</v>
      </c>
      <c r="S2236" s="8">
        <v>-0.10229652112055999</v>
      </c>
      <c r="T2236" s="9">
        <v>-0.107915466901794</v>
      </c>
      <c r="U2236" s="12">
        <v>5.0788E-2</v>
      </c>
      <c r="V2236" s="16">
        <v>5.1349</v>
      </c>
      <c r="W2236" s="17">
        <f t="shared" si="34"/>
        <v>-2.9320388349515225E-3</v>
      </c>
    </row>
    <row r="2237" spans="1:23" x14ac:dyDescent="0.2">
      <c r="A2237" s="15">
        <v>44824</v>
      </c>
      <c r="B2237" s="5">
        <v>552770085467555</v>
      </c>
      <c r="C2237" s="5">
        <f>[1]!nefin_factors__1[[#This Row],[Rm_minus_Rf]]/B2236-1</f>
        <v>1.8150589652842104</v>
      </c>
      <c r="D2237" s="5">
        <v>-702334291330084</v>
      </c>
      <c r="E2237" s="5">
        <f>[1]!nefin_factors__1[[#This Row],[SMB]]/D2236-1</f>
        <v>15.205598668299945</v>
      </c>
      <c r="F2237" s="5">
        <v>180776753391138</v>
      </c>
      <c r="G2237" s="5">
        <f>[1]!nefin_factors__1[[#This Row],[HML]]/F2236-1</f>
        <v>-0.73934549833140106</v>
      </c>
      <c r="H2237" s="5">
        <v>510674128261224</v>
      </c>
      <c r="I2237" s="6">
        <f>[1]!nefin_factors__1[[#This Row],[Risk_Free]]/H2236-1</f>
        <v>0</v>
      </c>
      <c r="J2237">
        <v>107250</v>
      </c>
      <c r="K2237">
        <v>108566</v>
      </c>
      <c r="L2237">
        <v>107089</v>
      </c>
      <c r="M2237">
        <v>107689</v>
      </c>
      <c r="N2237">
        <v>10676300</v>
      </c>
      <c r="O2237">
        <v>107689</v>
      </c>
      <c r="P2237">
        <v>4.1400531493309698E-3</v>
      </c>
      <c r="Q2237">
        <v>4.1315067096474702E-3</v>
      </c>
      <c r="R2237" s="8">
        <v>3.9140660762786901</v>
      </c>
      <c r="S2237" s="8">
        <v>-1.16279293785967E-2</v>
      </c>
      <c r="T2237" s="9">
        <v>-1.1696062428595199E-2</v>
      </c>
      <c r="U2237" s="12">
        <v>5.0788E-2</v>
      </c>
      <c r="V2237" s="16">
        <v>5.0359999999999996</v>
      </c>
      <c r="W2237" s="17">
        <f t="shared" si="34"/>
        <v>-1.9260355605756785E-2</v>
      </c>
    </row>
    <row r="2238" spans="1:23" x14ac:dyDescent="0.2">
      <c r="A2238" s="14">
        <v>44825</v>
      </c>
      <c r="B2238" s="3">
        <v>-447836991880721</v>
      </c>
      <c r="C2238" s="3">
        <f>[1]!nefin_factors__1[[#This Row],[Rm_minus_Rf]]/B2237-1</f>
        <v>-1.8101686463404087</v>
      </c>
      <c r="D2238" s="3">
        <v>12729452232322</v>
      </c>
      <c r="E2238" s="3">
        <f>[1]!nefin_factors__1[[#This Row],[SMB]]/D2237-1</f>
        <v>-1.0181244919826069</v>
      </c>
      <c r="F2238" s="3">
        <v>-764930192919733</v>
      </c>
      <c r="G2238" s="3">
        <f>[1]!nefin_factors__1[[#This Row],[HML]]/F2237-1</f>
        <v>-5.2313526411478923</v>
      </c>
      <c r="H2238" s="3">
        <v>51032501594972</v>
      </c>
      <c r="I2238" s="4">
        <f>[1]!nefin_factors__1[[#This Row],[Risk_Free]]/H2237-1</f>
        <v>-0.90006836303078297</v>
      </c>
      <c r="J2238">
        <v>107518</v>
      </c>
      <c r="K2238">
        <v>107561</v>
      </c>
      <c r="L2238">
        <v>103877</v>
      </c>
      <c r="M2238">
        <v>105264</v>
      </c>
      <c r="N2238">
        <v>15481900</v>
      </c>
      <c r="O2238">
        <v>105264</v>
      </c>
      <c r="P2238">
        <v>-2.25185487839984E-2</v>
      </c>
      <c r="Q2238">
        <v>-2.2775963040763601E-2</v>
      </c>
      <c r="R2238" s="8">
        <v>3.9232759475707999</v>
      </c>
      <c r="S2238" s="8">
        <v>2.3530188588105601E-3</v>
      </c>
      <c r="T2238" s="9">
        <v>2.3502548449376502E-3</v>
      </c>
      <c r="U2238" s="12">
        <v>5.0788E-2</v>
      </c>
      <c r="V2238" s="16">
        <v>5.0885999999999996</v>
      </c>
      <c r="W2238" s="17">
        <f t="shared" si="34"/>
        <v>1.0444797458300181E-2</v>
      </c>
    </row>
    <row r="2239" spans="1:23" x14ac:dyDescent="0.2">
      <c r="A2239" s="15">
        <v>44826</v>
      </c>
      <c r="B2239" s="5">
        <v>175799466439361</v>
      </c>
      <c r="C2239" s="5">
        <f>[1]!nefin_factors__1[[#This Row],[Rm_minus_Rf]]/B2238-1</f>
        <v>-1.3925523563854776</v>
      </c>
      <c r="D2239" s="5">
        <v>28679679715465</v>
      </c>
      <c r="E2239" s="5">
        <f>[1]!nefin_factors__1[[#This Row],[SMB]]/D2238-1</f>
        <v>1.2530175841064839</v>
      </c>
      <c r="F2239" s="5">
        <v>132673671811714</v>
      </c>
      <c r="G2239" s="5">
        <f>[1]!nefin_factors__1[[#This Row],[HML]]/F2238-1</f>
        <v>-1.173445463441964</v>
      </c>
      <c r="H2239" s="5">
        <v>50822969973785</v>
      </c>
      <c r="I2239" s="6">
        <f>[1]!nefin_factors__1[[#This Row],[Risk_Free]]/H2238-1</f>
        <v>-4.1058465612754391E-3</v>
      </c>
      <c r="J2239">
        <v>105345</v>
      </c>
      <c r="K2239">
        <v>106689</v>
      </c>
      <c r="L2239">
        <v>103409</v>
      </c>
      <c r="M2239">
        <v>103892</v>
      </c>
      <c r="N2239">
        <v>17702200</v>
      </c>
      <c r="O2239">
        <v>103892</v>
      </c>
      <c r="P2239">
        <v>-1.30338957288342E-2</v>
      </c>
      <c r="Q2239">
        <v>-1.31195823154985E-2</v>
      </c>
      <c r="R2239" s="8">
        <v>3.9140660762786901</v>
      </c>
      <c r="S2239" s="8">
        <v>-2.3474951584318E-3</v>
      </c>
      <c r="T2239" s="9">
        <v>-2.3502548449376502E-3</v>
      </c>
      <c r="U2239" s="12">
        <v>5.0788E-2</v>
      </c>
      <c r="V2239" s="16">
        <v>5.1744000000000003</v>
      </c>
      <c r="W2239" s="17">
        <f t="shared" si="34"/>
        <v>1.6861219195849708E-2</v>
      </c>
    </row>
    <row r="2240" spans="1:23" x14ac:dyDescent="0.2">
      <c r="A2240" s="14">
        <v>44827</v>
      </c>
      <c r="B2240" s="3">
        <v>-199773897654195</v>
      </c>
      <c r="C2240" s="3">
        <f>[1]!nefin_factors__1[[#This Row],[Rm_minus_Rf]]/B2239-1</f>
        <v>-2.1363737427673226</v>
      </c>
      <c r="D2240" s="3">
        <v>108692095328804</v>
      </c>
      <c r="E2240" s="3">
        <f>[1]!nefin_factors__1[[#This Row],[SMB]]/D2239-1</f>
        <v>2.7898643362531605</v>
      </c>
      <c r="F2240" s="3">
        <v>219348578401056</v>
      </c>
      <c r="G2240" s="3">
        <f>[1]!nefin_factors__1[[#This Row],[HML]]/F2239-1</f>
        <v>0.65329394600873103</v>
      </c>
      <c r="H2240" s="3">
        <v>50822969973785</v>
      </c>
      <c r="I2240" s="4">
        <f>[1]!nefin_factors__1[[#This Row],[Risk_Free]]/H2239-1</f>
        <v>0</v>
      </c>
      <c r="J2240">
        <v>103536</v>
      </c>
      <c r="K2240">
        <v>104516</v>
      </c>
      <c r="L2240">
        <v>101632</v>
      </c>
      <c r="M2240">
        <v>103803</v>
      </c>
      <c r="N2240">
        <v>24923500</v>
      </c>
      <c r="O2240">
        <v>103803</v>
      </c>
      <c r="P2240">
        <v>-8.5665883802410502E-4</v>
      </c>
      <c r="Q2240">
        <v>-8.5702597989835004E-4</v>
      </c>
      <c r="R2240" s="8">
        <v>3.8219699859619101</v>
      </c>
      <c r="S2240" s="8">
        <v>-2.3529518542091999E-2</v>
      </c>
      <c r="T2240" s="9">
        <v>-2.3810758044059601E-2</v>
      </c>
      <c r="U2240" s="12">
        <v>5.0788E-2</v>
      </c>
      <c r="V2240" s="16">
        <v>5.1628999999999996</v>
      </c>
      <c r="W2240" s="17">
        <f t="shared" si="34"/>
        <v>-2.2224799010515106E-3</v>
      </c>
    </row>
    <row r="2241" spans="1:23" x14ac:dyDescent="0.2">
      <c r="A2241" s="15">
        <v>44830</v>
      </c>
      <c r="B2241" s="5">
        <v>-237328918217014</v>
      </c>
      <c r="C2241" s="5">
        <f>[1]!nefin_factors__1[[#This Row],[Rm_minus_Rf]]/B2240-1</f>
        <v>0.18798762502910193</v>
      </c>
      <c r="D2241" s="5">
        <v>-103431080503477</v>
      </c>
      <c r="E2241" s="5">
        <f>[1]!nefin_factors__1[[#This Row],[SMB]]/D2240-1</f>
        <v>-1.9515970797194413</v>
      </c>
      <c r="F2241" s="5">
        <v>278803998559105</v>
      </c>
      <c r="G2241" s="5">
        <f>[1]!nefin_factors__1[[#This Row],[HML]]/F2240-1</f>
        <v>0.27105450416615406</v>
      </c>
      <c r="H2241" s="5">
        <v>50822969973785</v>
      </c>
      <c r="I2241" s="6">
        <f>[1]!nefin_factors__1[[#This Row],[Risk_Free]]/H2240-1</f>
        <v>0</v>
      </c>
      <c r="J2241">
        <v>103739</v>
      </c>
      <c r="K2241">
        <v>105483</v>
      </c>
      <c r="L2241">
        <v>103014</v>
      </c>
      <c r="M2241">
        <v>103738</v>
      </c>
      <c r="N2241">
        <v>15568200</v>
      </c>
      <c r="O2241">
        <v>103738</v>
      </c>
      <c r="P2241">
        <v>-6.2618614105569602E-4</v>
      </c>
      <c r="Q2241">
        <v>-6.2638227748020199E-4</v>
      </c>
      <c r="R2241" s="8">
        <v>3.6469879150390598</v>
      </c>
      <c r="S2241" s="8">
        <v>-4.57832143019333E-2</v>
      </c>
      <c r="T2241" s="9">
        <v>-4.6864394671429298E-2</v>
      </c>
      <c r="U2241" s="12">
        <v>5.0788E-2</v>
      </c>
      <c r="V2241" s="16">
        <v>5.3064</v>
      </c>
      <c r="W2241" s="17">
        <f t="shared" si="34"/>
        <v>2.7794456603846829E-2</v>
      </c>
    </row>
    <row r="2242" spans="1:23" x14ac:dyDescent="0.2">
      <c r="A2242" s="14">
        <v>44831</v>
      </c>
      <c r="B2242" s="3">
        <v>-782246408046032</v>
      </c>
      <c r="C2242" s="3">
        <f>[1]!nefin_factors__1[[#This Row],[Rm_minus_Rf]]/B2241-1</f>
        <v>2.2960433727285792</v>
      </c>
      <c r="D2242" s="3">
        <v>-881340117692543</v>
      </c>
      <c r="E2242" s="3">
        <f>[1]!nefin_factors__1[[#This Row],[SMB]]/D2241-1</f>
        <v>7.5210375198866402</v>
      </c>
      <c r="F2242" s="3">
        <v>284791295600091</v>
      </c>
      <c r="G2242" s="3">
        <f>[1]!nefin_factors__1[[#This Row],[HML]]/F2241-1</f>
        <v>2.1474932468433572E-2</v>
      </c>
      <c r="H2242" s="3">
        <v>507880373261882</v>
      </c>
      <c r="I2242" s="4">
        <f>[1]!nefin_factors__1[[#This Row],[Risk_Free]]/H2241-1</f>
        <v>8.9931266024762397</v>
      </c>
      <c r="J2242">
        <v>103737</v>
      </c>
      <c r="K2242">
        <v>104018</v>
      </c>
      <c r="L2242">
        <v>102248</v>
      </c>
      <c r="M2242">
        <v>102825</v>
      </c>
      <c r="N2242">
        <v>18255000</v>
      </c>
      <c r="O2242">
        <v>102825</v>
      </c>
      <c r="P2242">
        <v>-8.8010179490639606E-3</v>
      </c>
      <c r="Q2242">
        <v>-8.8399756542772694E-3</v>
      </c>
      <c r="R2242" s="8">
        <v>3.3707010746002202</v>
      </c>
      <c r="S2242" s="8">
        <v>-7.5757542080005402E-2</v>
      </c>
      <c r="T2242" s="9">
        <v>-7.8780841415087996E-2</v>
      </c>
      <c r="U2242" s="12">
        <v>5.0788E-2</v>
      </c>
      <c r="V2242" s="16">
        <v>5.3051000000000004</v>
      </c>
      <c r="W2242" s="17">
        <f t="shared" si="34"/>
        <v>-2.4498718528565E-4</v>
      </c>
    </row>
    <row r="2243" spans="1:23" x14ac:dyDescent="0.2">
      <c r="A2243" s="15">
        <v>44832</v>
      </c>
      <c r="B2243" s="5">
        <v>1632349841</v>
      </c>
      <c r="C2243" s="5">
        <f>[1]!nefin_factors__1[[#This Row],[Rm_minus_Rf]]/B2242-1</f>
        <v>-1.0000020867463555</v>
      </c>
      <c r="D2243" s="5">
        <v>141130026602317</v>
      </c>
      <c r="E2243" s="5">
        <f>[1]!nefin_factors__1[[#This Row],[SMB]]/D2242-1</f>
        <v>-1.1601311727098191</v>
      </c>
      <c r="F2243" s="5">
        <v>527974401548634</v>
      </c>
      <c r="G2243" s="5">
        <f>[1]!nefin_factors__1[[#This Row],[HML]]/F2242-1</f>
        <v>0.85389936316742299</v>
      </c>
      <c r="H2243" s="5">
        <v>50822969973785</v>
      </c>
      <c r="I2243" s="6">
        <f>[1]!nefin_factors__1[[#This Row],[Risk_Free]]/H2242-1</f>
        <v>-0.8999312187486741</v>
      </c>
      <c r="J2243">
        <v>102859</v>
      </c>
      <c r="K2243">
        <v>105107</v>
      </c>
      <c r="L2243">
        <v>102770</v>
      </c>
      <c r="M2243">
        <v>104530</v>
      </c>
      <c r="N2243">
        <v>16773400</v>
      </c>
      <c r="O2243">
        <v>104530</v>
      </c>
      <c r="P2243">
        <v>1.6581570629710801E-2</v>
      </c>
      <c r="Q2243">
        <v>1.6445597428128102E-2</v>
      </c>
      <c r="R2243" s="8">
        <v>3.7022459506988499</v>
      </c>
      <c r="S2243" s="8">
        <v>9.8360806479392604E-2</v>
      </c>
      <c r="T2243" s="9">
        <v>9.3818892460077505E-2</v>
      </c>
      <c r="U2243" s="12">
        <v>5.0788E-2</v>
      </c>
      <c r="V2243" s="16">
        <v>5.3013000000000003</v>
      </c>
      <c r="W2243" s="17">
        <f t="shared" si="34"/>
        <v>-7.1629187008726003E-4</v>
      </c>
    </row>
    <row r="2244" spans="1:23" x14ac:dyDescent="0.2">
      <c r="A2244" s="14">
        <v>44833</v>
      </c>
      <c r="B2244" s="3">
        <v>-754069709725094</v>
      </c>
      <c r="C2244" s="3">
        <f>[1]!nefin_factors__1[[#This Row],[Rm_minus_Rf]]/B2243-1</f>
        <v>-461954.49231212627</v>
      </c>
      <c r="D2244" s="3">
        <v>235722906590122</v>
      </c>
      <c r="E2244" s="3">
        <f>[1]!nefin_factors__1[[#This Row],[SMB]]/D2243-1</f>
        <v>0.670253398692777</v>
      </c>
      <c r="F2244" s="3">
        <v>640565636607198</v>
      </c>
      <c r="G2244" s="3">
        <f>[1]!nefin_factors__1[[#This Row],[HML]]/F2243-1</f>
        <v>0.21325131432189859</v>
      </c>
      <c r="H2244" s="3">
        <v>50822969973785</v>
      </c>
      <c r="I2244" s="4">
        <f>[1]!nefin_factors__1[[#This Row],[Risk_Free]]/H2243-1</f>
        <v>0</v>
      </c>
      <c r="J2244">
        <v>104740</v>
      </c>
      <c r="K2244">
        <v>107792</v>
      </c>
      <c r="L2244">
        <v>104607</v>
      </c>
      <c r="M2244">
        <v>106979</v>
      </c>
      <c r="N2244">
        <v>19125600</v>
      </c>
      <c r="O2244">
        <v>106979</v>
      </c>
      <c r="P2244">
        <v>2.3428680761503801E-2</v>
      </c>
      <c r="Q2244">
        <v>2.31584419732031E-2</v>
      </c>
      <c r="R2244" s="8">
        <v>3.93248510360718</v>
      </c>
      <c r="S2244" s="8">
        <v>6.2189048478765697E-2</v>
      </c>
      <c r="T2244" s="9">
        <v>6.0331918727785698E-2</v>
      </c>
      <c r="U2244" s="12">
        <v>5.0788E-2</v>
      </c>
      <c r="V2244" s="16">
        <v>5.3204000000000002</v>
      </c>
      <c r="W2244" s="17">
        <f t="shared" ref="W2244:W2307" si="35">V2244/V2243-1</f>
        <v>3.6028898572049162E-3</v>
      </c>
    </row>
    <row r="2245" spans="1:23" x14ac:dyDescent="0.2">
      <c r="A2245" s="15">
        <v>44834</v>
      </c>
      <c r="B2245" s="5">
        <v>176008572596748</v>
      </c>
      <c r="C2245" s="5">
        <f>[1]!nefin_factors__1[[#This Row],[Rm_minus_Rf]]/B2244-1</f>
        <v>-1.2334115405071957</v>
      </c>
      <c r="D2245" s="5">
        <v>106947134057076</v>
      </c>
      <c r="E2245" s="5">
        <f>[1]!nefin_factors__1[[#This Row],[SMB]]/D2244-1</f>
        <v>-0.54630147912168314</v>
      </c>
      <c r="F2245" s="5">
        <v>-193870279404236</v>
      </c>
      <c r="G2245" s="5">
        <f>[1]!nefin_factors__1[[#This Row],[HML]]/F2244-1</f>
        <v>-1.3026548230577648</v>
      </c>
      <c r="H2245" s="5">
        <v>50822969973785</v>
      </c>
      <c r="I2245" s="6">
        <f>[1]!nefin_factors__1[[#This Row],[Risk_Free]]/H2244-1</f>
        <v>0</v>
      </c>
      <c r="J2245">
        <v>106866</v>
      </c>
      <c r="K2245">
        <v>107991</v>
      </c>
      <c r="L2245">
        <v>106066</v>
      </c>
      <c r="M2245">
        <v>107313</v>
      </c>
      <c r="N2245">
        <v>17634900</v>
      </c>
      <c r="O2245">
        <v>107313</v>
      </c>
      <c r="P2245">
        <v>3.1221080772862999E-3</v>
      </c>
      <c r="Q2245">
        <v>3.11724441847936E-3</v>
      </c>
      <c r="R2245" s="8">
        <v>4.0706291198730504</v>
      </c>
      <c r="S2245" s="8">
        <v>3.5128935679668002E-2</v>
      </c>
      <c r="T2245" s="9">
        <v>3.4525994494355797E-2</v>
      </c>
      <c r="U2245" s="12">
        <v>5.0788E-2</v>
      </c>
      <c r="V2245" s="16">
        <v>5.4654999999999996</v>
      </c>
      <c r="W2245" s="17">
        <f t="shared" si="35"/>
        <v>2.727238553492195E-2</v>
      </c>
    </row>
    <row r="2246" spans="1:23" x14ac:dyDescent="0.2">
      <c r="A2246" s="14">
        <v>44837</v>
      </c>
      <c r="B2246" s="3">
        <v>543147330681456</v>
      </c>
      <c r="C2246" s="3">
        <f>[1]!nefin_factors__1[[#This Row],[Rm_minus_Rf]]/B2245-1</f>
        <v>2.0859140703666577</v>
      </c>
      <c r="D2246" s="3">
        <v>-7507877603996</v>
      </c>
      <c r="E2246" s="3">
        <f>[1]!nefin_factors__1[[#This Row],[SMB]]/D2245-1</f>
        <v>-1.0702017652945162</v>
      </c>
      <c r="F2246" s="3">
        <v>260794757800208</v>
      </c>
      <c r="G2246" s="3">
        <f>[1]!nefin_factors__1[[#This Row],[HML]]/F2245-1</f>
        <v>-2.3452023621239477</v>
      </c>
      <c r="H2246" s="3">
        <v>50822969973785</v>
      </c>
      <c r="I2246" s="4">
        <f>[1]!nefin_factors__1[[#This Row],[Risk_Free]]/H2245-1</f>
        <v>0</v>
      </c>
      <c r="J2246">
        <v>107436</v>
      </c>
      <c r="K2246">
        <v>108383</v>
      </c>
      <c r="L2246">
        <v>106510</v>
      </c>
      <c r="M2246">
        <v>107317</v>
      </c>
      <c r="N2246">
        <v>11494600</v>
      </c>
      <c r="O2246">
        <v>107317</v>
      </c>
      <c r="P2246">
        <v>3.7274141995835597E-5</v>
      </c>
      <c r="Q2246">
        <v>3.7273447332266702E-5</v>
      </c>
      <c r="R2246" s="8">
        <v>4.0337901115417498</v>
      </c>
      <c r="S2246" s="8">
        <v>-9.0499545024744794E-3</v>
      </c>
      <c r="T2246" s="9">
        <v>-9.0911540987428808E-3</v>
      </c>
      <c r="U2246" s="12">
        <v>5.0788E-2</v>
      </c>
      <c r="V2246" s="16">
        <v>5.3476999999999997</v>
      </c>
      <c r="W2246" s="17">
        <f t="shared" si="35"/>
        <v>-2.1553380294575097E-2</v>
      </c>
    </row>
    <row r="2247" spans="1:23" x14ac:dyDescent="0.2">
      <c r="A2247" s="15">
        <v>44838</v>
      </c>
      <c r="B2247" s="5">
        <v>-350559912392631</v>
      </c>
      <c r="C2247" s="5">
        <f>[1]!nefin_factors__1[[#This Row],[Rm_minus_Rf]]/B2246-1</f>
        <v>-1.6454232444681325</v>
      </c>
      <c r="D2247" s="5">
        <v>320391548379483</v>
      </c>
      <c r="E2247" s="5">
        <f>[1]!nefin_factors__1[[#This Row],[SMB]]/D2246-1</f>
        <v>-43.67405054778164</v>
      </c>
      <c r="F2247" s="5">
        <v>-126788907121647</v>
      </c>
      <c r="G2247" s="5">
        <f>[1]!nefin_factors__1[[#This Row],[HML]]/F2246-1</f>
        <v>-1.4861635570864449</v>
      </c>
      <c r="H2247" s="5">
        <v>50822969973785</v>
      </c>
      <c r="I2247" s="6">
        <f>[1]!nefin_factors__1[[#This Row],[Risk_Free]]/H2246-1</f>
        <v>0</v>
      </c>
      <c r="J2247">
        <v>107552</v>
      </c>
      <c r="K2247">
        <v>109994</v>
      </c>
      <c r="L2247">
        <v>107552</v>
      </c>
      <c r="M2247">
        <v>109698</v>
      </c>
      <c r="N2247">
        <v>12847100</v>
      </c>
      <c r="O2247">
        <v>109698</v>
      </c>
      <c r="P2247">
        <v>2.21866060363223E-2</v>
      </c>
      <c r="Q2247">
        <v>2.1944064190792301E-2</v>
      </c>
      <c r="R2247" s="8">
        <v>4.3377060890197798</v>
      </c>
      <c r="S2247" s="8">
        <v>7.5342536194048099E-2</v>
      </c>
      <c r="T2247" s="9">
        <v>7.2639249145262597E-2</v>
      </c>
      <c r="U2247" s="12">
        <v>5.0788E-2</v>
      </c>
      <c r="V2247" s="16">
        <v>5.3258999999999999</v>
      </c>
      <c r="W2247" s="17">
        <f t="shared" si="35"/>
        <v>-4.0765188772743377E-3</v>
      </c>
    </row>
    <row r="2248" spans="1:23" x14ac:dyDescent="0.2">
      <c r="A2248" s="14">
        <v>44839</v>
      </c>
      <c r="B2248" s="3">
        <v>514874753621512</v>
      </c>
      <c r="C2248" s="3">
        <f>[1]!nefin_factors__1[[#This Row],[Rm_minus_Rf]]/B2247-1</f>
        <v>-2.4687211384422261</v>
      </c>
      <c r="D2248" s="3">
        <v>846971612687683</v>
      </c>
      <c r="E2248" s="3">
        <f>[1]!nefin_factors__1[[#This Row],[SMB]]/D2247-1</f>
        <v>1.6435516697353703</v>
      </c>
      <c r="F2248" s="3">
        <v>-128360963116274</v>
      </c>
      <c r="G2248" s="3">
        <f>[1]!nefin_factors__1[[#This Row],[HML]]/F2247-1</f>
        <v>1.2399002643967094E-2</v>
      </c>
      <c r="H2248" s="3">
        <v>50822969973785</v>
      </c>
      <c r="I2248" s="4">
        <f>[1]!nefin_factors__1[[#This Row],[Risk_Free]]/H2247-1</f>
        <v>0</v>
      </c>
      <c r="J2248">
        <v>109699</v>
      </c>
      <c r="K2248">
        <v>109755</v>
      </c>
      <c r="L2248">
        <v>108309</v>
      </c>
      <c r="M2248">
        <v>108738</v>
      </c>
      <c r="N2248">
        <v>5219500</v>
      </c>
      <c r="O2248">
        <v>108738</v>
      </c>
      <c r="P2248">
        <v>-8.7512990209483998E-3</v>
      </c>
      <c r="Q2248">
        <v>-8.7898165216539204E-3</v>
      </c>
      <c r="R2248" s="8">
        <v>4.3469161987304696</v>
      </c>
      <c r="S2248" s="8">
        <v>2.1232673495346099E-3</v>
      </c>
      <c r="T2248" s="9">
        <v>2.1210164030934001E-3</v>
      </c>
      <c r="U2248" s="12">
        <v>5.0788E-2</v>
      </c>
      <c r="V2248" s="16">
        <v>5.3338999999999999</v>
      </c>
      <c r="W2248" s="17">
        <f t="shared" si="35"/>
        <v>1.5020935428753379E-3</v>
      </c>
    </row>
    <row r="2249" spans="1:23" x14ac:dyDescent="0.2">
      <c r="A2249" s="15">
        <v>44840</v>
      </c>
      <c r="B2249" s="5">
        <v>35042466878535</v>
      </c>
      <c r="C2249" s="5">
        <f>[1]!nefin_factors__1[[#This Row],[Rm_minus_Rf]]/B2248-1</f>
        <v>-0.93193982297237488</v>
      </c>
      <c r="D2249" s="5">
        <v>13925908482336</v>
      </c>
      <c r="E2249" s="5">
        <f>[1]!nefin_factors__1[[#This Row],[SMB]]/D2248-1</f>
        <v>-0.98355799855186987</v>
      </c>
      <c r="F2249" s="5">
        <v>128579764368898</v>
      </c>
      <c r="G2249" s="5">
        <f>[1]!nefin_factors__1[[#This Row],[HML]]/F2248-1</f>
        <v>-2.0017045778351306</v>
      </c>
      <c r="H2249" s="5">
        <v>50822969973785</v>
      </c>
      <c r="I2249" s="6">
        <f>[1]!nefin_factors__1[[#This Row],[Risk_Free]]/H2248-1</f>
        <v>0</v>
      </c>
      <c r="J2249">
        <v>108739</v>
      </c>
      <c r="K2249">
        <v>109353</v>
      </c>
      <c r="L2249">
        <v>107418</v>
      </c>
      <c r="M2249">
        <v>108347</v>
      </c>
      <c r="N2249">
        <v>11158100</v>
      </c>
      <c r="O2249">
        <v>108347</v>
      </c>
      <c r="P2249">
        <v>-3.5957990766797301E-3</v>
      </c>
      <c r="Q2249">
        <v>-3.6022795017145301E-3</v>
      </c>
      <c r="R2249" s="8">
        <v>4.0337901115417498</v>
      </c>
      <c r="S2249" s="8">
        <v>-7.2034074933436706E-2</v>
      </c>
      <c r="T2249" s="9">
        <v>-7.4760265548356006E-2</v>
      </c>
      <c r="U2249" s="12">
        <v>5.0788E-2</v>
      </c>
      <c r="V2249" s="16">
        <v>5.3929999999999998</v>
      </c>
      <c r="W2249" s="17">
        <f t="shared" si="35"/>
        <v>1.1080072742271074E-2</v>
      </c>
    </row>
    <row r="2250" spans="1:23" x14ac:dyDescent="0.2">
      <c r="A2250" s="14">
        <v>44841</v>
      </c>
      <c r="B2250" s="3">
        <v>-114868249361053</v>
      </c>
      <c r="C2250" s="3">
        <f>[1]!nefin_factors__1[[#This Row],[Rm_minus_Rf]]/B2249-1</f>
        <v>-4.2779726883729943</v>
      </c>
      <c r="D2250" s="3">
        <v>157539123256908</v>
      </c>
      <c r="E2250" s="3">
        <f>[1]!nefin_factors__1[[#This Row],[SMB]]/D2249-1</f>
        <v>10.31266397856448</v>
      </c>
      <c r="F2250" s="3">
        <v>867514103357951</v>
      </c>
      <c r="G2250" s="3">
        <f>[1]!nefin_factors__1[[#This Row],[HML]]/F2249-1</f>
        <v>5.7468944869819101</v>
      </c>
      <c r="H2250" s="3">
        <v>50822969973785</v>
      </c>
      <c r="I2250" s="4">
        <f>[1]!nefin_factors__1[[#This Row],[Risk_Free]]/H2249-1</f>
        <v>0</v>
      </c>
      <c r="J2250">
        <v>108578</v>
      </c>
      <c r="K2250">
        <v>110536</v>
      </c>
      <c r="L2250">
        <v>108578</v>
      </c>
      <c r="M2250">
        <v>110237</v>
      </c>
      <c r="N2250">
        <v>11193900</v>
      </c>
      <c r="O2250">
        <v>110237</v>
      </c>
      <c r="P2250">
        <v>1.7443953224362398E-2</v>
      </c>
      <c r="Q2250">
        <v>1.7293553991318999E-2</v>
      </c>
      <c r="R2250" s="8">
        <v>4.2087721824645996</v>
      </c>
      <c r="S2250" s="8">
        <v>4.3379071811937099E-2</v>
      </c>
      <c r="T2250" s="9">
        <v>4.2464553720443998E-2</v>
      </c>
      <c r="U2250" s="12">
        <v>5.0788E-2</v>
      </c>
      <c r="V2250" s="16">
        <v>5.3148999999999997</v>
      </c>
      <c r="W2250" s="17">
        <f t="shared" si="35"/>
        <v>-1.4481735583163347E-2</v>
      </c>
    </row>
    <row r="2251" spans="1:23" x14ac:dyDescent="0.2">
      <c r="A2251" s="15">
        <v>44844</v>
      </c>
      <c r="B2251" s="5">
        <v>-316448691873387</v>
      </c>
      <c r="C2251" s="5">
        <f>[1]!nefin_factors__1[[#This Row],[Rm_minus_Rf]]/B2250-1</f>
        <v>1.7548839094668178</v>
      </c>
      <c r="D2251" s="5">
        <v>-124166509316529</v>
      </c>
      <c r="E2251" s="5">
        <f>[1]!nefin_factors__1[[#This Row],[SMB]]/D2250-1</f>
        <v>-1.7881630083344033</v>
      </c>
      <c r="F2251" s="5">
        <v>-5035097930.9402905</v>
      </c>
      <c r="G2251" s="5">
        <f>[1]!nefin_factors__1[[#This Row],[HML]]/F2250-1</f>
        <v>-1.0000058040531117</v>
      </c>
      <c r="H2251" s="5">
        <v>50822969973785</v>
      </c>
      <c r="I2251" s="6">
        <f>[1]!nefin_factors__1[[#This Row],[Risk_Free]]/H2250-1</f>
        <v>0</v>
      </c>
      <c r="J2251">
        <v>110237</v>
      </c>
      <c r="K2251">
        <v>111178</v>
      </c>
      <c r="L2251">
        <v>109560</v>
      </c>
      <c r="M2251">
        <v>110031</v>
      </c>
      <c r="N2251">
        <v>13389100</v>
      </c>
      <c r="O2251">
        <v>110031</v>
      </c>
      <c r="P2251">
        <v>-1.8687010713281901E-3</v>
      </c>
      <c r="Q2251">
        <v>-1.8704492714236101E-3</v>
      </c>
      <c r="R2251" s="8">
        <v>4.1350960731506303</v>
      </c>
      <c r="S2251" s="8">
        <v>-1.7505368815382401E-2</v>
      </c>
      <c r="T2251" s="9">
        <v>-1.76603996967882E-2</v>
      </c>
      <c r="U2251" s="12">
        <v>5.0788E-2</v>
      </c>
      <c r="V2251" s="16">
        <v>5.3507999999999996</v>
      </c>
      <c r="W2251" s="17">
        <f t="shared" si="35"/>
        <v>6.7545955709420458E-3</v>
      </c>
    </row>
    <row r="2252" spans="1:23" x14ac:dyDescent="0.2">
      <c r="A2252" s="14">
        <v>44845</v>
      </c>
      <c r="B2252" s="3">
        <v>-945335412227742</v>
      </c>
      <c r="C2252" s="3">
        <f>[1]!nefin_factors__1[[#This Row],[Rm_minus_Rf]]/B2251-1</f>
        <v>1.9873260231582068</v>
      </c>
      <c r="D2252" s="3">
        <v>-471335954545684</v>
      </c>
      <c r="E2252" s="3">
        <f>[1]!nefin_factors__1[[#This Row],[SMB]]/D2251-1</f>
        <v>2.7959990752751227</v>
      </c>
      <c r="F2252" s="3">
        <v>-398832169071985</v>
      </c>
      <c r="G2252" s="3">
        <f>[1]!nefin_factors__1[[#This Row],[HML]]/F2251-1</f>
        <v>79209.409517795459</v>
      </c>
      <c r="H2252" s="3">
        <v>50822969973785</v>
      </c>
      <c r="I2252" s="4">
        <f>[1]!nefin_factors__1[[#This Row],[Risk_Free]]/H2251-1</f>
        <v>0</v>
      </c>
      <c r="J2252">
        <v>109734</v>
      </c>
      <c r="K2252">
        <v>109734</v>
      </c>
      <c r="L2252">
        <v>105981</v>
      </c>
      <c r="M2252">
        <v>106376</v>
      </c>
      <c r="N2252">
        <v>8130500</v>
      </c>
      <c r="O2252">
        <v>106376</v>
      </c>
      <c r="P2252">
        <v>-3.3217911315901898E-2</v>
      </c>
      <c r="Q2252">
        <v>-3.3782156716545102E-2</v>
      </c>
      <c r="R2252" s="8">
        <v>3.9140660762786901</v>
      </c>
      <c r="S2252" s="8">
        <v>-5.3452203518826499E-2</v>
      </c>
      <c r="T2252" s="9">
        <v>-5.4933811476554899E-2</v>
      </c>
      <c r="U2252" s="12">
        <v>5.0788E-2</v>
      </c>
      <c r="V2252" s="16">
        <v>5.3795999999999999</v>
      </c>
      <c r="W2252" s="17">
        <f t="shared" si="35"/>
        <v>5.3823727293116352E-3</v>
      </c>
    </row>
    <row r="2253" spans="1:23" x14ac:dyDescent="0.2">
      <c r="A2253" s="15">
        <v>44847</v>
      </c>
      <c r="B2253" s="5">
        <v>-218409829549638</v>
      </c>
      <c r="C2253" s="5">
        <f>[1]!nefin_factors__1[[#This Row],[Rm_minus_Rf]]/B2252-1</f>
        <v>-0.76896049092782681</v>
      </c>
      <c r="D2253" s="5">
        <v>11154215061095</v>
      </c>
      <c r="E2253" s="5">
        <f>[1]!nefin_factors__1[[#This Row],[SMB]]/D2252-1</f>
        <v>-1.0236651054381083</v>
      </c>
      <c r="F2253" s="5">
        <v>365374753413219</v>
      </c>
      <c r="G2253" s="5">
        <f>[1]!nefin_factors__1[[#This Row],[HML]]/F2252-1</f>
        <v>-1.9161115420137353</v>
      </c>
      <c r="H2253" s="5">
        <v>50822969973785</v>
      </c>
      <c r="I2253" s="6">
        <f>[1]!nefin_factors__1[[#This Row],[Risk_Free]]/H2252-1</f>
        <v>0</v>
      </c>
      <c r="J2253">
        <v>106377</v>
      </c>
      <c r="K2253">
        <v>106684</v>
      </c>
      <c r="L2253">
        <v>103852</v>
      </c>
      <c r="M2253">
        <v>104166</v>
      </c>
      <c r="N2253">
        <v>14466700</v>
      </c>
      <c r="O2253">
        <v>104166</v>
      </c>
      <c r="P2253">
        <v>-2.0775362863803899E-2</v>
      </c>
      <c r="Q2253">
        <v>-2.09942070665383E-2</v>
      </c>
      <c r="R2253" s="8">
        <v>3.6654078960418701</v>
      </c>
      <c r="S2253" s="8">
        <v>-6.3529377223296393E-2</v>
      </c>
      <c r="T2253" s="9">
        <v>-6.5637126755308903E-2</v>
      </c>
      <c r="U2253" s="12">
        <v>5.0788E-2</v>
      </c>
      <c r="V2253" s="16">
        <v>5.3075999999999999</v>
      </c>
      <c r="W2253" s="17">
        <f t="shared" si="35"/>
        <v>-1.3383894713361655E-2</v>
      </c>
    </row>
    <row r="2254" spans="1:23" x14ac:dyDescent="0.2">
      <c r="A2254" s="14">
        <v>44848</v>
      </c>
      <c r="B2254" s="3">
        <v>-182739687157261</v>
      </c>
      <c r="C2254" s="3">
        <f>[1]!nefin_factors__1[[#This Row],[Rm_minus_Rf]]/B2253-1</f>
        <v>-0.163317477358638</v>
      </c>
      <c r="D2254" s="3">
        <v>290483088284643</v>
      </c>
      <c r="E2254" s="3">
        <f>[1]!nefin_factors__1[[#This Row],[SMB]]/D2253-1</f>
        <v>25.042450023921855</v>
      </c>
      <c r="F2254" s="3">
        <v>178118739109751</v>
      </c>
      <c r="G2254" s="3">
        <f>[1]!nefin_factors__1[[#This Row],[HML]]/F2253-1</f>
        <v>-0.5125039772293507</v>
      </c>
      <c r="H2254" s="3">
        <v>50822969973785</v>
      </c>
      <c r="I2254" s="4">
        <f>[1]!nefin_factors__1[[#This Row],[Risk_Free]]/H2253-1</f>
        <v>0</v>
      </c>
      <c r="J2254">
        <v>104167</v>
      </c>
      <c r="K2254">
        <v>105627</v>
      </c>
      <c r="L2254">
        <v>103915</v>
      </c>
      <c r="M2254">
        <v>105334</v>
      </c>
      <c r="N2254">
        <v>14451200</v>
      </c>
      <c r="O2254">
        <v>105334</v>
      </c>
      <c r="P2254">
        <v>1.1212871762379201E-2</v>
      </c>
      <c r="Q2254">
        <v>1.11504735248312E-2</v>
      </c>
      <c r="R2254" s="8">
        <v>3.9140660762786901</v>
      </c>
      <c r="S2254" s="8">
        <v>6.7839156593003699E-2</v>
      </c>
      <c r="T2254" s="9">
        <v>6.5637126755308903E-2</v>
      </c>
      <c r="U2254" s="12">
        <v>5.0788E-2</v>
      </c>
      <c r="V2254" s="16">
        <v>5.2941000000000003</v>
      </c>
      <c r="W2254" s="17">
        <f t="shared" si="35"/>
        <v>-2.5435224960433933E-3</v>
      </c>
    </row>
    <row r="2255" spans="1:23" x14ac:dyDescent="0.2">
      <c r="A2255" s="15">
        <v>44851</v>
      </c>
      <c r="B2255" s="5">
        <v>112433762378259</v>
      </c>
      <c r="C2255" s="5">
        <f>[1]!nefin_factors__1[[#This Row],[Rm_minus_Rf]]/B2254-1</f>
        <v>-1.615267346285328</v>
      </c>
      <c r="D2255" s="5">
        <v>-723087566227772</v>
      </c>
      <c r="E2255" s="5">
        <f>[1]!nefin_factors__1[[#This Row],[SMB]]/D2254-1</f>
        <v>-3.4892587396317611</v>
      </c>
      <c r="F2255" s="5">
        <v>-275158023617409</v>
      </c>
      <c r="G2255" s="5">
        <f>[1]!nefin_factors__1[[#This Row],[HML]]/F2254-1</f>
        <v>-2.5448010972493216</v>
      </c>
      <c r="H2255" s="5">
        <v>50822969973785</v>
      </c>
      <c r="I2255" s="6">
        <f>[1]!nefin_factors__1[[#This Row],[Risk_Free]]/H2254-1</f>
        <v>0</v>
      </c>
      <c r="J2255">
        <v>105336</v>
      </c>
      <c r="K2255">
        <v>107743</v>
      </c>
      <c r="L2255">
        <v>105333</v>
      </c>
      <c r="M2255">
        <v>107518</v>
      </c>
      <c r="N2255">
        <v>15512000</v>
      </c>
      <c r="O2255">
        <v>107518</v>
      </c>
      <c r="P2255">
        <v>2.0734045987050601E-2</v>
      </c>
      <c r="Q2255">
        <v>2.0522021398661099E-2</v>
      </c>
      <c r="R2255" s="8">
        <v>4.0061621665954599</v>
      </c>
      <c r="S2255" s="8">
        <v>2.35295185420921E-2</v>
      </c>
      <c r="T2255" s="9">
        <v>2.3256966486995399E-2</v>
      </c>
      <c r="U2255" s="12">
        <v>5.0788E-2</v>
      </c>
      <c r="V2255" s="16">
        <v>5.1947999999999999</v>
      </c>
      <c r="W2255" s="17">
        <f t="shared" si="35"/>
        <v>-1.8756729189097321E-2</v>
      </c>
    </row>
    <row r="2256" spans="1:23" x14ac:dyDescent="0.2">
      <c r="A2256" s="14">
        <v>44852</v>
      </c>
      <c r="B2256" s="3">
        <v>167221595595896</v>
      </c>
      <c r="C2256" s="3">
        <f>[1]!nefin_factors__1[[#This Row],[Rm_minus_Rf]]/B2255-1</f>
        <v>0.48728986790742823</v>
      </c>
      <c r="D2256" s="3">
        <v>-144790191978433</v>
      </c>
      <c r="E2256" s="3">
        <f>[1]!nefin_factors__1[[#This Row],[SMB]]/D2255-1</f>
        <v>-0.79976119250151201</v>
      </c>
      <c r="F2256" s="3">
        <v>659548898380446</v>
      </c>
      <c r="G2256" s="3">
        <f>[1]!nefin_factors__1[[#This Row],[HML]]/F2255-1</f>
        <v>-3.3969822493619515</v>
      </c>
      <c r="H2256" s="3">
        <v>50822969973785</v>
      </c>
      <c r="I2256" s="4">
        <f>[1]!nefin_factors__1[[#This Row],[Risk_Free]]/H2255-1</f>
        <v>0</v>
      </c>
      <c r="J2256">
        <v>107642</v>
      </c>
      <c r="K2256">
        <v>109433</v>
      </c>
      <c r="L2256">
        <v>107642</v>
      </c>
      <c r="M2256">
        <v>108836</v>
      </c>
      <c r="N2256">
        <v>12626600</v>
      </c>
      <c r="O2256">
        <v>108836</v>
      </c>
      <c r="P2256">
        <v>1.2258412544876101E-2</v>
      </c>
      <c r="Q2256">
        <v>1.2183886633930999E-2</v>
      </c>
      <c r="R2256" s="8">
        <v>4.2548198699951199</v>
      </c>
      <c r="S2256" s="8">
        <v>6.2068806268762197E-2</v>
      </c>
      <c r="T2256" s="9">
        <v>6.02187100512937E-2</v>
      </c>
      <c r="U2256" s="12">
        <v>5.0788E-2</v>
      </c>
      <c r="V2256" s="16">
        <v>5.1974</v>
      </c>
      <c r="W2256" s="17">
        <f t="shared" si="35"/>
        <v>5.0050050050054473E-4</v>
      </c>
    </row>
    <row r="2257" spans="1:23" x14ac:dyDescent="0.2">
      <c r="A2257" s="15">
        <v>44853</v>
      </c>
      <c r="B2257" s="5">
        <v>434761353149541</v>
      </c>
      <c r="C2257" s="5">
        <f>[1]!nefin_factors__1[[#This Row],[Rm_minus_Rf]]/B2256-1</f>
        <v>1.5999115221946312</v>
      </c>
      <c r="D2257" s="5">
        <v>-669076672797773</v>
      </c>
      <c r="E2257" s="5">
        <f>[1]!nefin_factors__1[[#This Row],[SMB]]/D2256-1</f>
        <v>3.6210082579173202</v>
      </c>
      <c r="F2257" s="5">
        <v>168419802311071</v>
      </c>
      <c r="G2257" s="5">
        <f>[1]!nefin_factors__1[[#This Row],[HML]]/F2256-1</f>
        <v>-0.74464394872823847</v>
      </c>
      <c r="H2257" s="5">
        <v>50822969973785</v>
      </c>
      <c r="I2257" s="6">
        <f>[1]!nefin_factors__1[[#This Row],[Risk_Free]]/H2256-1</f>
        <v>0</v>
      </c>
      <c r="J2257">
        <v>108964</v>
      </c>
      <c r="K2257">
        <v>109938</v>
      </c>
      <c r="L2257">
        <v>108134</v>
      </c>
      <c r="M2257">
        <v>109227</v>
      </c>
      <c r="N2257">
        <v>12047300</v>
      </c>
      <c r="O2257">
        <v>109227</v>
      </c>
      <c r="P2257">
        <v>3.5925612848690699E-3</v>
      </c>
      <c r="Q2257">
        <v>3.5861234508445302E-3</v>
      </c>
      <c r="R2257" s="8">
        <v>4.4666399955749503</v>
      </c>
      <c r="S2257" s="8">
        <v>4.97835706450429E-2</v>
      </c>
      <c r="T2257" s="9">
        <v>4.8584019727929403E-2</v>
      </c>
      <c r="U2257" s="12">
        <v>5.0788E-2</v>
      </c>
      <c r="V2257" s="16">
        <v>5.2464000000000004</v>
      </c>
      <c r="W2257" s="17">
        <f t="shared" si="35"/>
        <v>9.4277908184863257E-3</v>
      </c>
    </row>
    <row r="2258" spans="1:23" x14ac:dyDescent="0.2">
      <c r="A2258" s="14">
        <v>44854</v>
      </c>
      <c r="B2258" s="3">
        <v>617018606490224</v>
      </c>
      <c r="C2258" s="3">
        <f>[1]!nefin_factors__1[[#This Row],[Rm_minus_Rf]]/B2257-1</f>
        <v>0.41921217702621694</v>
      </c>
      <c r="D2258" s="3">
        <v>-207355956331706</v>
      </c>
      <c r="E2258" s="3">
        <f>[1]!nefin_factors__1[[#This Row],[SMB]]/D2257-1</f>
        <v>-0.69008640599493909</v>
      </c>
      <c r="F2258" s="3">
        <v>331975715386536</v>
      </c>
      <c r="G2258" s="3">
        <f>[1]!nefin_factors__1[[#This Row],[HML]]/F2257-1</f>
        <v>0.97112044326817104</v>
      </c>
      <c r="H2258" s="3">
        <v>50822969973785</v>
      </c>
      <c r="I2258" s="4">
        <f>[1]!nefin_factors__1[[#This Row],[Risk_Free]]/H2257-1</f>
        <v>0</v>
      </c>
      <c r="J2258">
        <v>109129</v>
      </c>
      <c r="K2258">
        <v>111193</v>
      </c>
      <c r="L2258">
        <v>108478</v>
      </c>
      <c r="M2258">
        <v>110912</v>
      </c>
      <c r="N2258">
        <v>13697900</v>
      </c>
      <c r="O2258">
        <v>110912</v>
      </c>
      <c r="P2258">
        <v>1.54265886639751E-2</v>
      </c>
      <c r="Q2258">
        <v>1.5308808597006399E-2</v>
      </c>
      <c r="R2258" s="8">
        <v>4.6784601211547896</v>
      </c>
      <c r="S2258" s="8">
        <v>4.7422699342163602E-2</v>
      </c>
      <c r="T2258" s="9">
        <v>4.6332574713733497E-2</v>
      </c>
      <c r="U2258" s="12">
        <v>5.0788E-2</v>
      </c>
      <c r="V2258" s="16">
        <v>5.2396000000000003</v>
      </c>
      <c r="W2258" s="17">
        <f t="shared" si="35"/>
        <v>-1.2961268679475557E-3</v>
      </c>
    </row>
    <row r="2259" spans="1:23" x14ac:dyDescent="0.2">
      <c r="A2259" s="15">
        <v>44855</v>
      </c>
      <c r="B2259" s="5">
        <v>213225213054283</v>
      </c>
      <c r="C2259" s="5">
        <f>[1]!nefin_factors__1[[#This Row],[Rm_minus_Rf]]/B2258-1</f>
        <v>-0.65442660754240745</v>
      </c>
      <c r="D2259" s="5">
        <v>-32315461267168</v>
      </c>
      <c r="E2259" s="5">
        <f>[1]!nefin_factors__1[[#This Row],[SMB]]/D2258-1</f>
        <v>-0.84415465155255454</v>
      </c>
      <c r="F2259" s="5">
        <v>-418999119524886</v>
      </c>
      <c r="G2259" s="5">
        <f>[1]!nefin_factors__1[[#This Row],[HML]]/F2258-1</f>
        <v>-2.2621378616114263</v>
      </c>
      <c r="H2259" s="5">
        <v>508578995602749</v>
      </c>
      <c r="I2259" s="6">
        <f>[1]!nefin_factors__1[[#This Row],[Risk_Free]]/H2258-1</f>
        <v>9.0068727952160046</v>
      </c>
      <c r="J2259">
        <v>110816</v>
      </c>
      <c r="K2259">
        <v>111841</v>
      </c>
      <c r="L2259">
        <v>110752</v>
      </c>
      <c r="M2259">
        <v>111763</v>
      </c>
      <c r="N2259">
        <v>14461400</v>
      </c>
      <c r="O2259">
        <v>111763</v>
      </c>
      <c r="P2259">
        <v>7.6727495672244102E-3</v>
      </c>
      <c r="Q2259">
        <v>7.6434637307968897E-3</v>
      </c>
      <c r="R2259" s="8">
        <v>4.6324119567871103</v>
      </c>
      <c r="S2259" s="8">
        <v>-9.8425899067640099E-3</v>
      </c>
      <c r="T2259" s="9">
        <v>-9.8913483984989104E-3</v>
      </c>
      <c r="U2259" s="12">
        <v>5.0788E-2</v>
      </c>
      <c r="V2259" s="16">
        <v>5.2207999999999997</v>
      </c>
      <c r="W2259" s="17">
        <f t="shared" si="35"/>
        <v>-3.5880601572639836E-3</v>
      </c>
    </row>
    <row r="2260" spans="1:23" x14ac:dyDescent="0.2">
      <c r="A2260" s="14">
        <v>44858</v>
      </c>
      <c r="B2260" s="3">
        <v>-301714563473957</v>
      </c>
      <c r="C2260" s="3">
        <f>[1]!nefin_factors__1[[#This Row],[Rm_minus_Rf]]/B2259-1</f>
        <v>-2.4150041599308727</v>
      </c>
      <c r="D2260" s="3">
        <v>639803098081364</v>
      </c>
      <c r="E2260" s="3">
        <f>[1]!nefin_factors__1[[#This Row],[SMB]]/D2259-1</f>
        <v>-20.798668284255434</v>
      </c>
      <c r="F2260" s="3">
        <v>26166776175361</v>
      </c>
      <c r="G2260" s="3">
        <f>[1]!nefin_factors__1[[#This Row],[HML]]/F2259-1</f>
        <v>-1.0624506710301258</v>
      </c>
      <c r="H2260" s="3">
        <v>508578995602749</v>
      </c>
      <c r="I2260" s="4">
        <f>[1]!nefin_factors__1[[#This Row],[Risk_Free]]/H2259-1</f>
        <v>0</v>
      </c>
      <c r="J2260">
        <v>112516</v>
      </c>
      <c r="K2260">
        <v>113129</v>
      </c>
      <c r="L2260">
        <v>110982</v>
      </c>
      <c r="M2260">
        <v>111877</v>
      </c>
      <c r="N2260">
        <v>19839100</v>
      </c>
      <c r="O2260">
        <v>111877</v>
      </c>
      <c r="P2260">
        <v>1.02001556865861E-3</v>
      </c>
      <c r="Q2260">
        <v>1.01949570626025E-3</v>
      </c>
      <c r="R2260" s="8">
        <v>4.50347805023193</v>
      </c>
      <c r="S2260" s="8">
        <v>-2.78329966673776E-2</v>
      </c>
      <c r="T2260" s="9">
        <v>-2.8227675151842501E-2</v>
      </c>
      <c r="U2260" s="12">
        <v>5.0788E-2</v>
      </c>
      <c r="V2260" s="16">
        <v>5.2091000000000003</v>
      </c>
      <c r="W2260" s="17">
        <f t="shared" si="35"/>
        <v>-2.2410358565735367E-3</v>
      </c>
    </row>
    <row r="2261" spans="1:23" x14ac:dyDescent="0.2">
      <c r="A2261" s="15">
        <v>44859</v>
      </c>
      <c r="B2261" s="5">
        <v>-127892891061972</v>
      </c>
      <c r="C2261" s="5">
        <f>[1]!nefin_factors__1[[#This Row],[Rm_minus_Rf]]/B2260-1</f>
        <v>-0.57611296720514027</v>
      </c>
      <c r="D2261" s="5">
        <v>104872464129692</v>
      </c>
      <c r="E2261" s="5">
        <f>[1]!nefin_factors__1[[#This Row],[SMB]]/D2260-1</f>
        <v>-0.83608634524561909</v>
      </c>
      <c r="F2261" s="5">
        <v>174198757776053</v>
      </c>
      <c r="G2261" s="5">
        <f>[1]!nefin_factors__1[[#This Row],[HML]]/F2260-1</f>
        <v>5.6572495063446517</v>
      </c>
      <c r="H2261" s="5">
        <v>50822969973785</v>
      </c>
      <c r="I2261" s="6">
        <f>[1]!nefin_factors__1[[#This Row],[Risk_Free]]/H2260-1</f>
        <v>-0.90006868074928748</v>
      </c>
      <c r="J2261">
        <v>111843</v>
      </c>
      <c r="K2261">
        <v>111847</v>
      </c>
      <c r="L2261">
        <v>110428</v>
      </c>
      <c r="M2261">
        <v>110916</v>
      </c>
      <c r="N2261">
        <v>15939000</v>
      </c>
      <c r="O2261">
        <v>110916</v>
      </c>
      <c r="P2261">
        <v>-8.5897905735763409E-3</v>
      </c>
      <c r="Q2261">
        <v>-8.6268954595572801E-3</v>
      </c>
      <c r="R2261" s="8">
        <v>4.2364010810851997</v>
      </c>
      <c r="S2261" s="8">
        <v>-5.9304601058946901E-2</v>
      </c>
      <c r="T2261" s="9">
        <v>-6.1135891117443802E-2</v>
      </c>
      <c r="U2261" s="12">
        <v>5.0788E-2</v>
      </c>
      <c r="V2261" s="16">
        <v>5.2396000000000003</v>
      </c>
      <c r="W2261" s="17">
        <f t="shared" si="35"/>
        <v>5.8551381236682243E-3</v>
      </c>
    </row>
    <row r="2262" spans="1:23" x14ac:dyDescent="0.2">
      <c r="A2262" s="14">
        <v>44860</v>
      </c>
      <c r="B2262" s="3">
        <v>-173727794146471</v>
      </c>
      <c r="C2262" s="3">
        <f>[1]!nefin_factors__1[[#This Row],[Rm_minus_Rf]]/B2261-1</f>
        <v>0.35838507288328603</v>
      </c>
      <c r="D2262" s="3">
        <v>-130811701623864</v>
      </c>
      <c r="E2262" s="3">
        <f>[1]!nefin_factors__1[[#This Row],[SMB]]/D2261-1</f>
        <v>-2.2473407839649298</v>
      </c>
      <c r="F2262" s="3">
        <v>172836044223724</v>
      </c>
      <c r="G2262" s="3">
        <f>[1]!nefin_factors__1[[#This Row],[HML]]/F2261-1</f>
        <v>-7.8227512625599349E-3</v>
      </c>
      <c r="H2262" s="3">
        <v>50822969973785</v>
      </c>
      <c r="I2262" s="4">
        <f>[1]!nefin_factors__1[[#This Row],[Risk_Free]]/H2261-1</f>
        <v>0</v>
      </c>
      <c r="J2262">
        <v>110908</v>
      </c>
      <c r="K2262">
        <v>110908</v>
      </c>
      <c r="L2262">
        <v>108753</v>
      </c>
      <c r="M2262">
        <v>109213</v>
      </c>
      <c r="N2262">
        <v>12512400</v>
      </c>
      <c r="O2262">
        <v>109213</v>
      </c>
      <c r="P2262">
        <v>-1.53539615564932E-2</v>
      </c>
      <c r="Q2262">
        <v>-1.5473054226394001E-2</v>
      </c>
      <c r="R2262" s="8">
        <v>4.0798377990722701</v>
      </c>
      <c r="S2262" s="8">
        <v>-3.6956671244365302E-2</v>
      </c>
      <c r="T2262" s="9">
        <v>-3.7656874680473199E-2</v>
      </c>
      <c r="U2262" s="12">
        <v>5.0788E-2</v>
      </c>
      <c r="V2262" s="16">
        <v>5.3066000000000004</v>
      </c>
      <c r="W2262" s="17">
        <f t="shared" si="35"/>
        <v>1.278723566684481E-2</v>
      </c>
    </row>
    <row r="2263" spans="1:23" x14ac:dyDescent="0.2">
      <c r="A2263" s="15">
        <v>44861</v>
      </c>
      <c r="B2263" s="5">
        <v>196348277197341</v>
      </c>
      <c r="C2263" s="5">
        <f>[1]!nefin_factors__1[[#This Row],[Rm_minus_Rf]]/B2262-1</f>
        <v>-2.130206471347921</v>
      </c>
      <c r="D2263" s="5">
        <v>-432904999004013</v>
      </c>
      <c r="E2263" s="5">
        <f>[1]!nefin_factors__1[[#This Row],[SMB]]/D2262-1</f>
        <v>2.3093751830305531</v>
      </c>
      <c r="F2263" s="5">
        <v>-841175229493537</v>
      </c>
      <c r="G2263" s="5">
        <f>[1]!nefin_factors__1[[#This Row],[HML]]/F2262-1</f>
        <v>-5.8668970252796075</v>
      </c>
      <c r="H2263" s="5">
        <v>507880373261882</v>
      </c>
      <c r="I2263" s="6">
        <f>[1]!nefin_factors__1[[#This Row],[Risk_Free]]/H2262-1</f>
        <v>8.9931266024762397</v>
      </c>
      <c r="J2263">
        <v>109214</v>
      </c>
      <c r="K2263">
        <v>111577</v>
      </c>
      <c r="L2263">
        <v>109214</v>
      </c>
      <c r="M2263">
        <v>111439</v>
      </c>
      <c r="N2263">
        <v>14363200</v>
      </c>
      <c r="O2263">
        <v>111439</v>
      </c>
      <c r="P2263">
        <v>2.0382188933551801E-2</v>
      </c>
      <c r="Q2263">
        <v>2.0177252148420199E-2</v>
      </c>
      <c r="R2263" s="8">
        <v>3.97853302955627</v>
      </c>
      <c r="S2263" s="8">
        <v>-2.4830587514784799E-2</v>
      </c>
      <c r="T2263" s="9">
        <v>-2.5144066683091399E-2</v>
      </c>
      <c r="U2263" s="12">
        <v>5.0788E-2</v>
      </c>
      <c r="V2263" s="16">
        <v>5.2668999999999997</v>
      </c>
      <c r="W2263" s="17">
        <f t="shared" si="35"/>
        <v>-7.4812497644444198E-3</v>
      </c>
    </row>
    <row r="2264" spans="1:23" x14ac:dyDescent="0.2">
      <c r="A2264" s="14">
        <v>44862</v>
      </c>
      <c r="B2264" s="3">
        <v>185848795724791</v>
      </c>
      <c r="C2264" s="3">
        <f>[1]!nefin_factors__1[[#This Row],[Rm_minus_Rf]]/B2263-1</f>
        <v>-5.3473764182801697E-2</v>
      </c>
      <c r="D2264" s="3">
        <v>65720113201731</v>
      </c>
      <c r="E2264" s="3">
        <f>[1]!nefin_factors__1[[#This Row],[SMB]]/D2263-1</f>
        <v>-1.1518118602301513</v>
      </c>
      <c r="F2264" s="3">
        <v>-285121143199881</v>
      </c>
      <c r="G2264" s="3">
        <f>[1]!nefin_factors__1[[#This Row],[HML]]/F2263-1</f>
        <v>-0.66104429469285542</v>
      </c>
      <c r="H2264" s="3">
        <v>507880373261882</v>
      </c>
      <c r="I2264" s="4">
        <f>[1]!nefin_factors__1[[#This Row],[Risk_Free]]/H2263-1</f>
        <v>0</v>
      </c>
      <c r="J2264">
        <v>111442</v>
      </c>
      <c r="K2264">
        <v>113306</v>
      </c>
      <c r="L2264">
        <v>111441</v>
      </c>
      <c r="M2264">
        <v>112452</v>
      </c>
      <c r="N2264">
        <v>14128600</v>
      </c>
      <c r="O2264">
        <v>112452</v>
      </c>
      <c r="P2264">
        <v>9.0901748938880794E-3</v>
      </c>
      <c r="Q2264">
        <v>9.0491079370197906E-3</v>
      </c>
      <c r="R2264" s="8">
        <v>3.84959888458252</v>
      </c>
      <c r="S2264" s="8">
        <v>-3.2407458733133797E-2</v>
      </c>
      <c r="T2264" s="9">
        <v>-3.2944208764125203E-2</v>
      </c>
      <c r="U2264" s="12">
        <v>5.0788E-2</v>
      </c>
      <c r="V2264" s="16">
        <v>5.3406000000000002</v>
      </c>
      <c r="W2264" s="17">
        <f t="shared" si="35"/>
        <v>1.3993050940781293E-2</v>
      </c>
    </row>
    <row r="2265" spans="1:23" x14ac:dyDescent="0.2">
      <c r="A2265" s="15">
        <v>44865</v>
      </c>
      <c r="B2265" s="5">
        <v>117939613138622</v>
      </c>
      <c r="C2265" s="5">
        <f>[1]!nefin_factors__1[[#This Row],[Rm_minus_Rf]]/B2264-1</f>
        <v>-0.36540017556385151</v>
      </c>
      <c r="D2265" s="5">
        <v>531227780387907</v>
      </c>
      <c r="E2265" s="5">
        <f>[1]!nefin_factors__1[[#This Row],[SMB]]/D2264-1</f>
        <v>7.0831841959443711</v>
      </c>
      <c r="F2265" s="5">
        <v>-13659309861842</v>
      </c>
      <c r="G2265" s="5">
        <f>[1]!nefin_factors__1[[#This Row],[HML]]/F2264-1</f>
        <v>-0.9520929605270757</v>
      </c>
      <c r="H2265" s="5">
        <v>507880373261882</v>
      </c>
      <c r="I2265" s="6">
        <f>[1]!nefin_factors__1[[#This Row],[Risk_Free]]/H2264-1</f>
        <v>0</v>
      </c>
      <c r="J2265">
        <v>112219</v>
      </c>
      <c r="K2265">
        <v>113172</v>
      </c>
      <c r="L2265">
        <v>111307</v>
      </c>
      <c r="M2265">
        <v>113006</v>
      </c>
      <c r="N2265">
        <v>15594300</v>
      </c>
      <c r="O2265">
        <v>113006</v>
      </c>
      <c r="P2265">
        <v>4.9265464375911599E-3</v>
      </c>
      <c r="Q2265">
        <v>4.9144507181723097E-3</v>
      </c>
      <c r="R2265" s="8">
        <v>3.9048559665679901</v>
      </c>
      <c r="S2265" s="8">
        <v>1.43539843090603E-2</v>
      </c>
      <c r="T2265" s="9">
        <v>1.42519412005642E-2</v>
      </c>
      <c r="U2265" s="12">
        <v>5.0788E-2</v>
      </c>
      <c r="V2265" s="16">
        <v>5.3182999999999998</v>
      </c>
      <c r="W2265" s="17">
        <f t="shared" si="35"/>
        <v>-4.1755607984121923E-3</v>
      </c>
    </row>
    <row r="2266" spans="1:23" x14ac:dyDescent="0.2">
      <c r="A2266" s="14">
        <v>44866</v>
      </c>
      <c r="B2266" s="3">
        <v>488625995152967</v>
      </c>
      <c r="C2266" s="3">
        <f>[1]!nefin_factors__1[[#This Row],[Rm_minus_Rf]]/B2265-1</f>
        <v>3.1430184663964731</v>
      </c>
      <c r="D2266" s="3">
        <v>849068169746249</v>
      </c>
      <c r="E2266" s="3">
        <f>[1]!nefin_factors__1[[#This Row],[SMB]]/D2265-1</f>
        <v>0.59831281625793786</v>
      </c>
      <c r="F2266" s="3">
        <v>453316213650735</v>
      </c>
      <c r="G2266" s="3">
        <f>[1]!nefin_factors__1[[#This Row],[HML]]/F2265-1</f>
        <v>-34.187343887490073</v>
      </c>
      <c r="H2266" s="3">
        <v>50822969973785</v>
      </c>
      <c r="I2266" s="4">
        <f>[1]!nefin_factors__1[[#This Row],[Risk_Free]]/H2265-1</f>
        <v>-0.8999312187486741</v>
      </c>
      <c r="J2266">
        <v>112922</v>
      </c>
      <c r="K2266">
        <v>113025</v>
      </c>
      <c r="L2266">
        <v>111735</v>
      </c>
      <c r="M2266">
        <v>112301</v>
      </c>
      <c r="N2266">
        <v>15436600</v>
      </c>
      <c r="O2266">
        <v>112301</v>
      </c>
      <c r="P2266">
        <v>-6.2386067996389504E-3</v>
      </c>
      <c r="Q2266">
        <v>-6.2581482236071196E-3</v>
      </c>
      <c r="R2266" s="8">
        <v>3.8403890132903999</v>
      </c>
      <c r="S2266" s="8">
        <v>-1.65094318022307E-2</v>
      </c>
      <c r="T2266" s="9">
        <v>-1.6647231236863399E-2</v>
      </c>
      <c r="U2266" s="12">
        <v>5.0788E-2</v>
      </c>
      <c r="V2266" s="16">
        <v>5.2805999999999997</v>
      </c>
      <c r="W2266" s="17">
        <f t="shared" si="35"/>
        <v>-7.0887313615253245E-3</v>
      </c>
    </row>
    <row r="2267" spans="1:23" x14ac:dyDescent="0.2">
      <c r="A2267" s="15">
        <v>44868</v>
      </c>
      <c r="B2267" s="5">
        <v>399688390187578</v>
      </c>
      <c r="C2267" s="5">
        <f>[1]!nefin_factors__1[[#This Row],[Rm_minus_Rf]]/B2266-1</f>
        <v>-0.18201570495148667</v>
      </c>
      <c r="D2267" s="5">
        <v>9063165348364</v>
      </c>
      <c r="E2267" s="5">
        <f>[1]!nefin_factors__1[[#This Row],[SMB]]/D2266-1</f>
        <v>-0.9893257506625498</v>
      </c>
      <c r="F2267" s="5">
        <v>-625024156948978</v>
      </c>
      <c r="G2267" s="5">
        <f>[1]!nefin_factors__1[[#This Row],[HML]]/F2266-1</f>
        <v>-2.3787818263004779</v>
      </c>
      <c r="H2267" s="5">
        <v>50822969973785</v>
      </c>
      <c r="I2267" s="6">
        <f>[1]!nefin_factors__1[[#This Row],[Risk_Free]]/H2266-1</f>
        <v>0</v>
      </c>
      <c r="J2267">
        <v>112041</v>
      </c>
      <c r="K2267">
        <v>113061</v>
      </c>
      <c r="L2267">
        <v>111542</v>
      </c>
      <c r="M2267">
        <v>111709</v>
      </c>
      <c r="N2267">
        <v>13701000</v>
      </c>
      <c r="O2267">
        <v>111709</v>
      </c>
      <c r="P2267">
        <v>-5.2715470031433603E-3</v>
      </c>
      <c r="Q2267">
        <v>-5.2854906316293698E-3</v>
      </c>
      <c r="R2267" s="8">
        <v>3.8311800956726101</v>
      </c>
      <c r="S2267" s="8">
        <v>-2.39791270778267E-3</v>
      </c>
      <c r="T2267" s="9">
        <v>-2.4007923047288599E-3</v>
      </c>
      <c r="U2267" s="12">
        <v>5.0788E-2</v>
      </c>
      <c r="V2267" s="16">
        <v>5.3159999999999998</v>
      </c>
      <c r="W2267" s="17">
        <f t="shared" si="35"/>
        <v>6.7037836609475931E-3</v>
      </c>
    </row>
    <row r="2268" spans="1:23" x14ac:dyDescent="0.2">
      <c r="A2268" s="14">
        <v>44869</v>
      </c>
      <c r="B2268" s="3">
        <v>588016643600524</v>
      </c>
      <c r="C2268" s="3">
        <f>[1]!nefin_factors__1[[#This Row],[Rm_minus_Rf]]/B2267-1</f>
        <v>0.47118770030963764</v>
      </c>
      <c r="D2268" s="3">
        <v>-385112446645457</v>
      </c>
      <c r="E2268" s="3">
        <f>[1]!nefin_factors__1[[#This Row],[SMB]]/D2267-1</f>
        <v>-43.492046855900512</v>
      </c>
      <c r="F2268" s="3">
        <v>-927377505484335</v>
      </c>
      <c r="G2268" s="3">
        <f>[1]!nefin_factors__1[[#This Row],[HML]]/F2267-1</f>
        <v>0.48374666030714519</v>
      </c>
      <c r="H2268" s="3">
        <v>50822969973785</v>
      </c>
      <c r="I2268" s="4">
        <f>[1]!nefin_factors__1[[#This Row],[Risk_Free]]/H2267-1</f>
        <v>0</v>
      </c>
      <c r="J2268">
        <v>111746</v>
      </c>
      <c r="K2268">
        <v>113040</v>
      </c>
      <c r="L2268">
        <v>111669</v>
      </c>
      <c r="M2268">
        <v>113028</v>
      </c>
      <c r="N2268">
        <v>11551500</v>
      </c>
      <c r="O2268">
        <v>113028</v>
      </c>
      <c r="P2268">
        <v>1.1807464036022199E-2</v>
      </c>
      <c r="Q2268">
        <v>1.1738299836057699E-2</v>
      </c>
      <c r="R2268" s="8">
        <v>4.1627240180969203</v>
      </c>
      <c r="S2268" s="8">
        <v>8.6538328698982703E-2</v>
      </c>
      <c r="T2268" s="9">
        <v>8.2996797311617104E-2</v>
      </c>
      <c r="U2268" s="12">
        <v>5.0788E-2</v>
      </c>
      <c r="V2268" s="16">
        <v>5.2427000000000001</v>
      </c>
      <c r="W2268" s="17">
        <f t="shared" si="35"/>
        <v>-1.3788562829194828E-2</v>
      </c>
    </row>
    <row r="2269" spans="1:23" x14ac:dyDescent="0.2">
      <c r="A2269" s="15">
        <v>44872</v>
      </c>
      <c r="B2269" s="5">
        <v>-244991334857592</v>
      </c>
      <c r="C2269" s="5">
        <f>[1]!nefin_factors__1[[#This Row],[Rm_minus_Rf]]/B2268-1</f>
        <v>-1.4166401368462451</v>
      </c>
      <c r="D2269" s="5">
        <v>-100286376939642</v>
      </c>
      <c r="E2269" s="5">
        <f>[1]!nefin_factors__1[[#This Row],[SMB]]/D2268-1</f>
        <v>-0.73959196122277548</v>
      </c>
      <c r="F2269" s="5">
        <v>430430848387922</v>
      </c>
      <c r="G2269" s="5">
        <f>[1]!nefin_factors__1[[#This Row],[HML]]/F2268-1</f>
        <v>-1.4641376848612733</v>
      </c>
      <c r="H2269" s="5">
        <v>50822969973785</v>
      </c>
      <c r="I2269" s="6">
        <f>[1]!nefin_factors__1[[#This Row],[Risk_Free]]/H2268-1</f>
        <v>0</v>
      </c>
      <c r="J2269">
        <v>113028</v>
      </c>
      <c r="K2269">
        <v>114386</v>
      </c>
      <c r="L2269">
        <v>111927</v>
      </c>
      <c r="M2269">
        <v>114195</v>
      </c>
      <c r="N2269">
        <v>11413000</v>
      </c>
      <c r="O2269">
        <v>114195</v>
      </c>
      <c r="P2269">
        <v>1.0324875252149901E-2</v>
      </c>
      <c r="Q2269">
        <v>1.0271937797605201E-2</v>
      </c>
      <c r="R2269" s="8">
        <v>4.2916579246520996</v>
      </c>
      <c r="S2269" s="8">
        <v>3.0973445752024799E-2</v>
      </c>
      <c r="T2269" s="9">
        <v>3.0503448885507399E-2</v>
      </c>
      <c r="U2269" s="12">
        <v>5.0788E-2</v>
      </c>
      <c r="V2269" s="16">
        <v>5.2031000000000001</v>
      </c>
      <c r="W2269" s="17">
        <f t="shared" si="35"/>
        <v>-7.553359909970081E-3</v>
      </c>
    </row>
    <row r="2270" spans="1:23" x14ac:dyDescent="0.2">
      <c r="A2270" s="14">
        <v>44873</v>
      </c>
      <c r="B2270" s="3">
        <v>646093530385293</v>
      </c>
      <c r="C2270" s="3">
        <f>[1]!nefin_factors__1[[#This Row],[Rm_minus_Rf]]/B2269-1</f>
        <v>-3.6372097231963441</v>
      </c>
      <c r="D2270" s="3">
        <v>-846501474010787</v>
      </c>
      <c r="E2270" s="3">
        <f>[1]!nefin_factors__1[[#This Row],[SMB]]/D2269-1</f>
        <v>7.4408421147795512</v>
      </c>
      <c r="F2270" s="3">
        <v>436685710442693</v>
      </c>
      <c r="G2270" s="3">
        <f>[1]!nefin_factors__1[[#This Row],[HML]]/F2269-1</f>
        <v>1.4531630523688444E-2</v>
      </c>
      <c r="H2270" s="3">
        <v>50822969973785</v>
      </c>
      <c r="I2270" s="4">
        <f>[1]!nefin_factors__1[[#This Row],[Risk_Free]]/H2269-1</f>
        <v>0</v>
      </c>
      <c r="J2270">
        <v>114271</v>
      </c>
      <c r="K2270">
        <v>114835</v>
      </c>
      <c r="L2270">
        <v>113591</v>
      </c>
      <c r="M2270">
        <v>114109</v>
      </c>
      <c r="N2270">
        <v>10920800</v>
      </c>
      <c r="O2270">
        <v>114109</v>
      </c>
      <c r="P2270">
        <v>-7.5309777135601497E-4</v>
      </c>
      <c r="Q2270">
        <v>-7.5338149193779401E-4</v>
      </c>
      <c r="R2270" s="8">
        <v>4.4758501052856401</v>
      </c>
      <c r="S2270" s="8">
        <v>4.2918653785407802E-2</v>
      </c>
      <c r="T2270" s="9">
        <v>4.2023180441496499E-2</v>
      </c>
      <c r="U2270" s="12">
        <v>5.0788E-2</v>
      </c>
      <c r="V2270" s="16">
        <v>5.1871</v>
      </c>
      <c r="W2270" s="17">
        <f t="shared" si="35"/>
        <v>-3.0750898502815982E-3</v>
      </c>
    </row>
    <row r="2271" spans="1:23" x14ac:dyDescent="0.2">
      <c r="A2271" s="15">
        <v>44874</v>
      </c>
      <c r="B2271" s="5">
        <v>-223153781764925</v>
      </c>
      <c r="C2271" s="5">
        <f>[1]!nefin_factors__1[[#This Row],[Rm_minus_Rf]]/B2270-1</f>
        <v>-1.3453892838577859</v>
      </c>
      <c r="D2271" s="5">
        <v>-422942144184646</v>
      </c>
      <c r="E2271" s="5">
        <f>[1]!nefin_factors__1[[#This Row],[SMB]]/D2270-1</f>
        <v>-0.5003645508368525</v>
      </c>
      <c r="F2271" s="5">
        <v>230458605500393</v>
      </c>
      <c r="G2271" s="5">
        <f>[1]!nefin_factors__1[[#This Row],[HML]]/F2270-1</f>
        <v>-0.47225521699172601</v>
      </c>
      <c r="H2271" s="5">
        <v>50822969973785</v>
      </c>
      <c r="I2271" s="6">
        <f>[1]!nefin_factors__1[[#This Row],[Risk_Free]]/H2270-1</f>
        <v>0</v>
      </c>
      <c r="J2271">
        <v>114178</v>
      </c>
      <c r="K2271">
        <v>114191</v>
      </c>
      <c r="L2271">
        <v>112044</v>
      </c>
      <c r="M2271">
        <v>112502</v>
      </c>
      <c r="N2271">
        <v>10614500</v>
      </c>
      <c r="O2271">
        <v>112502</v>
      </c>
      <c r="P2271">
        <v>-1.40830258787651E-2</v>
      </c>
      <c r="Q2271">
        <v>-1.4183132670118099E-2</v>
      </c>
      <c r="R2271" s="8">
        <v>4.7337179183959996</v>
      </c>
      <c r="S2271" s="8">
        <v>5.7613147680220397E-2</v>
      </c>
      <c r="T2271" s="9">
        <v>5.60146216569807E-2</v>
      </c>
      <c r="U2271" s="12">
        <v>5.0788E-2</v>
      </c>
      <c r="V2271" s="16">
        <v>5.1444999999999999</v>
      </c>
      <c r="W2271" s="17">
        <f t="shared" si="35"/>
        <v>-8.2126814597752729E-3</v>
      </c>
    </row>
    <row r="2272" spans="1:23" x14ac:dyDescent="0.2">
      <c r="A2272" s="14">
        <v>44875</v>
      </c>
      <c r="B2272" s="3">
        <v>-377235579785203</v>
      </c>
      <c r="C2272" s="3">
        <f>[1]!nefin_factors__1[[#This Row],[Rm_minus_Rf]]/B2271-1</f>
        <v>0.69047361331564217</v>
      </c>
      <c r="D2272" s="3">
        <v>-206955887533549</v>
      </c>
      <c r="E2272" s="3">
        <f>[1]!nefin_factors__1[[#This Row],[SMB]]/D2271-1</f>
        <v>-0.51067565533692183</v>
      </c>
      <c r="F2272" s="3">
        <v>796347397327705</v>
      </c>
      <c r="G2272" s="3">
        <f>[1]!nefin_factors__1[[#This Row],[HML]]/F2271-1</f>
        <v>2.4554899592427977</v>
      </c>
      <c r="H2272" s="3">
        <v>509277495520877</v>
      </c>
      <c r="I2272" s="4">
        <f>[1]!nefin_factors__1[[#This Row],[Risk_Free]]/H2271-1</f>
        <v>9.0206165791485127</v>
      </c>
      <c r="J2272">
        <v>112319</v>
      </c>
      <c r="K2272">
        <v>112920</v>
      </c>
      <c r="L2272">
        <v>111824</v>
      </c>
      <c r="M2272">
        <v>111888</v>
      </c>
      <c r="N2272">
        <v>11272700</v>
      </c>
      <c r="O2272">
        <v>111888</v>
      </c>
      <c r="P2272">
        <v>-5.4576807523422097E-3</v>
      </c>
      <c r="Q2272">
        <v>-5.4726283027187999E-3</v>
      </c>
      <c r="R2272" s="8">
        <v>4.0522089004516602</v>
      </c>
      <c r="S2272" s="8">
        <v>-0.14396908089852201</v>
      </c>
      <c r="T2272" s="9">
        <v>-0.15544878304707099</v>
      </c>
      <c r="U2272" s="12">
        <v>5.0788E-2</v>
      </c>
      <c r="V2272" s="16">
        <v>5.1871999999999998</v>
      </c>
      <c r="W2272" s="17">
        <f t="shared" si="35"/>
        <v>8.3001263485276144E-3</v>
      </c>
    </row>
    <row r="2273" spans="1:23" x14ac:dyDescent="0.2">
      <c r="A2273" s="15">
        <v>44876</v>
      </c>
      <c r="B2273" s="5">
        <v>164478962089438</v>
      </c>
      <c r="C2273" s="5">
        <f>[1]!nefin_factors__1[[#This Row],[Rm_minus_Rf]]/B2272-1</f>
        <v>-1.4360112643221297</v>
      </c>
      <c r="D2273" s="5">
        <v>-355752793172506</v>
      </c>
      <c r="E2273" s="5">
        <f>[1]!nefin_factors__1[[#This Row],[SMB]]/D2272-1</f>
        <v>0.71897884816075108</v>
      </c>
      <c r="F2273" s="5">
        <v>371915994916768</v>
      </c>
      <c r="G2273" s="5">
        <f>[1]!nefin_factors__1[[#This Row],[HML]]/F2272-1</f>
        <v>-0.53297267478389099</v>
      </c>
      <c r="H2273" s="5">
        <v>509626699584986</v>
      </c>
      <c r="I2273" s="6">
        <f>[1]!nefin_factors__1[[#This Row],[Risk_Free]]/H2272-1</f>
        <v>6.8568524464618363E-4</v>
      </c>
      <c r="J2273">
        <v>112273</v>
      </c>
      <c r="K2273">
        <v>113581</v>
      </c>
      <c r="L2273">
        <v>112145</v>
      </c>
      <c r="M2273">
        <v>113532</v>
      </c>
      <c r="N2273">
        <v>12900200</v>
      </c>
      <c r="O2273">
        <v>113532</v>
      </c>
      <c r="P2273">
        <v>1.46932646932647E-2</v>
      </c>
      <c r="Q2273">
        <v>1.4586364548796501E-2</v>
      </c>
      <c r="R2273" s="8">
        <v>4.1443052291870099</v>
      </c>
      <c r="S2273" s="8">
        <v>2.2727438539776899E-2</v>
      </c>
      <c r="T2273" s="9">
        <v>2.2473017979827301E-2</v>
      </c>
      <c r="U2273" s="12">
        <v>5.0788E-2</v>
      </c>
      <c r="V2273" s="16">
        <v>5.2831999999999999</v>
      </c>
      <c r="W2273" s="17">
        <f t="shared" si="35"/>
        <v>1.8507094386181366E-2</v>
      </c>
    </row>
    <row r="2274" spans="1:23" x14ac:dyDescent="0.2">
      <c r="A2274" s="14">
        <v>44879</v>
      </c>
      <c r="B2274" s="3">
        <v>675648210729847</v>
      </c>
      <c r="C2274" s="3">
        <f>[1]!nefin_factors__1[[#This Row],[Rm_minus_Rf]]/B2273-1</f>
        <v>3.1078093036752792</v>
      </c>
      <c r="D2274" s="3">
        <v>685602015648007</v>
      </c>
      <c r="E2274" s="3">
        <f>[1]!nefin_factors__1[[#This Row],[SMB]]/D2273-1</f>
        <v>-2.9271865992505526</v>
      </c>
      <c r="F2274" s="3">
        <v>-368265746524324</v>
      </c>
      <c r="G2274" s="3">
        <f>[1]!nefin_factors__1[[#This Row],[HML]]/F2273-1</f>
        <v>-1.9901852879619741</v>
      </c>
      <c r="H2274" s="3">
        <v>509277495520877</v>
      </c>
      <c r="I2274" s="4">
        <f>[1]!nefin_factors__1[[#This Row],[Risk_Free]]/H2273-1</f>
        <v>-6.8521540255517266E-4</v>
      </c>
      <c r="J2274">
        <v>113430</v>
      </c>
      <c r="K2274">
        <v>113598</v>
      </c>
      <c r="L2274">
        <v>110729</v>
      </c>
      <c r="M2274">
        <v>112303</v>
      </c>
      <c r="N2274">
        <v>17821500</v>
      </c>
      <c r="O2274">
        <v>112303</v>
      </c>
      <c r="P2274">
        <v>-1.0825141810238499E-2</v>
      </c>
      <c r="Q2274">
        <v>-1.08841599642228E-2</v>
      </c>
      <c r="R2274" s="8">
        <v>4.1443052291870099</v>
      </c>
      <c r="S2274" s="8">
        <v>0</v>
      </c>
      <c r="T2274" s="9">
        <v>0</v>
      </c>
      <c r="U2274" s="12">
        <v>5.0788E-2</v>
      </c>
      <c r="V2274" s="16">
        <v>5.2736000000000001</v>
      </c>
      <c r="W2274" s="17">
        <f t="shared" si="35"/>
        <v>-1.8170805572380599E-3</v>
      </c>
    </row>
    <row r="2275" spans="1:23" x14ac:dyDescent="0.2">
      <c r="A2275" s="15">
        <v>44881</v>
      </c>
      <c r="B2275" s="5">
        <v>-284959865840409</v>
      </c>
      <c r="C2275" s="5">
        <f>[1]!nefin_factors__1[[#This Row],[Rm_minus_Rf]]/B2274-1</f>
        <v>-1.421757745103166</v>
      </c>
      <c r="D2275" s="5">
        <v>-92407580584095</v>
      </c>
      <c r="E2275" s="5">
        <f>[1]!nefin_factors__1[[#This Row],[SMB]]/D2274-1</f>
        <v>-1.1347831226790583</v>
      </c>
      <c r="F2275" s="5">
        <v>900408441653704</v>
      </c>
      <c r="G2275" s="5">
        <f>[1]!nefin_factors__1[[#This Row],[HML]]/F2274-1</f>
        <v>-3.4449964465924934</v>
      </c>
      <c r="H2275" s="5">
        <v>509626699584986</v>
      </c>
      <c r="I2275" s="6">
        <f>[1]!nefin_factors__1[[#This Row],[Risk_Free]]/H2274-1</f>
        <v>6.8568524464618363E-4</v>
      </c>
      <c r="J2275">
        <v>112072</v>
      </c>
      <c r="K2275">
        <v>112943</v>
      </c>
      <c r="L2275">
        <v>109747</v>
      </c>
      <c r="M2275">
        <v>109935</v>
      </c>
      <c r="N2275">
        <v>15241800</v>
      </c>
      <c r="O2275">
        <v>109935</v>
      </c>
      <c r="P2275">
        <v>-2.1085812489425999E-2</v>
      </c>
      <c r="Q2275">
        <v>-2.1311293500161602E-2</v>
      </c>
      <c r="R2275" s="8">
        <v>4.2548198699951199</v>
      </c>
      <c r="S2275" s="8">
        <v>2.6666626779752199E-2</v>
      </c>
      <c r="T2275" s="9">
        <v>2.6317269466481899E-2</v>
      </c>
      <c r="U2275" s="12">
        <v>5.0788E-2</v>
      </c>
      <c r="V2275" s="16">
        <v>5.2176999999999998</v>
      </c>
      <c r="W2275" s="17">
        <f t="shared" si="35"/>
        <v>-1.0599969660194275E-2</v>
      </c>
    </row>
    <row r="2276" spans="1:23" x14ac:dyDescent="0.2">
      <c r="A2276" s="14">
        <v>44882</v>
      </c>
      <c r="B2276" s="3">
        <v>-610970002628574</v>
      </c>
      <c r="C2276" s="3">
        <f>[1]!nefin_factors__1[[#This Row],[Rm_minus_Rf]]/B2275-1</f>
        <v>1.1440563246571225</v>
      </c>
      <c r="D2276" s="3">
        <v>-241824890399918</v>
      </c>
      <c r="E2276" s="3">
        <f>[1]!nefin_factors__1[[#This Row],[SMB]]/D2275-1</f>
        <v>1.6169377974336925</v>
      </c>
      <c r="F2276" s="3">
        <v>257135573689109</v>
      </c>
      <c r="G2276" s="3">
        <f>[1]!nefin_factors__1[[#This Row],[HML]]/F2275-1</f>
        <v>-0.71442340854018438</v>
      </c>
      <c r="H2276" s="3">
        <v>509626699584986</v>
      </c>
      <c r="I2276" s="4">
        <f>[1]!nefin_factors__1[[#This Row],[Risk_Free]]/H2275-1</f>
        <v>0</v>
      </c>
      <c r="J2276">
        <v>110141</v>
      </c>
      <c r="K2276">
        <v>110570</v>
      </c>
      <c r="L2276">
        <v>108185</v>
      </c>
      <c r="M2276">
        <v>108490</v>
      </c>
      <c r="N2276">
        <v>13235300</v>
      </c>
      <c r="O2276">
        <v>108490</v>
      </c>
      <c r="P2276">
        <v>-1.3144130622640599E-2</v>
      </c>
      <c r="Q2276">
        <v>-1.32312792115639E-2</v>
      </c>
      <c r="R2276" s="8">
        <v>4.0153708457946804</v>
      </c>
      <c r="S2276" s="8">
        <v>-5.6277123713045503E-2</v>
      </c>
      <c r="T2276" s="9">
        <v>-5.7922719190108503E-2</v>
      </c>
      <c r="U2276" s="12">
        <v>5.0788E-2</v>
      </c>
      <c r="V2276" s="16">
        <v>5.2176999999999998</v>
      </c>
      <c r="W2276" s="17">
        <f t="shared" si="35"/>
        <v>0</v>
      </c>
    </row>
    <row r="2277" spans="1:23" x14ac:dyDescent="0.2">
      <c r="A2277" s="15">
        <v>44883</v>
      </c>
      <c r="B2277" s="5">
        <v>-564237618278089</v>
      </c>
      <c r="C2277" s="5">
        <f>[1]!nefin_factors__1[[#This Row],[Rm_minus_Rf]]/B2276-1</f>
        <v>-7.648883603029355E-2</v>
      </c>
      <c r="D2277" s="5">
        <v>-902184542134995</v>
      </c>
      <c r="E2277" s="5">
        <f>[1]!nefin_factors__1[[#This Row],[SMB]]/D2276-1</f>
        <v>2.730734833139</v>
      </c>
      <c r="F2277" s="5">
        <v>296624570510586</v>
      </c>
      <c r="G2277" s="5">
        <f>[1]!nefin_factors__1[[#This Row],[HML]]/F2276-1</f>
        <v>0.1535726708480305</v>
      </c>
      <c r="H2277" s="5">
        <v>509277495520877</v>
      </c>
      <c r="I2277" s="6">
        <f>[1]!nefin_factors__1[[#This Row],[Risk_Free]]/H2276-1</f>
        <v>-6.8521540255517266E-4</v>
      </c>
      <c r="J2277">
        <v>108518</v>
      </c>
      <c r="K2277">
        <v>108710</v>
      </c>
      <c r="L2277">
        <v>107416</v>
      </c>
      <c r="M2277">
        <v>108456</v>
      </c>
      <c r="N2277">
        <v>11514600</v>
      </c>
      <c r="O2277">
        <v>108456</v>
      </c>
      <c r="P2277">
        <v>-3.1339293944143698E-4</v>
      </c>
      <c r="Q2277">
        <v>-3.1344205727107198E-4</v>
      </c>
      <c r="R2277" s="8">
        <v>3.9509038925170898</v>
      </c>
      <c r="S2277" s="8">
        <v>-1.60550434202371E-2</v>
      </c>
      <c r="T2277" s="9">
        <v>-1.61853219296966E-2</v>
      </c>
      <c r="U2277" s="12">
        <v>5.0788E-2</v>
      </c>
      <c r="V2277" s="16">
        <v>5.3436000000000003</v>
      </c>
      <c r="W2277" s="17">
        <f t="shared" si="35"/>
        <v>2.4129405676830862E-2</v>
      </c>
    </row>
    <row r="2278" spans="1:23" x14ac:dyDescent="0.2">
      <c r="A2278" s="14">
        <v>44886</v>
      </c>
      <c r="B2278" s="3">
        <v>953120175848514</v>
      </c>
      <c r="C2278" s="3">
        <f>[1]!nefin_factors__1[[#This Row],[Rm_minus_Rf]]/B2277-1</f>
        <v>-2.6892177071730816</v>
      </c>
      <c r="D2278" s="3">
        <v>194135086686989</v>
      </c>
      <c r="E2278" s="3">
        <f>[1]!nefin_factors__1[[#This Row],[SMB]]/D2277-1</f>
        <v>-1.2151833440058435</v>
      </c>
      <c r="F2278" s="3">
        <v>112185139066356</v>
      </c>
      <c r="G2278" s="3">
        <f>[1]!nefin_factors__1[[#This Row],[HML]]/F2277-1</f>
        <v>-0.62179417951368832</v>
      </c>
      <c r="H2278" s="3">
        <v>509277495520877</v>
      </c>
      <c r="I2278" s="4">
        <f>[1]!nefin_factors__1[[#This Row],[Risk_Free]]/H2277-1</f>
        <v>0</v>
      </c>
      <c r="J2278">
        <v>108727</v>
      </c>
      <c r="K2278">
        <v>109037</v>
      </c>
      <c r="L2278">
        <v>107234</v>
      </c>
      <c r="M2278">
        <v>107920</v>
      </c>
      <c r="N2278">
        <v>12956300</v>
      </c>
      <c r="O2278">
        <v>107920</v>
      </c>
      <c r="P2278">
        <v>-4.94209633399723E-3</v>
      </c>
      <c r="Q2278">
        <v>-4.95434887758784E-3</v>
      </c>
      <c r="R2278" s="8">
        <v>3.8219699859619101</v>
      </c>
      <c r="S2278" s="8">
        <v>-3.2634027570089298E-2</v>
      </c>
      <c r="T2278" s="9">
        <v>-3.3178393462543497E-2</v>
      </c>
      <c r="U2278" s="12">
        <v>5.0788E-2</v>
      </c>
      <c r="V2278" s="16">
        <v>5.3758999999999997</v>
      </c>
      <c r="W2278" s="17">
        <f t="shared" si="35"/>
        <v>6.0446141178229773E-3</v>
      </c>
    </row>
    <row r="2279" spans="1:23" x14ac:dyDescent="0.2">
      <c r="A2279" s="15">
        <v>44887</v>
      </c>
      <c r="B2279" s="5">
        <v>-817289714611903</v>
      </c>
      <c r="C2279" s="5">
        <f>[1]!nefin_factors__1[[#This Row],[Rm_minus_Rf]]/B2278-1</f>
        <v>-1.8574886308374619</v>
      </c>
      <c r="D2279" s="5">
        <v>-881816943477521</v>
      </c>
      <c r="E2279" s="5">
        <f>[1]!nefin_factors__1[[#This Row],[SMB]]/D2278-1</f>
        <v>-5.5422852639683118</v>
      </c>
      <c r="F2279" s="5">
        <v>567011860072396</v>
      </c>
      <c r="G2279" s="5">
        <f>[1]!nefin_factors__1[[#This Row],[HML]]/F2278-1</f>
        <v>4.0542510780952554</v>
      </c>
      <c r="H2279" s="5">
        <v>509277495520877</v>
      </c>
      <c r="I2279" s="6">
        <f>[1]!nefin_factors__1[[#This Row],[Risk_Free]]/H2278-1</f>
        <v>0</v>
      </c>
      <c r="J2279">
        <v>107832</v>
      </c>
      <c r="K2279">
        <v>110175</v>
      </c>
      <c r="L2279">
        <v>107830</v>
      </c>
      <c r="M2279">
        <v>109882</v>
      </c>
      <c r="N2279">
        <v>13837000</v>
      </c>
      <c r="O2279">
        <v>109882</v>
      </c>
      <c r="P2279">
        <v>1.8180133432172101E-2</v>
      </c>
      <c r="Q2279">
        <v>1.8016850836478301E-2</v>
      </c>
      <c r="R2279" s="8">
        <v>3.8680179119110099</v>
      </c>
      <c r="S2279" s="8">
        <v>1.20482175731966E-2</v>
      </c>
      <c r="T2279" s="9">
        <v>1.1976215553564399E-2</v>
      </c>
      <c r="U2279" s="12">
        <v>5.0788E-2</v>
      </c>
      <c r="V2279" s="16">
        <v>5.4459</v>
      </c>
      <c r="W2279" s="17">
        <f t="shared" si="35"/>
        <v>1.3021075540839755E-2</v>
      </c>
    </row>
    <row r="2280" spans="1:23" x14ac:dyDescent="0.2">
      <c r="A2280" s="14">
        <v>44888</v>
      </c>
      <c r="B2280" s="3">
        <v>-245588938433731</v>
      </c>
      <c r="C2280" s="3">
        <f>[1]!nefin_factors__1[[#This Row],[Rm_minus_Rf]]/B2279-1</f>
        <v>-0.69950810093046256</v>
      </c>
      <c r="D2280" s="3">
        <v>-610521906434293</v>
      </c>
      <c r="E2280" s="3">
        <f>[1]!nefin_factors__1[[#This Row],[SMB]]/D2279-1</f>
        <v>-0.3076545977596582</v>
      </c>
      <c r="F2280" s="3">
        <v>639374460398595</v>
      </c>
      <c r="G2280" s="3">
        <f>[1]!nefin_factors__1[[#This Row],[HML]]/F2279-1</f>
        <v>0.12762096425453917</v>
      </c>
      <c r="H2280" s="3">
        <v>509626699584986</v>
      </c>
      <c r="I2280" s="4">
        <f>[1]!nefin_factors__1[[#This Row],[Risk_Free]]/H2279-1</f>
        <v>6.8568524464618363E-4</v>
      </c>
      <c r="J2280">
        <v>109952</v>
      </c>
      <c r="K2280">
        <v>110046</v>
      </c>
      <c r="L2280">
        <v>107781</v>
      </c>
      <c r="M2280">
        <v>107783</v>
      </c>
      <c r="N2280">
        <v>12956000</v>
      </c>
      <c r="O2280">
        <v>107783</v>
      </c>
      <c r="P2280">
        <v>-1.9102309750459599E-2</v>
      </c>
      <c r="Q2280">
        <v>-1.92871161403603E-2</v>
      </c>
      <c r="R2280" s="8">
        <v>3.6193599700927699</v>
      </c>
      <c r="S2280" s="8">
        <v>-6.4285623148882198E-2</v>
      </c>
      <c r="T2280" s="9">
        <v>-6.6445002010016296E-2</v>
      </c>
      <c r="U2280" s="12">
        <v>5.0788E-2</v>
      </c>
      <c r="V2280" s="16">
        <v>5.4025999999999996</v>
      </c>
      <c r="W2280" s="17">
        <f t="shared" si="35"/>
        <v>-7.9509355662058523E-3</v>
      </c>
    </row>
    <row r="2281" spans="1:23" x14ac:dyDescent="0.2">
      <c r="A2281" s="15">
        <v>44889</v>
      </c>
      <c r="B2281" s="5">
        <v>270873043769964</v>
      </c>
      <c r="C2281" s="5">
        <f>[1]!nefin_factors__1[[#This Row],[Rm_minus_Rf]]/B2280-1</f>
        <v>-2.1029529485223764</v>
      </c>
      <c r="D2281" s="5">
        <v>146772976753822</v>
      </c>
      <c r="E2281" s="5">
        <f>[1]!nefin_factors__1[[#This Row],[SMB]]/D2280-1</f>
        <v>-1.2404057499116428</v>
      </c>
      <c r="F2281" s="5">
        <v>-897297736424066</v>
      </c>
      <c r="G2281" s="5">
        <f>[1]!nefin_factors__1[[#This Row],[HML]]/F2280-1</f>
        <v>-2.4033994036369206</v>
      </c>
      <c r="H2281" s="5">
        <v>509626699584986</v>
      </c>
      <c r="I2281" s="6">
        <f>[1]!nefin_factors__1[[#This Row],[Risk_Free]]/H2280-1</f>
        <v>0</v>
      </c>
      <c r="J2281">
        <v>108002</v>
      </c>
      <c r="K2281">
        <v>108647</v>
      </c>
      <c r="L2281">
        <v>107620</v>
      </c>
      <c r="M2281">
        <v>108150</v>
      </c>
      <c r="N2281">
        <v>14458000</v>
      </c>
      <c r="O2281">
        <v>108150</v>
      </c>
      <c r="P2281">
        <v>3.4049896551404698E-3</v>
      </c>
      <c r="Q2281">
        <v>3.39920580344943E-3</v>
      </c>
      <c r="R2281" s="8">
        <v>3.4904260635375999</v>
      </c>
      <c r="S2281" s="8">
        <v>-3.5623399612244401E-2</v>
      </c>
      <c r="T2281" s="9">
        <v>-3.6273396358370701E-2</v>
      </c>
      <c r="U2281" s="12">
        <v>5.0788E-2</v>
      </c>
      <c r="V2281" s="16">
        <v>5.2854999999999999</v>
      </c>
      <c r="W2281" s="17">
        <f t="shared" si="35"/>
        <v>-2.1674749194832033E-2</v>
      </c>
    </row>
    <row r="2282" spans="1:23" x14ac:dyDescent="0.2">
      <c r="A2282" s="14">
        <v>44890</v>
      </c>
      <c r="B2282" s="3">
        <v>-24700918078536</v>
      </c>
      <c r="C2282" s="3">
        <f>[1]!nefin_factors__1[[#This Row],[Rm_minus_Rf]]/B2281-1</f>
        <v>-1.09119001926051</v>
      </c>
      <c r="D2282" s="3">
        <v>-621933876466235</v>
      </c>
      <c r="E2282" s="3">
        <f>[1]!nefin_factors__1[[#This Row],[SMB]]/D2281-1</f>
        <v>-5.2373868148043794</v>
      </c>
      <c r="F2282" s="3">
        <v>112586114759057</v>
      </c>
      <c r="G2282" s="3">
        <f>[1]!nefin_factors__1[[#This Row],[HML]]/F2281-1</f>
        <v>-1.125472415886992</v>
      </c>
      <c r="H2282" s="3">
        <v>509626699584986</v>
      </c>
      <c r="I2282" s="4">
        <f>[1]!nefin_factors__1[[#This Row],[Risk_Free]]/H2281-1</f>
        <v>0</v>
      </c>
      <c r="J2282">
        <v>108074</v>
      </c>
      <c r="K2282">
        <v>109193</v>
      </c>
      <c r="L2282">
        <v>107420</v>
      </c>
      <c r="M2282">
        <v>108846</v>
      </c>
      <c r="N2282">
        <v>9973600</v>
      </c>
      <c r="O2282">
        <v>108846</v>
      </c>
      <c r="P2282">
        <v>6.4355062413314901E-3</v>
      </c>
      <c r="Q2282">
        <v>6.41488678817277E-3</v>
      </c>
      <c r="R2282" s="8">
        <v>3.4259591102600102</v>
      </c>
      <c r="S2282" s="8">
        <v>-1.8469651585242199E-2</v>
      </c>
      <c r="T2282" s="9">
        <v>-1.86423453006959E-2</v>
      </c>
      <c r="U2282" s="12">
        <v>5.0788E-2</v>
      </c>
      <c r="V2282" s="16">
        <v>5.2967000000000004</v>
      </c>
      <c r="W2282" s="17">
        <f t="shared" si="35"/>
        <v>2.1190048245200988E-3</v>
      </c>
    </row>
    <row r="2283" spans="1:23" x14ac:dyDescent="0.2">
      <c r="A2283" s="15">
        <v>44893</v>
      </c>
      <c r="B2283" s="5">
        <v>-433022358300625</v>
      </c>
      <c r="C2283" s="5">
        <f>[1]!nefin_factors__1[[#This Row],[Rm_minus_Rf]]/B2282-1</f>
        <v>16.530617968281195</v>
      </c>
      <c r="D2283" s="5">
        <v>-14189360090118</v>
      </c>
      <c r="E2283" s="5">
        <f>[1]!nefin_factors__1[[#This Row],[SMB]]/D2282-1</f>
        <v>-0.97718509856587887</v>
      </c>
      <c r="F2283" s="5">
        <v>566696720054204</v>
      </c>
      <c r="G2283" s="5">
        <f>[1]!nefin_factors__1[[#This Row],[HML]]/F2282-1</f>
        <v>4.0334512498897297</v>
      </c>
      <c r="H2283" s="5">
        <v>509626699584986</v>
      </c>
      <c r="I2283" s="6">
        <f>[1]!nefin_factors__1[[#This Row],[Risk_Free]]/H2282-1</f>
        <v>0</v>
      </c>
      <c r="J2283">
        <v>108839</v>
      </c>
      <c r="K2283">
        <v>109564</v>
      </c>
      <c r="L2283">
        <v>107557</v>
      </c>
      <c r="M2283">
        <v>107659</v>
      </c>
      <c r="N2283">
        <v>11894600</v>
      </c>
      <c r="O2283">
        <v>107659</v>
      </c>
      <c r="P2283">
        <v>-1.09053157672307E-2</v>
      </c>
      <c r="Q2283">
        <v>-1.0965214598403701E-2</v>
      </c>
      <c r="R2283" s="8">
        <v>3.1957199573516801</v>
      </c>
      <c r="S2283" s="8">
        <v>-6.7204290973236797E-2</v>
      </c>
      <c r="T2283" s="9">
        <v>-6.9569063496443304E-2</v>
      </c>
      <c r="U2283" s="12">
        <v>5.0788E-2</v>
      </c>
      <c r="V2283" s="16">
        <v>5.2394999999999996</v>
      </c>
      <c r="W2283" s="17">
        <f t="shared" si="35"/>
        <v>-1.0799176845960878E-2</v>
      </c>
    </row>
    <row r="2284" spans="1:23" x14ac:dyDescent="0.2">
      <c r="A2284" s="14">
        <v>44894</v>
      </c>
      <c r="B2284" s="3">
        <v>158209340415425</v>
      </c>
      <c r="C2284" s="3">
        <f>[1]!nefin_factors__1[[#This Row],[Rm_minus_Rf]]/B2283-1</f>
        <v>-1.3653606733756423</v>
      </c>
      <c r="D2284" s="3">
        <v>146420418774289</v>
      </c>
      <c r="E2284" s="3">
        <f>[1]!nefin_factors__1[[#This Row],[SMB]]/D2283-1</f>
        <v>-11.319029036148123</v>
      </c>
      <c r="F2284" s="3">
        <v>425136670825291</v>
      </c>
      <c r="G2284" s="3">
        <f>[1]!nefin_factors__1[[#This Row],[HML]]/F2283-1</f>
        <v>-0.24979860341413818</v>
      </c>
      <c r="H2284" s="3">
        <v>509277495520877</v>
      </c>
      <c r="I2284" s="4">
        <f>[1]!nefin_factors__1[[#This Row],[Risk_Free]]/H2283-1</f>
        <v>-6.8521540255517266E-4</v>
      </c>
      <c r="J2284">
        <v>107849</v>
      </c>
      <c r="K2284">
        <v>110210</v>
      </c>
      <c r="L2284">
        <v>107267</v>
      </c>
      <c r="M2284">
        <v>109442</v>
      </c>
      <c r="N2284">
        <v>15499500</v>
      </c>
      <c r="O2284">
        <v>109442</v>
      </c>
      <c r="P2284">
        <v>1.6561550822504299E-2</v>
      </c>
      <c r="Q2284">
        <v>1.64259039722215E-2</v>
      </c>
      <c r="R2284" s="8">
        <v>3.1865100860595699</v>
      </c>
      <c r="S2284" s="8">
        <v>-2.8819394111574402E-3</v>
      </c>
      <c r="T2284" s="9">
        <v>-2.8861001945488201E-3</v>
      </c>
      <c r="U2284" s="12">
        <v>5.0788E-2</v>
      </c>
      <c r="V2284" s="16">
        <v>5.202</v>
      </c>
      <c r="W2284" s="17">
        <f t="shared" si="35"/>
        <v>-7.1571714858287283E-3</v>
      </c>
    </row>
    <row r="2285" spans="1:23" x14ac:dyDescent="0.2">
      <c r="A2285" s="15">
        <v>44895</v>
      </c>
      <c r="B2285" s="5">
        <v>128360329773633</v>
      </c>
      <c r="C2285" s="5">
        <f>[1]!nefin_factors__1[[#This Row],[Rm_minus_Rf]]/B2284-1</f>
        <v>-0.18866781546155664</v>
      </c>
      <c r="D2285" s="5">
        <v>-856102254512028</v>
      </c>
      <c r="E2285" s="5">
        <f>[1]!nefin_factors__1[[#This Row],[SMB]]/D2284-1</f>
        <v>-6.8468775166647529</v>
      </c>
      <c r="F2285" s="5">
        <v>-117730701851934</v>
      </c>
      <c r="G2285" s="5">
        <f>[1]!nefin_factors__1[[#This Row],[HML]]/F2284-1</f>
        <v>-1.2769243632251031</v>
      </c>
      <c r="H2285" s="5">
        <v>508928260861907</v>
      </c>
      <c r="I2285" s="6">
        <f>[1]!nefin_factors__1[[#This Row],[Risk_Free]]/H2284-1</f>
        <v>-6.8574531967646735E-4</v>
      </c>
      <c r="J2285">
        <v>109599</v>
      </c>
      <c r="K2285">
        <v>110437</v>
      </c>
      <c r="L2285">
        <v>108378</v>
      </c>
      <c r="M2285">
        <v>109905</v>
      </c>
      <c r="N2285">
        <v>12995900</v>
      </c>
      <c r="O2285">
        <v>109905</v>
      </c>
      <c r="P2285">
        <v>4.2305513422635803E-3</v>
      </c>
      <c r="Q2285">
        <v>4.2216277189785802E-3</v>
      </c>
      <c r="R2285" s="8">
        <v>3.41674900054932</v>
      </c>
      <c r="S2285" s="8">
        <v>7.2254255681474699E-2</v>
      </c>
      <c r="T2285" s="9">
        <v>6.9763213333509294E-2</v>
      </c>
      <c r="U2285" s="12">
        <v>5.0788E-2</v>
      </c>
      <c r="V2285" s="16">
        <v>5.14</v>
      </c>
      <c r="W2285" s="17">
        <f t="shared" si="35"/>
        <v>-1.1918492887351029E-2</v>
      </c>
    </row>
    <row r="2286" spans="1:23" x14ac:dyDescent="0.2">
      <c r="A2286" s="14">
        <v>44896</v>
      </c>
      <c r="B2286" s="3">
        <v>-1356437370883</v>
      </c>
      <c r="C2286" s="3">
        <f>[1]!nefin_factors__1[[#This Row],[Rm_minus_Rf]]/B2285-1</f>
        <v>-1.0105674188690159</v>
      </c>
      <c r="D2286" s="3">
        <v>104837122335521</v>
      </c>
      <c r="E2286" s="3">
        <f>[1]!nefin_factors__1[[#This Row],[SMB]]/D2285-1</f>
        <v>-1.122458645311333</v>
      </c>
      <c r="F2286" s="3">
        <v>11410194020884</v>
      </c>
      <c r="G2286" s="3">
        <f>[1]!nefin_factors__1[[#This Row],[HML]]/F2285-1</f>
        <v>-1.0969177439818054</v>
      </c>
      <c r="H2286" s="3">
        <v>508578995602749</v>
      </c>
      <c r="I2286" s="4">
        <f>[1]!nefin_factors__1[[#This Row],[Risk_Free]]/H2285-1</f>
        <v>-6.8627601573256758E-4</v>
      </c>
      <c r="J2286">
        <v>109941</v>
      </c>
      <c r="K2286">
        <v>109941</v>
      </c>
      <c r="L2286">
        <v>108968</v>
      </c>
      <c r="M2286">
        <v>109303</v>
      </c>
      <c r="N2286">
        <v>10058400</v>
      </c>
      <c r="O2286">
        <v>109303</v>
      </c>
      <c r="P2286">
        <v>-5.4774578044675098E-3</v>
      </c>
      <c r="Q2286">
        <v>-5.4925140817190903E-3</v>
      </c>
      <c r="R2286" s="8">
        <v>3.38912105560303</v>
      </c>
      <c r="S2286" s="8">
        <v>-8.0860329341860809E-3</v>
      </c>
      <c r="T2286" s="9">
        <v>-8.1189022064175904E-3</v>
      </c>
      <c r="U2286" s="12">
        <v>5.0788E-2</v>
      </c>
      <c r="V2286" s="16">
        <v>5.1146000000000003</v>
      </c>
      <c r="W2286" s="17">
        <f t="shared" si="35"/>
        <v>-4.941634241245052E-3</v>
      </c>
    </row>
    <row r="2287" spans="1:23" x14ac:dyDescent="0.2">
      <c r="A2287" s="15">
        <v>44897</v>
      </c>
      <c r="B2287" s="5">
        <v>961834077709526</v>
      </c>
      <c r="C2287" s="5">
        <f>[1]!nefin_factors__1[[#This Row],[Rm_minus_Rf]]/B2286-1</f>
        <v>-710.08845358883093</v>
      </c>
      <c r="D2287" s="5">
        <v>173037458225484</v>
      </c>
      <c r="E2287" s="5">
        <f>[1]!nefin_factors__1[[#This Row],[SMB]]/D2286-1</f>
        <v>0.65053613043378333</v>
      </c>
      <c r="F2287" s="5">
        <v>-901871499136717</v>
      </c>
      <c r="G2287" s="5">
        <f>[1]!nefin_factors__1[[#This Row],[HML]]/F2286-1</f>
        <v>-80.040855702017666</v>
      </c>
      <c r="H2287" s="5">
        <v>508578995602749</v>
      </c>
      <c r="I2287" s="6">
        <f>[1]!nefin_factors__1[[#This Row],[Risk_Free]]/H2286-1</f>
        <v>0</v>
      </c>
      <c r="J2287">
        <v>109174</v>
      </c>
      <c r="K2287">
        <v>109174</v>
      </c>
      <c r="L2287">
        <v>106720</v>
      </c>
      <c r="M2287">
        <v>107152</v>
      </c>
      <c r="N2287">
        <v>9356400</v>
      </c>
      <c r="O2287">
        <v>107152</v>
      </c>
      <c r="P2287">
        <v>-1.9679240277028099E-2</v>
      </c>
      <c r="Q2287">
        <v>-1.98754550306234E-2</v>
      </c>
      <c r="R2287" s="8">
        <v>3.2786059379577601</v>
      </c>
      <c r="S2287" s="8">
        <v>-3.2608784352083101E-2</v>
      </c>
      <c r="T2287" s="9">
        <v>-3.3152299006698499E-2</v>
      </c>
      <c r="U2287" s="12">
        <v>5.0788E-2</v>
      </c>
      <c r="V2287" s="16">
        <v>5.1115000000000004</v>
      </c>
      <c r="W2287" s="17">
        <f t="shared" si="35"/>
        <v>-6.061080045359768E-4</v>
      </c>
    </row>
    <row r="2288" spans="1:23" x14ac:dyDescent="0.2">
      <c r="A2288" s="14">
        <v>44900</v>
      </c>
      <c r="B2288" s="3">
        <v>-244638469095235</v>
      </c>
      <c r="C2288" s="3">
        <f>[1]!nefin_factors__1[[#This Row],[Rm_minus_Rf]]/B2287-1</f>
        <v>-1.2543458115747026</v>
      </c>
      <c r="D2288" s="3">
        <v>-823983557537514</v>
      </c>
      <c r="E2288" s="3">
        <f>[1]!nefin_factors__1[[#This Row],[SMB]]/D2287-1</f>
        <v>-5.7618796877135487</v>
      </c>
      <c r="F2288" s="3">
        <v>380737495931504</v>
      </c>
      <c r="G2288" s="3">
        <f>[1]!nefin_factors__1[[#This Row],[HML]]/F2287-1</f>
        <v>-1.4221637963900076</v>
      </c>
      <c r="H2288" s="3">
        <v>508578995602749</v>
      </c>
      <c r="I2288" s="4">
        <f>[1]!nefin_factors__1[[#This Row],[Risk_Free]]/H2287-1</f>
        <v>0</v>
      </c>
      <c r="J2288">
        <v>107152</v>
      </c>
      <c r="K2288">
        <v>108663</v>
      </c>
      <c r="L2288">
        <v>106731</v>
      </c>
      <c r="M2288">
        <v>107720</v>
      </c>
      <c r="N2288">
        <v>11459000</v>
      </c>
      <c r="O2288">
        <v>107720</v>
      </c>
      <c r="P2288">
        <v>5.3008809914887297E-3</v>
      </c>
      <c r="Q2288">
        <v>5.2868807757037901E-3</v>
      </c>
      <c r="R2288" s="8">
        <v>3.1957199573516801</v>
      </c>
      <c r="S2288" s="8">
        <v>-2.52808608825092E-2</v>
      </c>
      <c r="T2288" s="9">
        <v>-2.5605911925844299E-2</v>
      </c>
      <c r="U2288" s="12">
        <v>5.0788E-2</v>
      </c>
      <c r="V2288" s="16">
        <v>5.1203000000000003</v>
      </c>
      <c r="W2288" s="17">
        <f t="shared" si="35"/>
        <v>1.7216081385111881E-3</v>
      </c>
    </row>
    <row r="2289" spans="1:23" x14ac:dyDescent="0.2">
      <c r="A2289" s="15">
        <v>44901</v>
      </c>
      <c r="B2289" s="5">
        <v>554612524556095</v>
      </c>
      <c r="C2289" s="5">
        <f>[1]!nefin_factors__1[[#This Row],[Rm_minus_Rf]]/B2288-1</f>
        <v>-3.2670699608579983</v>
      </c>
      <c r="D2289" s="5">
        <v>133958104334595</v>
      </c>
      <c r="E2289" s="5">
        <f>[1]!nefin_factors__1[[#This Row],[SMB]]/D2288-1</f>
        <v>-1.1625737590382637</v>
      </c>
      <c r="F2289" s="5">
        <v>-141873683286873</v>
      </c>
      <c r="G2289" s="5">
        <f>[1]!nefin_factors__1[[#This Row],[HML]]/F2288-1</f>
        <v>-1.3726286084320851</v>
      </c>
      <c r="H2289" s="5">
        <v>508578995602749</v>
      </c>
      <c r="I2289" s="6">
        <f>[1]!nefin_factors__1[[#This Row],[Risk_Free]]/H2288-1</f>
        <v>0</v>
      </c>
      <c r="J2289">
        <v>107582</v>
      </c>
      <c r="K2289">
        <v>107611</v>
      </c>
      <c r="L2289">
        <v>105360</v>
      </c>
      <c r="M2289">
        <v>105873</v>
      </c>
      <c r="N2289">
        <v>10221100</v>
      </c>
      <c r="O2289">
        <v>105873</v>
      </c>
      <c r="P2289">
        <v>-1.7146305235796501E-2</v>
      </c>
      <c r="Q2289">
        <v>-1.72950053503102E-2</v>
      </c>
      <c r="R2289" s="8">
        <v>3.1312530040740998</v>
      </c>
      <c r="S2289" s="8">
        <v>-2.01729044277748E-2</v>
      </c>
      <c r="T2289" s="9">
        <v>-2.0379155973234E-2</v>
      </c>
      <c r="U2289" s="12">
        <v>5.0788E-2</v>
      </c>
      <c r="V2289" s="16">
        <v>5.0909000000000004</v>
      </c>
      <c r="W2289" s="17">
        <f t="shared" si="35"/>
        <v>-5.7418510634141828E-3</v>
      </c>
    </row>
    <row r="2290" spans="1:23" x14ac:dyDescent="0.2">
      <c r="A2290" s="14">
        <v>44902</v>
      </c>
      <c r="B2290" s="3">
        <v>-733936491754584</v>
      </c>
      <c r="C2290" s="3">
        <f>[1]!nefin_factors__1[[#This Row],[Rm_minus_Rf]]/B2289-1</f>
        <v>-2.3233319827063363</v>
      </c>
      <c r="D2290" s="3">
        <v>49054915837791</v>
      </c>
      <c r="E2290" s="3">
        <f>[1]!nefin_factors__1[[#This Row],[SMB]]/D2289-1</f>
        <v>-0.63380404581372951</v>
      </c>
      <c r="F2290" s="3">
        <v>113002462332618</v>
      </c>
      <c r="G2290" s="3">
        <f>[1]!nefin_factors__1[[#This Row],[HML]]/F2289-1</f>
        <v>-1.7965005187334393</v>
      </c>
      <c r="H2290" s="3">
        <v>508578995602749</v>
      </c>
      <c r="I2290" s="4">
        <f>[1]!nefin_factors__1[[#This Row],[Risk_Free]]/H2289-1</f>
        <v>0</v>
      </c>
      <c r="J2290">
        <v>105807</v>
      </c>
      <c r="K2290">
        <v>106402</v>
      </c>
      <c r="L2290">
        <v>105227</v>
      </c>
      <c r="M2290">
        <v>105711</v>
      </c>
      <c r="N2290">
        <v>9570700</v>
      </c>
      <c r="O2290">
        <v>105711</v>
      </c>
      <c r="P2290">
        <v>-1.5301351619393399E-3</v>
      </c>
      <c r="Q2290">
        <v>-1.5313070142937901E-3</v>
      </c>
      <c r="R2290" s="8">
        <v>3.00231909751892</v>
      </c>
      <c r="S2290" s="8">
        <v>-4.1176457599376E-2</v>
      </c>
      <c r="T2290" s="9">
        <v>-4.2048222696836501E-2</v>
      </c>
      <c r="U2290" s="12">
        <v>5.0788E-2</v>
      </c>
      <c r="V2290" s="16">
        <v>5.2144000000000004</v>
      </c>
      <c r="W2290" s="17">
        <f t="shared" si="35"/>
        <v>2.425897189102133E-2</v>
      </c>
    </row>
    <row r="2291" spans="1:23" x14ac:dyDescent="0.2">
      <c r="A2291" s="15">
        <v>44903</v>
      </c>
      <c r="B2291" s="5">
        <v>-202934625719382</v>
      </c>
      <c r="C2291" s="5">
        <f>[1]!nefin_factors__1[[#This Row],[Rm_minus_Rf]]/B2290-1</f>
        <v>-0.72349838439803327</v>
      </c>
      <c r="D2291" s="5">
        <v>-497431255776236</v>
      </c>
      <c r="E2291" s="5">
        <f>[1]!nefin_factors__1[[#This Row],[SMB]]/D2290-1</f>
        <v>-11.140293735720247</v>
      </c>
      <c r="F2291" s="5">
        <v>54651626795852</v>
      </c>
      <c r="G2291" s="5">
        <f>[1]!nefin_factors__1[[#This Row],[HML]]/F2290-1</f>
        <v>-0.51636782360558453</v>
      </c>
      <c r="H2291" s="5">
        <v>50822969973785</v>
      </c>
      <c r="I2291" s="6">
        <f>[1]!nefin_factors__1[[#This Row],[Risk_Free]]/H2290-1</f>
        <v>-0.90006868074928748</v>
      </c>
      <c r="J2291">
        <v>105706</v>
      </c>
      <c r="K2291">
        <v>106794</v>
      </c>
      <c r="L2291">
        <v>104932</v>
      </c>
      <c r="M2291">
        <v>104932</v>
      </c>
      <c r="N2291">
        <v>15672400</v>
      </c>
      <c r="O2291">
        <v>104932</v>
      </c>
      <c r="P2291">
        <v>-7.3691479600042102E-3</v>
      </c>
      <c r="Q2291">
        <v>-7.3964342646887799E-3</v>
      </c>
      <c r="R2291" s="8">
        <v>2.79049897193909</v>
      </c>
      <c r="S2291" s="8">
        <v>-7.0552169406269793E-2</v>
      </c>
      <c r="T2291" s="9">
        <v>-7.3164599706988895E-2</v>
      </c>
      <c r="U2291" s="12">
        <v>5.0788E-2</v>
      </c>
      <c r="V2291" s="16">
        <v>5.1985999999999999</v>
      </c>
      <c r="W2291" s="17">
        <f t="shared" si="35"/>
        <v>-3.0300705737957845E-3</v>
      </c>
    </row>
    <row r="2292" spans="1:23" x14ac:dyDescent="0.2">
      <c r="A2292" s="14">
        <v>44904</v>
      </c>
      <c r="B2292" s="3">
        <v>-12164142189749</v>
      </c>
      <c r="C2292" s="3">
        <f>[1]!nefin_factors__1[[#This Row],[Rm_minus_Rf]]/B2291-1</f>
        <v>-0.94005881378484135</v>
      </c>
      <c r="D2292" s="3">
        <v>-732965738266231</v>
      </c>
      <c r="E2292" s="3">
        <f>[1]!nefin_factors__1[[#This Row],[SMB]]/D2291-1</f>
        <v>0.47350157384550773</v>
      </c>
      <c r="F2292" s="3">
        <v>97418009058644</v>
      </c>
      <c r="G2292" s="3">
        <f>[1]!nefin_factors__1[[#This Row],[HML]]/F2291-1</f>
        <v>0.7825271592105274</v>
      </c>
      <c r="H2292" s="3">
        <v>50822969973785</v>
      </c>
      <c r="I2292" s="4">
        <f>[1]!nefin_factors__1[[#This Row],[Risk_Free]]/H2291-1</f>
        <v>0</v>
      </c>
      <c r="J2292">
        <v>104933</v>
      </c>
      <c r="K2292">
        <v>105497</v>
      </c>
      <c r="L2292">
        <v>103105</v>
      </c>
      <c r="M2292">
        <v>104385</v>
      </c>
      <c r="N2292">
        <v>19853000</v>
      </c>
      <c r="O2292">
        <v>104385</v>
      </c>
      <c r="P2292">
        <v>-5.2128997827164403E-3</v>
      </c>
      <c r="Q2292">
        <v>-5.2265343491824604E-3</v>
      </c>
      <c r="R2292" s="8">
        <v>2.6431460380554199</v>
      </c>
      <c r="S2292" s="8">
        <v>-5.2805227798121399E-2</v>
      </c>
      <c r="T2292" s="9">
        <v>-5.4250534080170401E-2</v>
      </c>
      <c r="U2292" s="12">
        <v>5.0788E-2</v>
      </c>
      <c r="V2292" s="16">
        <v>5.1921999999999997</v>
      </c>
      <c r="W2292" s="17">
        <f t="shared" si="35"/>
        <v>-1.2311006809525571E-3</v>
      </c>
    </row>
    <row r="2293" spans="1:23" x14ac:dyDescent="0.2">
      <c r="A2293" s="15">
        <v>44907</v>
      </c>
      <c r="B2293" s="5">
        <v>-198891454246081</v>
      </c>
      <c r="C2293" s="5">
        <f>[1]!nefin_factors__1[[#This Row],[Rm_minus_Rf]]/B2292-1</f>
        <v>15.350635428587093</v>
      </c>
      <c r="D2293" s="5">
        <v>-157650969276612</v>
      </c>
      <c r="E2293" s="5">
        <f>[1]!nefin_factors__1[[#This Row],[SMB]]/D2292-1</f>
        <v>-0.78491359002738359</v>
      </c>
      <c r="F2293" s="5">
        <v>-759756165145211</v>
      </c>
      <c r="G2293" s="5">
        <f>[1]!nefin_factors__1[[#This Row],[HML]]/F2292-1</f>
        <v>-8.7989292994876394</v>
      </c>
      <c r="H2293" s="5">
        <v>50822969973785</v>
      </c>
      <c r="I2293" s="6">
        <f>[1]!nefin_factors__1[[#This Row],[Risk_Free]]/H2292-1</f>
        <v>0</v>
      </c>
      <c r="J2293">
        <v>104375</v>
      </c>
      <c r="K2293">
        <v>104912</v>
      </c>
      <c r="L2293">
        <v>103321</v>
      </c>
      <c r="M2293">
        <v>103326</v>
      </c>
      <c r="N2293">
        <v>14738800</v>
      </c>
      <c r="O2293">
        <v>103326</v>
      </c>
      <c r="P2293">
        <v>-1.0145135795372901E-2</v>
      </c>
      <c r="Q2293">
        <v>-1.01969484141057E-2</v>
      </c>
      <c r="R2293" s="8">
        <v>2.56946897506714</v>
      </c>
      <c r="S2293" s="8">
        <v>-2.7874760579815E-2</v>
      </c>
      <c r="T2293" s="9">
        <v>-2.8270635681669699E-2</v>
      </c>
      <c r="U2293" s="12">
        <v>5.0788E-2</v>
      </c>
      <c r="V2293" s="16">
        <v>5.1696</v>
      </c>
      <c r="W2293" s="17">
        <f t="shared" si="35"/>
        <v>-4.3526828704595344E-3</v>
      </c>
    </row>
    <row r="2294" spans="1:23" x14ac:dyDescent="0.2">
      <c r="A2294" s="14">
        <v>44908</v>
      </c>
      <c r="B2294" s="3">
        <v>-197813031982503</v>
      </c>
      <c r="C2294" s="3">
        <f>[1]!nefin_factors__1[[#This Row],[Rm_minus_Rf]]/B2293-1</f>
        <v>-5.4221649073152856E-3</v>
      </c>
      <c r="D2294" s="3">
        <v>52619770362988</v>
      </c>
      <c r="E2294" s="3">
        <f>[1]!nefin_factors__1[[#This Row],[SMB]]/D2293-1</f>
        <v>-1.3337738461389486</v>
      </c>
      <c r="F2294" s="3">
        <v>528973079412544</v>
      </c>
      <c r="G2294" s="3">
        <f>[1]!nefin_factors__1[[#This Row],[HML]]/F2293-1</f>
        <v>-1.69624058833592</v>
      </c>
      <c r="H2294" s="3">
        <v>50822969973785</v>
      </c>
      <c r="I2294" s="4">
        <f>[1]!nefin_factors__1[[#This Row],[Risk_Free]]/H2293-1</f>
        <v>0</v>
      </c>
      <c r="J2294">
        <v>103326</v>
      </c>
      <c r="K2294">
        <v>104440</v>
      </c>
      <c r="L2294">
        <v>103323</v>
      </c>
      <c r="M2294">
        <v>103866</v>
      </c>
      <c r="N2294">
        <v>13101500</v>
      </c>
      <c r="O2294">
        <v>103866</v>
      </c>
      <c r="P2294">
        <v>5.2261773416177899E-3</v>
      </c>
      <c r="Q2294">
        <v>5.2125682718300497E-3</v>
      </c>
      <c r="R2294" s="8">
        <v>2.5786790847778298</v>
      </c>
      <c r="S2294" s="8">
        <v>3.5844409098002598E-3</v>
      </c>
      <c r="T2294" s="9">
        <v>3.5780321115555999E-3</v>
      </c>
      <c r="U2294" s="12">
        <v>5.0788E-2</v>
      </c>
      <c r="V2294" s="16">
        <v>5.1041999999999996</v>
      </c>
      <c r="W2294" s="17">
        <f t="shared" si="35"/>
        <v>-1.2650882079851544E-2</v>
      </c>
    </row>
    <row r="2295" spans="1:23" x14ac:dyDescent="0.2">
      <c r="A2295" s="15">
        <v>44909</v>
      </c>
      <c r="B2295" s="5">
        <v>413255020017633</v>
      </c>
      <c r="C2295" s="5">
        <f>[1]!nefin_factors__1[[#This Row],[Rm_minus_Rf]]/B2294-1</f>
        <v>-3.0891192853976697</v>
      </c>
      <c r="D2295" s="5">
        <v>-235750370263701</v>
      </c>
      <c r="E2295" s="5">
        <f>[1]!nefin_factors__1[[#This Row],[SMB]]/D2294-1</f>
        <v>-5.4802622405498838</v>
      </c>
      <c r="F2295" s="5">
        <v>846273004091648</v>
      </c>
      <c r="G2295" s="5">
        <f>[1]!nefin_factors__1[[#This Row],[HML]]/F2294-1</f>
        <v>0.59984134737345118</v>
      </c>
      <c r="H2295" s="5">
        <v>50822969973785</v>
      </c>
      <c r="I2295" s="6">
        <f>[1]!nefin_factors__1[[#This Row],[Risk_Free]]/H2294-1</f>
        <v>0</v>
      </c>
      <c r="J2295">
        <v>103865</v>
      </c>
      <c r="K2295">
        <v>105171</v>
      </c>
      <c r="L2295">
        <v>103170</v>
      </c>
      <c r="M2295">
        <v>104700</v>
      </c>
      <c r="N2295">
        <v>14277800</v>
      </c>
      <c r="O2295">
        <v>104700</v>
      </c>
      <c r="P2295">
        <v>8.0295765698110699E-3</v>
      </c>
      <c r="Q2295">
        <v>7.9975110538436801E-3</v>
      </c>
      <c r="R2295" s="8">
        <v>3.0759949684143102</v>
      </c>
      <c r="S2295" s="8">
        <v>0.192856833784465</v>
      </c>
      <c r="T2295" s="9">
        <v>0.17635113070457301</v>
      </c>
      <c r="U2295" s="12">
        <v>5.0788E-2</v>
      </c>
      <c r="V2295" s="16">
        <v>5.0951000000000004</v>
      </c>
      <c r="W2295" s="17">
        <f t="shared" si="35"/>
        <v>-1.7828454997843579E-3</v>
      </c>
    </row>
    <row r="2296" spans="1:23" x14ac:dyDescent="0.2">
      <c r="A2296" s="14">
        <v>44910</v>
      </c>
      <c r="B2296" s="3">
        <v>501067974393375</v>
      </c>
      <c r="C2296" s="3">
        <f>[1]!nefin_factors__1[[#This Row],[Rm_minus_Rf]]/B2295-1</f>
        <v>0.21249095624293957</v>
      </c>
      <c r="D2296" s="3">
        <v>522269767698306</v>
      </c>
      <c r="E2296" s="3">
        <f>[1]!nefin_factors__1[[#This Row],[SMB]]/D2295-1</f>
        <v>-3.2153507844510099</v>
      </c>
      <c r="F2296" s="3">
        <v>-150020009233031</v>
      </c>
      <c r="G2296" s="3">
        <f>[1]!nefin_factors__1[[#This Row],[HML]]/F2295-1</f>
        <v>-1.1772714106531803</v>
      </c>
      <c r="H2296" s="3">
        <v>508578995602749</v>
      </c>
      <c r="I2296" s="4">
        <f>[1]!nefin_factors__1[[#This Row],[Risk_Free]]/H2295-1</f>
        <v>9.0068727952160046</v>
      </c>
      <c r="J2296">
        <v>104700</v>
      </c>
      <c r="K2296">
        <v>105179</v>
      </c>
      <c r="L2296">
        <v>103480</v>
      </c>
      <c r="M2296">
        <v>104228</v>
      </c>
      <c r="N2296">
        <v>12578200</v>
      </c>
      <c r="O2296">
        <v>104228</v>
      </c>
      <c r="P2296">
        <v>-4.5081184336198702E-3</v>
      </c>
      <c r="Q2296">
        <v>-4.5183106428519099E-3</v>
      </c>
      <c r="R2296" s="8">
        <v>3.37991094589233</v>
      </c>
      <c r="S2296" s="8">
        <v>9.8802494997154697E-2</v>
      </c>
      <c r="T2296" s="9">
        <v>9.4220945892714902E-2</v>
      </c>
      <c r="U2296" s="12">
        <v>5.0788E-2</v>
      </c>
      <c r="V2296" s="16">
        <v>5.0766999999999998</v>
      </c>
      <c r="W2296" s="17">
        <f t="shared" si="35"/>
        <v>-3.6113128299740671E-3</v>
      </c>
    </row>
    <row r="2297" spans="1:23" x14ac:dyDescent="0.2">
      <c r="A2297" s="15">
        <v>44911</v>
      </c>
      <c r="B2297" s="5">
        <v>-773740467875446</v>
      </c>
      <c r="C2297" s="5">
        <f>[1]!nefin_factors__1[[#This Row],[Rm_minus_Rf]]/B2296-1</f>
        <v>-2.5441826407129406</v>
      </c>
      <c r="D2297" s="5">
        <v>-113256518165761</v>
      </c>
      <c r="E2297" s="5">
        <f>[1]!nefin_factors__1[[#This Row],[SMB]]/D2296-1</f>
        <v>-1.2168544403113617</v>
      </c>
      <c r="F2297" s="5">
        <v>118116190639421</v>
      </c>
      <c r="G2297" s="5">
        <f>[1]!nefin_factors__1[[#This Row],[HML]]/F2296-1</f>
        <v>-1.7873362443002336</v>
      </c>
      <c r="H2297" s="5">
        <v>50822969973785</v>
      </c>
      <c r="I2297" s="6">
        <f>[1]!nefin_factors__1[[#This Row],[Risk_Free]]/H2296-1</f>
        <v>-0.90006868074928748</v>
      </c>
      <c r="J2297">
        <v>104228</v>
      </c>
      <c r="K2297">
        <v>106721</v>
      </c>
      <c r="L2297">
        <v>104228</v>
      </c>
      <c r="M2297">
        <v>106540</v>
      </c>
      <c r="N2297">
        <v>15904100</v>
      </c>
      <c r="O2297">
        <v>106540</v>
      </c>
      <c r="P2297">
        <v>2.2182139156464699E-2</v>
      </c>
      <c r="Q2297">
        <v>2.1939694255213901E-2</v>
      </c>
      <c r="R2297" s="8">
        <v>3.4996349811553999</v>
      </c>
      <c r="S2297" s="8">
        <v>3.54222454909838E-2</v>
      </c>
      <c r="T2297" s="9">
        <v>3.4809310179517397E-2</v>
      </c>
      <c r="U2297" s="12">
        <v>5.0788E-2</v>
      </c>
      <c r="V2297" s="16">
        <v>5.0959000000000003</v>
      </c>
      <c r="W2297" s="17">
        <f t="shared" si="35"/>
        <v>3.781984359918944E-3</v>
      </c>
    </row>
    <row r="2298" spans="1:23" x14ac:dyDescent="0.2">
      <c r="A2298" s="14">
        <v>44914</v>
      </c>
      <c r="B2298" s="3">
        <v>181553650984053</v>
      </c>
      <c r="C2298" s="3">
        <f>[1]!nefin_factors__1[[#This Row],[Rm_minus_Rf]]/B2297-1</f>
        <v>-1.2346441197299232</v>
      </c>
      <c r="D2298" s="3">
        <v>11313503557844</v>
      </c>
      <c r="E2298" s="3">
        <f>[1]!nefin_factors__1[[#This Row],[SMB]]/D2297-1</f>
        <v>-1.0998927367808153</v>
      </c>
      <c r="F2298" s="3">
        <v>-274728882467018</v>
      </c>
      <c r="G2298" s="3">
        <f>[1]!nefin_factors__1[[#This Row],[HML]]/F2297-1</f>
        <v>-3.3259206124052554</v>
      </c>
      <c r="H2298" s="3">
        <v>50822969973785</v>
      </c>
      <c r="I2298" s="4">
        <f>[1]!nefin_factors__1[[#This Row],[Risk_Free]]/H2297-1</f>
        <v>0</v>
      </c>
      <c r="J2298">
        <v>106540</v>
      </c>
      <c r="K2298">
        <v>106724</v>
      </c>
      <c r="L2298">
        <v>105053</v>
      </c>
      <c r="M2298">
        <v>105071</v>
      </c>
      <c r="N2298">
        <v>19174300</v>
      </c>
      <c r="O2298">
        <v>105071</v>
      </c>
      <c r="P2298">
        <v>-1.3788248545147401E-2</v>
      </c>
      <c r="Q2298">
        <v>-1.3884189368912499E-2</v>
      </c>
      <c r="R2298" s="8">
        <v>3.8403890132903999</v>
      </c>
      <c r="S2298" s="8">
        <v>9.7368449558276698E-2</v>
      </c>
      <c r="T2298" s="9">
        <v>9.2914995054736896E-2</v>
      </c>
      <c r="U2298" s="12">
        <v>5.0788E-2</v>
      </c>
      <c r="V2298" s="16">
        <v>5.0993000000000004</v>
      </c>
      <c r="W2298" s="17">
        <f t="shared" si="35"/>
        <v>6.6720304558565147E-4</v>
      </c>
    </row>
    <row r="2299" spans="1:23" x14ac:dyDescent="0.2">
      <c r="A2299" s="15">
        <v>44915</v>
      </c>
      <c r="B2299" s="5">
        <v>217894994202296</v>
      </c>
      <c r="C2299" s="5">
        <f>[1]!nefin_factors__1[[#This Row],[Rm_minus_Rf]]/B2298-1</f>
        <v>0.20016861694196986</v>
      </c>
      <c r="D2299" s="5">
        <v>105391316467158</v>
      </c>
      <c r="E2299" s="5">
        <f>[1]!nefin_factors__1[[#This Row],[SMB]]/D2298-1</f>
        <v>8.3155330643871999</v>
      </c>
      <c r="F2299" s="5">
        <v>598241374407379</v>
      </c>
      <c r="G2299" s="5">
        <f>[1]!nefin_factors__1[[#This Row],[HML]]/F2298-1</f>
        <v>-3.1775700066016888</v>
      </c>
      <c r="H2299" s="5">
        <v>50822969973785</v>
      </c>
      <c r="I2299" s="6">
        <f>[1]!nefin_factors__1[[#This Row],[Risk_Free]]/H2298-1</f>
        <v>0</v>
      </c>
      <c r="J2299">
        <v>105071</v>
      </c>
      <c r="K2299">
        <v>105071</v>
      </c>
      <c r="L2299">
        <v>103201</v>
      </c>
      <c r="M2299">
        <v>103618</v>
      </c>
      <c r="N2299">
        <v>17952200</v>
      </c>
      <c r="O2299">
        <v>103618</v>
      </c>
      <c r="P2299">
        <v>-1.38287443728526E-2</v>
      </c>
      <c r="Q2299">
        <v>-1.39252522127573E-2</v>
      </c>
      <c r="R2299" s="8">
        <v>3.1588809490203902</v>
      </c>
      <c r="S2299" s="8">
        <v>-0.17745808091616</v>
      </c>
      <c r="T2299" s="9">
        <v>-0.19535583218982699</v>
      </c>
      <c r="U2299" s="12">
        <v>5.0788E-2</v>
      </c>
      <c r="V2299" s="16">
        <v>5.0720999999999998</v>
      </c>
      <c r="W2299" s="17">
        <f t="shared" si="35"/>
        <v>-5.334065459965176E-3</v>
      </c>
    </row>
    <row r="2300" spans="1:23" x14ac:dyDescent="0.2">
      <c r="A2300" s="14">
        <v>44916</v>
      </c>
      <c r="B2300" s="3">
        <v>385853590613829</v>
      </c>
      <c r="C2300" s="3">
        <f>[1]!nefin_factors__1[[#This Row],[Rm_minus_Rf]]/B2299-1</f>
        <v>0.77082356584841261</v>
      </c>
      <c r="D2300" s="3">
        <v>184148100117099</v>
      </c>
      <c r="E2300" s="3">
        <f>[1]!nefin_factors__1[[#This Row],[SMB]]/D2299-1</f>
        <v>0.74727962691768024</v>
      </c>
      <c r="F2300" s="3">
        <v>134933523442643</v>
      </c>
      <c r="G2300" s="3">
        <f>[1]!nefin_factors__1[[#This Row],[HML]]/F2299-1</f>
        <v>-0.77444969670259123</v>
      </c>
      <c r="H2300" s="3">
        <v>50822969973785</v>
      </c>
      <c r="I2300" s="4">
        <f>[1]!nefin_factors__1[[#This Row],[Risk_Free]]/H2299-1</f>
        <v>0</v>
      </c>
      <c r="J2300">
        <v>103608</v>
      </c>
      <c r="K2300">
        <v>103907</v>
      </c>
      <c r="L2300">
        <v>102255</v>
      </c>
      <c r="M2300">
        <v>103121</v>
      </c>
      <c r="N2300">
        <v>12993800</v>
      </c>
      <c r="O2300">
        <v>103121</v>
      </c>
      <c r="P2300">
        <v>-4.7964639348375701E-3</v>
      </c>
      <c r="Q2300">
        <v>-4.8080038833952701E-3</v>
      </c>
      <c r="R2300" s="8">
        <v>3.2693960666656499</v>
      </c>
      <c r="S2300" s="8">
        <v>3.4985527922328299E-2</v>
      </c>
      <c r="T2300" s="9">
        <v>3.4387443935832998E-2</v>
      </c>
      <c r="U2300" s="12">
        <v>5.0788E-2</v>
      </c>
      <c r="V2300" s="16">
        <v>4.9901</v>
      </c>
      <c r="W2300" s="17">
        <f t="shared" si="35"/>
        <v>-1.6166873681512595E-2</v>
      </c>
    </row>
    <row r="2301" spans="1:23" x14ac:dyDescent="0.2">
      <c r="A2301" s="15">
        <v>44917</v>
      </c>
      <c r="B2301" s="5">
        <v>344949532604608</v>
      </c>
      <c r="C2301" s="5">
        <f>[1]!nefin_factors__1[[#This Row],[Rm_minus_Rf]]/B2300-1</f>
        <v>-0.1060092714030455</v>
      </c>
      <c r="D2301" s="5">
        <v>-676061415168529</v>
      </c>
      <c r="E2301" s="5">
        <f>[1]!nefin_factors__1[[#This Row],[SMB]]/D2300-1</f>
        <v>-4.6712918283632821</v>
      </c>
      <c r="F2301" s="5">
        <v>774120750883317</v>
      </c>
      <c r="G2301" s="5">
        <f>[1]!nefin_factors__1[[#This Row],[HML]]/F2300-1</f>
        <v>4.7370528178075562</v>
      </c>
      <c r="H2301" s="5">
        <v>50822969973785</v>
      </c>
      <c r="I2301" s="6">
        <f>[1]!nefin_factors__1[[#This Row],[Risk_Free]]/H2300-1</f>
        <v>0</v>
      </c>
      <c r="J2301">
        <v>103121</v>
      </c>
      <c r="K2301">
        <v>104153</v>
      </c>
      <c r="L2301">
        <v>102482</v>
      </c>
      <c r="M2301">
        <v>102932</v>
      </c>
      <c r="N2301">
        <v>13133800</v>
      </c>
      <c r="O2301">
        <v>102932</v>
      </c>
      <c r="P2301">
        <v>-1.83279836308803E-3</v>
      </c>
      <c r="Q2301">
        <v>-1.83447999304779E-3</v>
      </c>
      <c r="R2301" s="8">
        <v>3.0115280151367201</v>
      </c>
      <c r="S2301" s="8">
        <v>-7.8873298392360902E-2</v>
      </c>
      <c r="T2301" s="9">
        <v>-8.2157682582103694E-2</v>
      </c>
      <c r="U2301" s="12">
        <v>5.0788E-2</v>
      </c>
      <c r="V2301" s="16">
        <v>5.1029999999999998</v>
      </c>
      <c r="W2301" s="17">
        <f t="shared" si="35"/>
        <v>2.262479709825449E-2</v>
      </c>
    </row>
    <row r="2302" spans="1:23" x14ac:dyDescent="0.2">
      <c r="A2302" s="14">
        <v>44918</v>
      </c>
      <c r="B2302" s="3">
        <v>183421393471184</v>
      </c>
      <c r="C2302" s="3">
        <f>[1]!nefin_factors__1[[#This Row],[Rm_minus_Rf]]/B2301-1</f>
        <v>-0.46826600376517291</v>
      </c>
      <c r="D2302" s="3">
        <v>151818667267427</v>
      </c>
      <c r="E2302" s="3">
        <f>[1]!nefin_factors__1[[#This Row],[SMB]]/D2301-1</f>
        <v>-1.2245634255426063</v>
      </c>
      <c r="F2302" s="3">
        <v>-853269086877342</v>
      </c>
      <c r="G2302" s="3">
        <f>[1]!nefin_factors__1[[#This Row],[HML]]/F2301-1</f>
        <v>-2.1022428812348877</v>
      </c>
      <c r="H2302" s="3">
        <v>50822969973785</v>
      </c>
      <c r="I2302" s="4">
        <f>[1]!nefin_factors__1[[#This Row],[Risk_Free]]/H2301-1</f>
        <v>0</v>
      </c>
      <c r="J2302">
        <v>102930</v>
      </c>
      <c r="K2302">
        <v>103048</v>
      </c>
      <c r="L2302">
        <v>100692</v>
      </c>
      <c r="M2302">
        <v>102675</v>
      </c>
      <c r="N2302">
        <v>15246500</v>
      </c>
      <c r="O2302">
        <v>102675</v>
      </c>
      <c r="P2302">
        <v>-2.4967939999223101E-3</v>
      </c>
      <c r="Q2302">
        <v>-2.4999161881179201E-3</v>
      </c>
      <c r="R2302" s="8">
        <v>2.8273370265960698</v>
      </c>
      <c r="S2302" s="8">
        <v>-6.1161970805138702E-2</v>
      </c>
      <c r="T2302" s="9">
        <v>-6.3112307522702596E-2</v>
      </c>
      <c r="U2302" s="12">
        <v>5.0788E-2</v>
      </c>
      <c r="V2302" s="16">
        <v>5.1763000000000003</v>
      </c>
      <c r="W2302" s="17">
        <f t="shared" si="35"/>
        <v>1.4364099549284859E-2</v>
      </c>
    </row>
    <row r="2303" spans="1:23" x14ac:dyDescent="0.2">
      <c r="A2303" s="15">
        <v>44921</v>
      </c>
      <c r="B2303" s="5">
        <v>-946298459723399</v>
      </c>
      <c r="C2303" s="5">
        <f>[1]!nefin_factors__1[[#This Row],[Rm_minus_Rf]]/B2302-1</f>
        <v>-6.1591498778579776</v>
      </c>
      <c r="D2303" s="5">
        <v>797689587087718</v>
      </c>
      <c r="E2303" s="5">
        <f>[1]!nefin_factors__1[[#This Row],[SMB]]/D2302-1</f>
        <v>4.2542259884457829</v>
      </c>
      <c r="F2303" s="5">
        <v>242974282014512</v>
      </c>
      <c r="G2303" s="5">
        <f>[1]!nefin_factors__1[[#This Row],[HML]]/F2302-1</f>
        <v>-1.2847569257474338</v>
      </c>
      <c r="H2303" s="5">
        <v>508578995602749</v>
      </c>
      <c r="I2303" s="6">
        <f>[1]!nefin_factors__1[[#This Row],[Risk_Free]]/H2302-1</f>
        <v>9.0068727952160046</v>
      </c>
      <c r="J2303">
        <v>102683</v>
      </c>
      <c r="K2303">
        <v>103911</v>
      </c>
      <c r="L2303">
        <v>102455</v>
      </c>
      <c r="M2303">
        <v>103435</v>
      </c>
      <c r="N2303">
        <v>14385800</v>
      </c>
      <c r="O2303">
        <v>103435</v>
      </c>
      <c r="P2303">
        <v>7.4019965911857897E-3</v>
      </c>
      <c r="Q2303">
        <v>7.3747362523903003E-3</v>
      </c>
      <c r="R2303" s="8">
        <v>3.0575759410858199</v>
      </c>
      <c r="S2303" s="8">
        <v>8.1433133837227403E-2</v>
      </c>
      <c r="T2303" s="9">
        <v>7.8287137257085498E-2</v>
      </c>
      <c r="U2303" s="12">
        <v>5.0788E-2</v>
      </c>
      <c r="V2303" s="16">
        <v>5.1695000000000002</v>
      </c>
      <c r="W2303" s="17">
        <f t="shared" si="35"/>
        <v>-1.31367965535234E-3</v>
      </c>
    </row>
    <row r="2304" spans="1:23" x14ac:dyDescent="0.2">
      <c r="A2304" s="14">
        <v>44922</v>
      </c>
      <c r="B2304" s="3">
        <v>-426905675649143</v>
      </c>
      <c r="C2304" s="3">
        <f>[1]!nefin_factors__1[[#This Row],[Rm_minus_Rf]]/B2303-1</f>
        <v>-0.54886783206439271</v>
      </c>
      <c r="D2304" s="3">
        <v>-210627910517855</v>
      </c>
      <c r="E2304" s="3">
        <f>[1]!nefin_factors__1[[#This Row],[SMB]]/D2303-1</f>
        <v>-1.264047461477886</v>
      </c>
      <c r="F2304" s="3">
        <v>100309509537306</v>
      </c>
      <c r="G2304" s="3">
        <f>[1]!nefin_factors__1[[#This Row],[HML]]/F2303-1</f>
        <v>-0.58715997139435983</v>
      </c>
      <c r="H2304" s="3">
        <v>50822969973785</v>
      </c>
      <c r="I2304" s="4">
        <f>[1]!nefin_factors__1[[#This Row],[Risk_Free]]/H2303-1</f>
        <v>-0.90006868074928748</v>
      </c>
      <c r="J2304">
        <v>103434</v>
      </c>
      <c r="K2304">
        <v>103434</v>
      </c>
      <c r="L2304">
        <v>101664</v>
      </c>
      <c r="M2304">
        <v>101982</v>
      </c>
      <c r="N2304">
        <v>17560000</v>
      </c>
      <c r="O2304">
        <v>101982</v>
      </c>
      <c r="P2304">
        <v>-1.40474694252429E-2</v>
      </c>
      <c r="Q2304">
        <v>-1.41470689717432E-2</v>
      </c>
      <c r="R2304" s="8">
        <v>3.00231909751892</v>
      </c>
      <c r="S2304" s="8">
        <v>-1.8072108307887701E-2</v>
      </c>
      <c r="T2304" s="9">
        <v>-1.8237403372554702E-2</v>
      </c>
      <c r="U2304" s="12">
        <v>5.0788E-2</v>
      </c>
      <c r="V2304" s="16">
        <v>5.2035999999999998</v>
      </c>
      <c r="W2304" s="17">
        <f t="shared" si="35"/>
        <v>6.596382628880848E-3</v>
      </c>
    </row>
    <row r="2305" spans="1:23" x14ac:dyDescent="0.2">
      <c r="A2305" s="15">
        <v>44923</v>
      </c>
      <c r="B2305" s="5">
        <v>140098382841481</v>
      </c>
      <c r="C2305" s="5">
        <f>[1]!nefin_factors__1[[#This Row],[Rm_minus_Rf]]/B2304-1</f>
        <v>-1.3281717504187562</v>
      </c>
      <c r="D2305" s="5">
        <v>638936084824955</v>
      </c>
      <c r="E2305" s="5">
        <f>[1]!nefin_factors__1[[#This Row],[SMB]]/D2304-1</f>
        <v>-4.0334825202132567</v>
      </c>
      <c r="F2305" s="5">
        <v>428700248601449</v>
      </c>
      <c r="G2305" s="5">
        <f>[1]!nefin_factors__1[[#This Row],[HML]]/F2304-1</f>
        <v>3.273774745573963</v>
      </c>
      <c r="H2305" s="5">
        <v>50822969973785</v>
      </c>
      <c r="I2305" s="6">
        <f>[1]!nefin_factors__1[[#This Row],[Risk_Free]]/H2304-1</f>
        <v>0</v>
      </c>
      <c r="J2305">
        <v>101982</v>
      </c>
      <c r="K2305">
        <v>102328</v>
      </c>
      <c r="L2305">
        <v>100679</v>
      </c>
      <c r="M2305">
        <v>100923</v>
      </c>
      <c r="N2305">
        <v>0</v>
      </c>
      <c r="O2305">
        <v>100923</v>
      </c>
      <c r="P2305">
        <v>-1.03841854444902E-2</v>
      </c>
      <c r="Q2305">
        <v>-1.04384772761842E-2</v>
      </c>
      <c r="R2305" s="8">
        <v>2.8918039798736599</v>
      </c>
      <c r="S2305" s="8">
        <v>-3.6809917285804801E-2</v>
      </c>
      <c r="T2305" s="9">
        <v>-3.7504500666015197E-2</v>
      </c>
      <c r="U2305" s="12">
        <v>5.0788E-2</v>
      </c>
      <c r="V2305" s="16">
        <v>5.2314999999999996</v>
      </c>
      <c r="W2305" s="17">
        <f t="shared" si="35"/>
        <v>5.3616726881389187E-3</v>
      </c>
    </row>
    <row r="2306" spans="1:23" x14ac:dyDescent="0.2">
      <c r="A2306" s="14">
        <v>44924</v>
      </c>
      <c r="B2306" s="3">
        <v>-356022836184993</v>
      </c>
      <c r="C2306" s="3">
        <f>[1]!nefin_factors__1[[#This Row],[Rm_minus_Rf]]/B2305-1</f>
        <v>-3.5412344451386493</v>
      </c>
      <c r="D2306" s="3">
        <v>817687010017293</v>
      </c>
      <c r="E2306" s="3">
        <f>[1]!nefin_factors__1[[#This Row],[SMB]]/D2305-1</f>
        <v>0.27976339016962726</v>
      </c>
      <c r="F2306" s="3">
        <v>104079193579623</v>
      </c>
      <c r="G2306" s="3">
        <f>[1]!nefin_factors__1[[#This Row],[HML]]/F2305-1</f>
        <v>-0.75722152268593013</v>
      </c>
      <c r="H2306" s="3">
        <v>507880373261882</v>
      </c>
      <c r="I2306" s="4">
        <f>[1]!nefin_factors__1[[#This Row],[Risk_Free]]/H2305-1</f>
        <v>8.9931266024762397</v>
      </c>
      <c r="J2306">
        <v>100923</v>
      </c>
      <c r="K2306">
        <v>101670</v>
      </c>
      <c r="L2306">
        <v>100923</v>
      </c>
      <c r="M2306">
        <v>100998</v>
      </c>
      <c r="N2306">
        <v>9672100</v>
      </c>
      <c r="O2306">
        <v>100998</v>
      </c>
      <c r="P2306">
        <v>7.4314081032067502E-4</v>
      </c>
      <c r="Q2306">
        <v>7.4286481791437597E-4</v>
      </c>
      <c r="R2306" s="8">
        <v>2.9654800891876198</v>
      </c>
      <c r="S2306" s="8">
        <v>2.54775599683572E-2</v>
      </c>
      <c r="T2306" s="9">
        <v>2.5158416251250801E-2</v>
      </c>
      <c r="U2306" s="12">
        <v>5.0788E-2</v>
      </c>
      <c r="V2306" s="16">
        <v>5.2526000000000002</v>
      </c>
      <c r="W2306" s="17">
        <f t="shared" si="35"/>
        <v>4.0332600592565271E-3</v>
      </c>
    </row>
    <row r="2307" spans="1:23" x14ac:dyDescent="0.2">
      <c r="A2307" s="15">
        <v>44928</v>
      </c>
      <c r="B2307" s="5">
        <v>-299589772332689</v>
      </c>
      <c r="C2307" s="5">
        <f>[1]!nefin_factors__1[[#This Row],[Rm_minus_Rf]]/B2306-1</f>
        <v>-0.15850967442712249</v>
      </c>
      <c r="D2307" s="5">
        <v>212836361671426</v>
      </c>
      <c r="E2307" s="5">
        <f>[1]!nefin_factors__1[[#This Row],[SMB]]/D2306-1</f>
        <v>-0.73970925419626665</v>
      </c>
      <c r="F2307" s="5">
        <v>845060670813376</v>
      </c>
      <c r="G2307" s="5">
        <f>[1]!nefin_factors__1[[#This Row],[HML]]/F2306-1</f>
        <v>7.119400638580899</v>
      </c>
      <c r="H2307" s="5">
        <v>50822969973785</v>
      </c>
      <c r="I2307" s="6">
        <f>[1]!nefin_factors__1[[#This Row],[Risk_Free]]/H2306-1</f>
        <v>-0.8999312187486741</v>
      </c>
      <c r="J2307">
        <v>100998</v>
      </c>
      <c r="K2307">
        <v>101888</v>
      </c>
      <c r="L2307">
        <v>100129</v>
      </c>
      <c r="M2307">
        <v>100221</v>
      </c>
      <c r="N2307">
        <v>11504600</v>
      </c>
      <c r="O2307">
        <v>100221</v>
      </c>
      <c r="P2307">
        <v>-7.6932216479533898E-3</v>
      </c>
      <c r="Q2307">
        <v>-7.7229671349076396E-3</v>
      </c>
      <c r="R2307" s="8">
        <v>2.90101289749146</v>
      </c>
      <c r="S2307" s="8">
        <v>-2.1739209084970599E-2</v>
      </c>
      <c r="T2307" s="9">
        <v>-2.1978987116748401E-2</v>
      </c>
      <c r="U2307" s="12">
        <v>5.0788E-2</v>
      </c>
      <c r="V2307" s="16">
        <v>5.1833999999999998</v>
      </c>
      <c r="W2307" s="17">
        <f t="shared" si="35"/>
        <v>-1.3174427902372221E-2</v>
      </c>
    </row>
    <row r="2308" spans="1:23" x14ac:dyDescent="0.2">
      <c r="A2308" s="14">
        <v>44929</v>
      </c>
      <c r="B2308" s="3">
        <v>-218680380418843</v>
      </c>
      <c r="C2308" s="3">
        <f>[1]!nefin_factors__1[[#This Row],[Rm_minus_Rf]]/B2307-1</f>
        <v>-0.27006726993335939</v>
      </c>
      <c r="D2308" s="3">
        <v>727870589091687</v>
      </c>
      <c r="E2308" s="3">
        <f>[1]!nefin_factors__1[[#This Row],[SMB]]/D2307-1</f>
        <v>2.4198601375049069</v>
      </c>
      <c r="F2308" s="3">
        <v>134216410832287</v>
      </c>
      <c r="G2308" s="3">
        <f>[1]!nefin_factors__1[[#This Row],[HML]]/F2307-1</f>
        <v>-0.8411754144195317</v>
      </c>
      <c r="H2308" s="3">
        <v>50822969973785</v>
      </c>
      <c r="I2308" s="4">
        <f>[1]!nefin_factors__1[[#This Row],[Risk_Free]]/H2307-1</f>
        <v>0</v>
      </c>
      <c r="J2308">
        <v>100221</v>
      </c>
      <c r="K2308">
        <v>101126</v>
      </c>
      <c r="L2308">
        <v>96997</v>
      </c>
      <c r="M2308">
        <v>97926</v>
      </c>
      <c r="N2308">
        <v>0</v>
      </c>
      <c r="O2308">
        <v>97926</v>
      </c>
      <c r="P2308">
        <v>-2.2899392342922199E-2</v>
      </c>
      <c r="Q2308">
        <v>-2.31656561334782E-2</v>
      </c>
      <c r="R2308" s="8">
        <v>2.7444510459899898</v>
      </c>
      <c r="S2308" s="8">
        <v>-5.3967995673802699E-2</v>
      </c>
      <c r="T2308" s="9">
        <v>-5.5478879290896302E-2</v>
      </c>
      <c r="U2308" s="12">
        <v>5.0788E-2</v>
      </c>
      <c r="V2308" s="16">
        <v>5.1506999999999996</v>
      </c>
      <c r="W2308" s="17">
        <f t="shared" ref="W2308:W2371" si="36">V2308/V2307-1</f>
        <v>-6.3086005324690664E-3</v>
      </c>
    </row>
    <row r="2309" spans="1:23" x14ac:dyDescent="0.2">
      <c r="A2309" s="15">
        <v>44930</v>
      </c>
      <c r="B2309" s="5">
        <v>104257292115256</v>
      </c>
      <c r="C2309" s="5">
        <f>[1]!nefin_factors__1[[#This Row],[Rm_minus_Rf]]/B2308-1</f>
        <v>-1.4767564969274787</v>
      </c>
      <c r="D2309" s="5">
        <v>-499381475409161</v>
      </c>
      <c r="E2309" s="5">
        <f>[1]!nefin_factors__1[[#This Row],[SMB]]/D2308-1</f>
        <v>-1.6860855252200002</v>
      </c>
      <c r="F2309" s="5">
        <v>418693681137937</v>
      </c>
      <c r="G2309" s="5">
        <f>[1]!nefin_factors__1[[#This Row],[HML]]/F2308-1</f>
        <v>2.1195416308749655</v>
      </c>
      <c r="H2309" s="5">
        <v>50822969973785</v>
      </c>
      <c r="I2309" s="6">
        <f>[1]!nefin_factors__1[[#This Row],[Risk_Free]]/H2308-1</f>
        <v>0</v>
      </c>
      <c r="J2309">
        <v>97926</v>
      </c>
      <c r="K2309">
        <v>99258</v>
      </c>
      <c r="L2309">
        <v>97688</v>
      </c>
      <c r="M2309">
        <v>98829</v>
      </c>
      <c r="N2309">
        <v>0</v>
      </c>
      <c r="O2309">
        <v>98829</v>
      </c>
      <c r="P2309">
        <v>9.2212486979963391E-3</v>
      </c>
      <c r="Q2309">
        <v>9.1789925551816996E-3</v>
      </c>
      <c r="R2309" s="8">
        <v>2.8825941085815399</v>
      </c>
      <c r="S2309" s="8">
        <v>5.0335407801643403E-2</v>
      </c>
      <c r="T2309" s="9">
        <v>4.9109549162180001E-2</v>
      </c>
      <c r="U2309" s="12">
        <v>5.0788E-2</v>
      </c>
      <c r="V2309" s="16">
        <v>5.2243000000000004</v>
      </c>
      <c r="W2309" s="17">
        <f t="shared" si="36"/>
        <v>1.4289319898266317E-2</v>
      </c>
    </row>
    <row r="2310" spans="1:23" x14ac:dyDescent="0.2">
      <c r="A2310" s="14">
        <v>44931</v>
      </c>
      <c r="B2310" s="3">
        <v>190224585928684</v>
      </c>
      <c r="C2310" s="3">
        <f>[1]!nefin_factors__1[[#This Row],[Rm_minus_Rf]]/B2309-1</f>
        <v>0.82456864233910387</v>
      </c>
      <c r="D2310" s="3">
        <v>16445192475643</v>
      </c>
      <c r="E2310" s="3">
        <f>[1]!nefin_factors__1[[#This Row],[SMB]]/D2309-1</f>
        <v>-1.0329311223692645</v>
      </c>
      <c r="F2310" s="3">
        <v>255052787171527</v>
      </c>
      <c r="G2310" s="3">
        <f>[1]!nefin_factors__1[[#This Row],[HML]]/F2309-1</f>
        <v>-0.39083678913343611</v>
      </c>
      <c r="H2310" s="3">
        <v>50822969973785</v>
      </c>
      <c r="I2310" s="4">
        <f>[1]!nefin_factors__1[[#This Row],[Risk_Free]]/H2309-1</f>
        <v>0</v>
      </c>
      <c r="J2310">
        <v>98833</v>
      </c>
      <c r="K2310">
        <v>99997</v>
      </c>
      <c r="L2310">
        <v>98833</v>
      </c>
      <c r="M2310">
        <v>99670</v>
      </c>
      <c r="N2310">
        <v>9990600</v>
      </c>
      <c r="O2310">
        <v>99670</v>
      </c>
      <c r="P2310">
        <v>8.5096479778201707E-3</v>
      </c>
      <c r="Q2310">
        <v>8.4736450275691693E-3</v>
      </c>
      <c r="R2310" s="8">
        <v>2.7260320186614999</v>
      </c>
      <c r="S2310" s="8">
        <v>-5.4312915388939197E-2</v>
      </c>
      <c r="T2310" s="9">
        <v>-5.5843542015902199E-2</v>
      </c>
      <c r="U2310" s="12">
        <v>5.0788E-2</v>
      </c>
      <c r="V2310" s="16">
        <v>5.2431999999999999</v>
      </c>
      <c r="W2310" s="17">
        <f t="shared" si="36"/>
        <v>3.6177095496046086E-3</v>
      </c>
    </row>
    <row r="2311" spans="1:23" x14ac:dyDescent="0.2">
      <c r="A2311" s="15">
        <v>44932</v>
      </c>
      <c r="B2311" s="5">
        <v>113004803109617</v>
      </c>
      <c r="C2311" s="5">
        <f>[1]!nefin_factors__1[[#This Row],[Rm_minus_Rf]]/B2310-1</f>
        <v>-0.40594007573772306</v>
      </c>
      <c r="D2311" s="5">
        <v>812169811866174</v>
      </c>
      <c r="E2311" s="5">
        <f>[1]!nefin_factors__1[[#This Row],[SMB]]/D2310-1</f>
        <v>48.386458265482752</v>
      </c>
      <c r="F2311" s="5">
        <v>-367109944066635</v>
      </c>
      <c r="G2311" s="5">
        <f>[1]!nefin_factors__1[[#This Row],[HML]]/F2310-1</f>
        <v>-2.4393488820012301</v>
      </c>
      <c r="H2311" s="5">
        <v>50822969973785</v>
      </c>
      <c r="I2311" s="6">
        <f>[1]!nefin_factors__1[[#This Row],[Risk_Free]]/H2310-1</f>
        <v>0</v>
      </c>
      <c r="J2311">
        <v>99672</v>
      </c>
      <c r="K2311">
        <v>101559</v>
      </c>
      <c r="L2311">
        <v>99488</v>
      </c>
      <c r="M2311">
        <v>101185</v>
      </c>
      <c r="N2311">
        <v>13500100</v>
      </c>
      <c r="O2311">
        <v>101185</v>
      </c>
      <c r="P2311">
        <v>1.52001605297483E-2</v>
      </c>
      <c r="Q2311">
        <v>1.50857955442579E-2</v>
      </c>
      <c r="R2311" s="8">
        <v>2.79049897193909</v>
      </c>
      <c r="S2311" s="8">
        <v>2.364864126183E-2</v>
      </c>
      <c r="T2311" s="9">
        <v>2.3373343969142601E-2</v>
      </c>
      <c r="U2311" s="12">
        <v>5.0788E-2</v>
      </c>
      <c r="V2311" s="16">
        <v>5.2012</v>
      </c>
      <c r="W2311" s="17">
        <f t="shared" si="36"/>
        <v>-8.0103753433017344E-3</v>
      </c>
    </row>
    <row r="2312" spans="1:23" x14ac:dyDescent="0.2">
      <c r="A2312" s="14">
        <v>44935</v>
      </c>
      <c r="B2312" s="3">
        <v>177395063117314</v>
      </c>
      <c r="C2312" s="3">
        <f>[1]!nefin_factors__1[[#This Row],[Rm_minus_Rf]]/B2311-1</f>
        <v>0.5698010901823094</v>
      </c>
      <c r="D2312" s="3">
        <v>420940008829724</v>
      </c>
      <c r="E2312" s="3">
        <f>[1]!nefin_factors__1[[#This Row],[SMB]]/D2311-1</f>
        <v>-0.48170936338731496</v>
      </c>
      <c r="F2312" s="3">
        <v>179174565245476</v>
      </c>
      <c r="G2312" s="3">
        <f>[1]!nefin_factors__1[[#This Row],[HML]]/F2311-1</f>
        <v>-1.4880678612534495</v>
      </c>
      <c r="H2312" s="3">
        <v>50822969973785</v>
      </c>
      <c r="I2312" s="4">
        <f>[1]!nefin_factors__1[[#This Row],[Risk_Free]]/H2311-1</f>
        <v>0</v>
      </c>
      <c r="J2312">
        <v>101185</v>
      </c>
      <c r="K2312">
        <v>102213</v>
      </c>
      <c r="L2312">
        <v>100248</v>
      </c>
      <c r="M2312">
        <v>101793</v>
      </c>
      <c r="N2312">
        <v>12456100</v>
      </c>
      <c r="O2312">
        <v>101793</v>
      </c>
      <c r="P2312">
        <v>6.0087957701240296E-3</v>
      </c>
      <c r="Q2312">
        <v>5.9908149495874101E-3</v>
      </c>
      <c r="R2312" s="8">
        <v>2.78128910064697</v>
      </c>
      <c r="S2312" s="8">
        <v>-3.30043887660503E-3</v>
      </c>
      <c r="T2312" s="9">
        <v>-3.30589733851647E-3</v>
      </c>
      <c r="U2312" s="12">
        <v>5.0788E-2</v>
      </c>
      <c r="V2312" s="16">
        <v>5.173</v>
      </c>
      <c r="W2312" s="17">
        <f t="shared" si="36"/>
        <v>-5.4218257325232555E-3</v>
      </c>
    </row>
    <row r="2313" spans="1:23" x14ac:dyDescent="0.2">
      <c r="A2313" s="15">
        <v>44936</v>
      </c>
      <c r="B2313" s="5">
        <v>156648738955795</v>
      </c>
      <c r="C2313" s="5">
        <f>[1]!nefin_factors__1[[#This Row],[Rm_minus_Rf]]/B2312-1</f>
        <v>-0.11694983951046678</v>
      </c>
      <c r="D2313" s="5">
        <v>176296221368954</v>
      </c>
      <c r="E2313" s="5">
        <f>[1]!nefin_factors__1[[#This Row],[SMB]]/D2312-1</f>
        <v>-0.58118444987188611</v>
      </c>
      <c r="F2313" s="5">
        <v>853267615731037</v>
      </c>
      <c r="G2313" s="5">
        <f>[1]!nefin_factors__1[[#This Row],[HML]]/F2312-1</f>
        <v>3.7622139591187382</v>
      </c>
      <c r="H2313" s="5">
        <v>50822969973785</v>
      </c>
      <c r="I2313" s="6">
        <f>[1]!nefin_factors__1[[#This Row],[Risk_Free]]/H2312-1</f>
        <v>0</v>
      </c>
      <c r="J2313">
        <v>101796</v>
      </c>
      <c r="K2313">
        <v>104085</v>
      </c>
      <c r="L2313">
        <v>101796</v>
      </c>
      <c r="M2313">
        <v>103713</v>
      </c>
      <c r="N2313">
        <v>14901600</v>
      </c>
      <c r="O2313">
        <v>103713</v>
      </c>
      <c r="P2313">
        <v>1.886180778639E-2</v>
      </c>
      <c r="Q2313">
        <v>1.8686129525218202E-2</v>
      </c>
      <c r="R2313" s="8">
        <v>3.0115280151367201</v>
      </c>
      <c r="S2313" s="8">
        <v>8.2781367257430696E-2</v>
      </c>
      <c r="T2313" s="9">
        <v>7.9533070683677196E-2</v>
      </c>
      <c r="U2313" s="12">
        <v>5.0788E-2</v>
      </c>
      <c r="V2313" s="16">
        <v>5.133</v>
      </c>
      <c r="W2313" s="17">
        <f t="shared" si="36"/>
        <v>-7.7324569882080141E-3</v>
      </c>
    </row>
    <row r="2314" spans="1:23" x14ac:dyDescent="0.2">
      <c r="A2314" s="14">
        <v>44937</v>
      </c>
      <c r="B2314" s="3">
        <v>129221828472812</v>
      </c>
      <c r="C2314" s="3">
        <f>[1]!nefin_factors__1[[#This Row],[Rm_minus_Rf]]/B2313-1</f>
        <v>-0.17508542147104456</v>
      </c>
      <c r="D2314" s="3">
        <v>-198090404638435</v>
      </c>
      <c r="E2314" s="3">
        <f>[1]!nefin_factors__1[[#This Row],[SMB]]/D2313-1</f>
        <v>-2.123622520665772</v>
      </c>
      <c r="F2314" s="3">
        <v>-821021729124691</v>
      </c>
      <c r="G2314" s="3">
        <f>[1]!nefin_factors__1[[#This Row],[HML]]/F2313-1</f>
        <v>-1.962208941237364</v>
      </c>
      <c r="H2314" s="3">
        <v>50822969973785</v>
      </c>
      <c r="I2314" s="4">
        <f>[1]!nefin_factors__1[[#This Row],[Risk_Free]]/H2313-1</f>
        <v>0</v>
      </c>
      <c r="J2314">
        <v>103714</v>
      </c>
      <c r="K2314">
        <v>104041</v>
      </c>
      <c r="L2314">
        <v>101476</v>
      </c>
      <c r="M2314">
        <v>101882</v>
      </c>
      <c r="N2314">
        <v>15111200</v>
      </c>
      <c r="O2314">
        <v>101882</v>
      </c>
      <c r="P2314">
        <v>-1.7654488829751298E-2</v>
      </c>
      <c r="Q2314">
        <v>-1.7812188141497501E-2</v>
      </c>
      <c r="R2314" s="8">
        <v>2.86417508125305</v>
      </c>
      <c r="S2314" s="8">
        <v>-4.8929624145295302E-2</v>
      </c>
      <c r="T2314" s="9">
        <v>-5.0167217224488199E-2</v>
      </c>
      <c r="U2314" s="12">
        <v>5.0788E-2</v>
      </c>
      <c r="V2314" s="16">
        <v>5.1791</v>
      </c>
      <c r="W2314" s="17">
        <f t="shared" si="36"/>
        <v>8.981102669004537E-3</v>
      </c>
    </row>
    <row r="2315" spans="1:23" x14ac:dyDescent="0.2">
      <c r="A2315" s="15">
        <v>44938</v>
      </c>
      <c r="B2315" s="5">
        <v>-658552620831068</v>
      </c>
      <c r="C2315" s="5">
        <f>[1]!nefin_factors__1[[#This Row],[Rm_minus_Rf]]/B2314-1</f>
        <v>-6.0962954836196737</v>
      </c>
      <c r="D2315" s="5">
        <v>-132403834637385</v>
      </c>
      <c r="E2315" s="5">
        <f>[1]!nefin_factors__1[[#This Row],[SMB]]/D2314-1</f>
        <v>-0.33159894908057042</v>
      </c>
      <c r="F2315" s="5">
        <v>-201312364778101</v>
      </c>
      <c r="G2315" s="5">
        <f>[1]!nefin_factors__1[[#This Row],[HML]]/F2314-1</f>
        <v>-0.75480263476981968</v>
      </c>
      <c r="H2315" s="5">
        <v>50822969973785</v>
      </c>
      <c r="I2315" s="6">
        <f>[1]!nefin_factors__1[[#This Row],[Risk_Free]]/H2314-1</f>
        <v>0</v>
      </c>
      <c r="J2315">
        <v>101883</v>
      </c>
      <c r="K2315">
        <v>101916</v>
      </c>
      <c r="L2315">
        <v>100651</v>
      </c>
      <c r="M2315">
        <v>101506</v>
      </c>
      <c r="N2315">
        <v>12794800</v>
      </c>
      <c r="O2315">
        <v>101506</v>
      </c>
      <c r="P2315">
        <v>-3.6905439626234702E-3</v>
      </c>
      <c r="Q2315">
        <v>-3.6973708217184699E-3</v>
      </c>
      <c r="R2315" s="8">
        <v>2.7444510459899898</v>
      </c>
      <c r="S2315" s="8">
        <v>-4.1800529599846703E-2</v>
      </c>
      <c r="T2315" s="9">
        <v>-4.2699307236092797E-2</v>
      </c>
      <c r="U2315" s="12">
        <v>5.0788E-2</v>
      </c>
      <c r="V2315" s="16">
        <v>5.1959999999999997</v>
      </c>
      <c r="W2315" s="17">
        <f t="shared" si="36"/>
        <v>3.2631152130677687E-3</v>
      </c>
    </row>
    <row r="2316" spans="1:23" x14ac:dyDescent="0.2">
      <c r="A2316" s="14">
        <v>44939</v>
      </c>
      <c r="B2316" s="3">
        <v>-809016003595144</v>
      </c>
      <c r="C2316" s="3">
        <f>[1]!nefin_factors__1[[#This Row],[Rm_minus_Rf]]/B2315-1</f>
        <v>0.22847586966429057</v>
      </c>
      <c r="D2316" s="3">
        <v>-976648167393382</v>
      </c>
      <c r="E2316" s="3">
        <f>[1]!nefin_factors__1[[#This Row],[SMB]]/D2315-1</f>
        <v>6.3762830968463478</v>
      </c>
      <c r="F2316" s="3">
        <v>-714568840659302</v>
      </c>
      <c r="G2316" s="3">
        <f>[1]!nefin_factors__1[[#This Row],[HML]]/F2315-1</f>
        <v>2.5495526638264083</v>
      </c>
      <c r="H2316" s="3">
        <v>50822969973785</v>
      </c>
      <c r="I2316" s="4">
        <f>[1]!nefin_factors__1[[#This Row],[Risk_Free]]/H2315-1</f>
        <v>0</v>
      </c>
      <c r="J2316">
        <v>101505</v>
      </c>
      <c r="K2316">
        <v>103056</v>
      </c>
      <c r="L2316">
        <v>101505</v>
      </c>
      <c r="M2316">
        <v>101869</v>
      </c>
      <c r="N2316">
        <v>11695800</v>
      </c>
      <c r="O2316">
        <v>101869</v>
      </c>
      <c r="P2316">
        <v>3.5761432821706002E-3</v>
      </c>
      <c r="Q2316">
        <v>3.56976408587289E-3</v>
      </c>
      <c r="R2316" s="8">
        <v>2.5970981121063201</v>
      </c>
      <c r="S2316" s="8">
        <v>-5.36912232772268E-2</v>
      </c>
      <c r="T2316" s="9">
        <v>-5.5186360732588702E-2</v>
      </c>
      <c r="U2316" s="12">
        <v>5.0788E-2</v>
      </c>
      <c r="V2316" s="16">
        <v>5.2077999999999998</v>
      </c>
      <c r="W2316" s="17">
        <f t="shared" si="36"/>
        <v>2.2709776751346222E-3</v>
      </c>
    </row>
    <row r="2317" spans="1:23" x14ac:dyDescent="0.2">
      <c r="A2317" s="15">
        <v>44942</v>
      </c>
      <c r="B2317" s="5">
        <v>-157366184442741</v>
      </c>
      <c r="C2317" s="5">
        <f>[1]!nefin_factors__1[[#This Row],[Rm_minus_Rf]]/B2316-1</f>
        <v>-0.80548446045142541</v>
      </c>
      <c r="D2317" s="5">
        <v>-708926136200902</v>
      </c>
      <c r="E2317" s="5">
        <f>[1]!nefin_factors__1[[#This Row],[SMB]]/D2316-1</f>
        <v>-0.27412331290910497</v>
      </c>
      <c r="F2317" s="5">
        <v>97930402268739</v>
      </c>
      <c r="G2317" s="5">
        <f>[1]!nefin_factors__1[[#This Row],[HML]]/F2316-1</f>
        <v>-1.1370482404163926</v>
      </c>
      <c r="H2317" s="5">
        <v>50822969973785</v>
      </c>
      <c r="I2317" s="6">
        <f>[1]!nefin_factors__1[[#This Row],[Risk_Free]]/H2316-1</f>
        <v>0</v>
      </c>
      <c r="J2317">
        <v>101869</v>
      </c>
      <c r="K2317">
        <v>101960</v>
      </c>
      <c r="L2317">
        <v>99898</v>
      </c>
      <c r="M2317">
        <v>100978</v>
      </c>
      <c r="N2317">
        <v>13256500</v>
      </c>
      <c r="O2317">
        <v>100978</v>
      </c>
      <c r="P2317">
        <v>-8.7465274028408792E-3</v>
      </c>
      <c r="Q2317">
        <v>-8.7850027886137907E-3</v>
      </c>
      <c r="R2317" s="8">
        <v>2.56946897506714</v>
      </c>
      <c r="S2317" s="8">
        <v>-1.0638464873695699E-2</v>
      </c>
      <c r="T2317" s="9">
        <v>-1.0695457913831001E-2</v>
      </c>
      <c r="U2317" s="12">
        <v>5.0788E-2</v>
      </c>
      <c r="V2317" s="16">
        <v>5.2069999999999999</v>
      </c>
      <c r="W2317" s="17">
        <f t="shared" si="36"/>
        <v>-1.536157302507446E-4</v>
      </c>
    </row>
    <row r="2318" spans="1:23" x14ac:dyDescent="0.2">
      <c r="A2318" s="14">
        <v>44943</v>
      </c>
      <c r="B2318" s="3">
        <v>19589445309834</v>
      </c>
      <c r="C2318" s="3">
        <f>[1]!nefin_factors__1[[#This Row],[Rm_minus_Rf]]/B2317-1</f>
        <v>-1.124483194272031</v>
      </c>
      <c r="D2318" s="3">
        <v>-760890517362931</v>
      </c>
      <c r="E2318" s="3">
        <f>[1]!nefin_factors__1[[#This Row],[SMB]]/D2317-1</f>
        <v>7.3300134539408202E-2</v>
      </c>
      <c r="F2318" s="3">
        <v>-201268975558497</v>
      </c>
      <c r="G2318" s="3">
        <f>[1]!nefin_factors__1[[#This Row],[HML]]/F2317-1</f>
        <v>-3.0552246380667158</v>
      </c>
      <c r="H2318" s="3">
        <v>50822969973785</v>
      </c>
      <c r="I2318" s="4">
        <f>[1]!nefin_factors__1[[#This Row],[Risk_Free]]/H2317-1</f>
        <v>0</v>
      </c>
      <c r="J2318">
        <v>100978</v>
      </c>
      <c r="K2318">
        <v>101628</v>
      </c>
      <c r="L2318">
        <v>100443</v>
      </c>
      <c r="M2318">
        <v>100822</v>
      </c>
      <c r="N2318">
        <v>9818500</v>
      </c>
      <c r="O2318">
        <v>100822</v>
      </c>
      <c r="P2318">
        <v>-1.54489096634913E-3</v>
      </c>
      <c r="Q2318">
        <v>-1.54608554088155E-3</v>
      </c>
      <c r="R2318" s="8">
        <v>2.5510499477386501</v>
      </c>
      <c r="S2318" s="8">
        <v>-7.1684178743625102E-3</v>
      </c>
      <c r="T2318" s="9">
        <v>-7.1942344316710798E-3</v>
      </c>
      <c r="U2318" s="12">
        <v>5.0788E-2</v>
      </c>
      <c r="V2318" s="16">
        <v>5.2080000000000002</v>
      </c>
      <c r="W2318" s="17">
        <f t="shared" si="36"/>
        <v>1.9204916458614996E-4</v>
      </c>
    </row>
    <row r="2319" spans="1:23" x14ac:dyDescent="0.2">
      <c r="A2319" s="15">
        <v>44944</v>
      </c>
      <c r="B2319" s="5">
        <v>644731614288746</v>
      </c>
      <c r="C2319" s="5">
        <f>[1]!nefin_factors__1[[#This Row],[Rm_minus_Rf]]/B2318-1</f>
        <v>31.912193484370256</v>
      </c>
      <c r="D2319" s="5">
        <v>-617802410010343</v>
      </c>
      <c r="E2319" s="5">
        <f>[1]!nefin_factors__1[[#This Row],[SMB]]/D2318-1</f>
        <v>-0.18805347692924079</v>
      </c>
      <c r="F2319" s="5">
        <v>144068929988673</v>
      </c>
      <c r="G2319" s="5">
        <f>[1]!nefin_factors__1[[#This Row],[HML]]/F2318-1</f>
        <v>-1.7158029675905051</v>
      </c>
      <c r="H2319" s="5">
        <v>50822969973785</v>
      </c>
      <c r="I2319" s="6">
        <f>[1]!nefin_factors__1[[#This Row],[Risk_Free]]/H2318-1</f>
        <v>0</v>
      </c>
      <c r="J2319">
        <v>100822</v>
      </c>
      <c r="K2319">
        <v>102196</v>
      </c>
      <c r="L2319">
        <v>100819</v>
      </c>
      <c r="M2319">
        <v>101847</v>
      </c>
      <c r="N2319">
        <v>8148700</v>
      </c>
      <c r="O2319">
        <v>101847</v>
      </c>
      <c r="P2319">
        <v>1.01664319295391E-2</v>
      </c>
      <c r="Q2319">
        <v>1.01151013664141E-2</v>
      </c>
      <c r="R2319" s="8">
        <v>2.6155169010162398</v>
      </c>
      <c r="S2319" s="8">
        <v>2.52707530617871E-2</v>
      </c>
      <c r="T2319" s="9">
        <v>2.4956727037652799E-2</v>
      </c>
      <c r="U2319" s="12">
        <v>5.0788E-2</v>
      </c>
      <c r="V2319" s="16">
        <v>5.2037000000000004</v>
      </c>
      <c r="W2319" s="17">
        <f t="shared" si="36"/>
        <v>-8.2565284178182097E-4</v>
      </c>
    </row>
    <row r="2320" spans="1:23" x14ac:dyDescent="0.2">
      <c r="A2320" s="14">
        <v>44945</v>
      </c>
      <c r="B2320" s="3">
        <v>458915124287256</v>
      </c>
      <c r="C2320" s="3">
        <f>[1]!nefin_factors__1[[#This Row],[Rm_minus_Rf]]/B2319-1</f>
        <v>-0.28820750508175208</v>
      </c>
      <c r="D2320" s="3">
        <v>-17000940119526</v>
      </c>
      <c r="E2320" s="3">
        <f>[1]!nefin_factors__1[[#This Row],[SMB]]/D2319-1</f>
        <v>-0.9724815898351038</v>
      </c>
      <c r="F2320" s="3">
        <v>-917907826033524</v>
      </c>
      <c r="G2320" s="3">
        <f>[1]!nefin_factors__1[[#This Row],[HML]]/F2319-1</f>
        <v>-7.3713100812624335</v>
      </c>
      <c r="H2320" s="3">
        <v>50822969973785</v>
      </c>
      <c r="I2320" s="4">
        <f>[1]!nefin_factors__1[[#This Row],[Risk_Free]]/H2319-1</f>
        <v>0</v>
      </c>
      <c r="J2320">
        <v>101849</v>
      </c>
      <c r="K2320">
        <v>106455</v>
      </c>
      <c r="L2320">
        <v>101848</v>
      </c>
      <c r="M2320">
        <v>106214</v>
      </c>
      <c r="N2320">
        <v>18725700</v>
      </c>
      <c r="O2320">
        <v>106214</v>
      </c>
      <c r="P2320">
        <v>4.2878042554027197E-2</v>
      </c>
      <c r="Q2320">
        <v>4.1984239703449402E-2</v>
      </c>
      <c r="R2320" s="8">
        <v>2.91943311691284</v>
      </c>
      <c r="S2320" s="8">
        <v>0.116197381778922</v>
      </c>
      <c r="T2320" s="9">
        <v>0.109927713713579</v>
      </c>
      <c r="U2320" s="12">
        <v>5.0788E-2</v>
      </c>
      <c r="V2320" s="16">
        <v>5.1970000000000001</v>
      </c>
      <c r="W2320" s="17">
        <f t="shared" si="36"/>
        <v>-1.2875454003882236E-3</v>
      </c>
    </row>
    <row r="2321" spans="1:23" x14ac:dyDescent="0.2">
      <c r="A2321" s="15">
        <v>44946</v>
      </c>
      <c r="B2321" s="5">
        <v>-695486955947598</v>
      </c>
      <c r="C2321" s="5">
        <f>[1]!nefin_factors__1[[#This Row],[Rm_minus_Rf]]/B2320-1</f>
        <v>-2.5155023644682952</v>
      </c>
      <c r="D2321" s="5">
        <v>186238552023119</v>
      </c>
      <c r="E2321" s="5">
        <f>[1]!nefin_factors__1[[#This Row],[SMB]]/D2320-1</f>
        <v>-11.954603140400419</v>
      </c>
      <c r="F2321" s="5">
        <v>278668264148542</v>
      </c>
      <c r="G2321" s="5">
        <f>[1]!nefin_factors__1[[#This Row],[HML]]/F2320-1</f>
        <v>-1.3035906833398809</v>
      </c>
      <c r="H2321" s="5">
        <v>50822969973785</v>
      </c>
      <c r="I2321" s="6">
        <f>[1]!nefin_factors__1[[#This Row],[Risk_Free]]/H2320-1</f>
        <v>0</v>
      </c>
      <c r="J2321">
        <v>106218</v>
      </c>
      <c r="K2321">
        <v>108277</v>
      </c>
      <c r="L2321">
        <v>106217</v>
      </c>
      <c r="M2321">
        <v>106890</v>
      </c>
      <c r="N2321">
        <v>17345500</v>
      </c>
      <c r="O2321">
        <v>106890</v>
      </c>
      <c r="P2321">
        <v>6.36450938670996E-3</v>
      </c>
      <c r="Q2321">
        <v>6.3443414244011799E-3</v>
      </c>
      <c r="R2321" s="8">
        <v>3.0115280151367201</v>
      </c>
      <c r="S2321" s="8">
        <v>3.1545472883195397E-2</v>
      </c>
      <c r="T2321" s="9">
        <v>3.1058136787440301E-2</v>
      </c>
      <c r="U2321" s="12">
        <v>5.0788E-2</v>
      </c>
      <c r="V2321" s="16">
        <v>5.1901000000000002</v>
      </c>
      <c r="W2321" s="17">
        <f t="shared" si="36"/>
        <v>-1.3276890513758133E-3</v>
      </c>
    </row>
    <row r="2322" spans="1:23" x14ac:dyDescent="0.2">
      <c r="A2322" s="14">
        <v>44949</v>
      </c>
      <c r="B2322" s="3">
        <v>-34419655493498</v>
      </c>
      <c r="C2322" s="3">
        <f>[1]!nefin_factors__1[[#This Row],[Rm_minus_Rf]]/B2321-1</f>
        <v>-0.95050999131018732</v>
      </c>
      <c r="D2322" s="3">
        <v>337085158128875</v>
      </c>
      <c r="E2322" s="3">
        <f>[1]!nefin_factors__1[[#This Row],[SMB]]/D2321-1</f>
        <v>0.80996444864450212</v>
      </c>
      <c r="F2322" s="3">
        <v>29217121236034</v>
      </c>
      <c r="G2322" s="3">
        <f>[1]!nefin_factors__1[[#This Row],[HML]]/F2321-1</f>
        <v>-0.8951544721990301</v>
      </c>
      <c r="H2322" s="3">
        <v>50822969973785</v>
      </c>
      <c r="I2322" s="4">
        <f>[1]!nefin_factors__1[[#This Row],[Risk_Free]]/H2321-1</f>
        <v>0</v>
      </c>
      <c r="J2322">
        <v>106890</v>
      </c>
      <c r="K2322">
        <v>107037</v>
      </c>
      <c r="L2322">
        <v>106220</v>
      </c>
      <c r="M2322">
        <v>106458</v>
      </c>
      <c r="N2322">
        <v>12182900</v>
      </c>
      <c r="O2322">
        <v>106458</v>
      </c>
      <c r="P2322">
        <v>-4.0415380297501597E-3</v>
      </c>
      <c r="Q2322">
        <v>-4.04972711635696E-3</v>
      </c>
      <c r="R2322" s="8">
        <v>3.0667860507965101</v>
      </c>
      <c r="S2322" s="8">
        <v>1.8348836664327399E-2</v>
      </c>
      <c r="T2322" s="9">
        <v>1.8182528059850499E-2</v>
      </c>
      <c r="U2322" s="12">
        <v>5.0788E-2</v>
      </c>
      <c r="V2322" s="16">
        <v>5.1387</v>
      </c>
      <c r="W2322" s="17">
        <f t="shared" si="36"/>
        <v>-9.9034700680141752E-3</v>
      </c>
    </row>
    <row r="2323" spans="1:23" x14ac:dyDescent="0.2">
      <c r="A2323" s="15">
        <v>44950</v>
      </c>
      <c r="B2323" s="5">
        <v>110574035598749</v>
      </c>
      <c r="C2323" s="5">
        <f>[1]!nefin_factors__1[[#This Row],[Rm_minus_Rf]]/B2322-1</f>
        <v>-4.2125259248930265</v>
      </c>
      <c r="D2323" s="5">
        <v>-578931664881349</v>
      </c>
      <c r="E2323" s="5">
        <f>[1]!nefin_factors__1[[#This Row],[SMB]]/D2322-1</f>
        <v>-2.7174641212177333</v>
      </c>
      <c r="F2323" s="5">
        <v>-133290532381957</v>
      </c>
      <c r="G2323" s="5">
        <f>[1]!nefin_factors__1[[#This Row],[HML]]/F2322-1</f>
        <v>-5.5620693190528092</v>
      </c>
      <c r="H2323" s="5">
        <v>50822969973785</v>
      </c>
      <c r="I2323" s="6">
        <f>[1]!nefin_factors__1[[#This Row],[Risk_Free]]/H2322-1</f>
        <v>0</v>
      </c>
      <c r="J2323">
        <v>106458</v>
      </c>
      <c r="K2323">
        <v>106701</v>
      </c>
      <c r="L2323">
        <v>104934</v>
      </c>
      <c r="M2323">
        <v>106279</v>
      </c>
      <c r="N2323">
        <v>11501000</v>
      </c>
      <c r="O2323">
        <v>106279</v>
      </c>
      <c r="P2323">
        <v>-1.6814142666591301E-3</v>
      </c>
      <c r="Q2323">
        <v>-1.68282943016707E-3</v>
      </c>
      <c r="R2323" s="8">
        <v>3.02994704246521</v>
      </c>
      <c r="S2323" s="8">
        <v>-1.20122524757574E-2</v>
      </c>
      <c r="T2323" s="9">
        <v>-1.20849826024183E-2</v>
      </c>
      <c r="U2323" s="12">
        <v>5.0788E-2</v>
      </c>
      <c r="V2323" s="16">
        <v>5.1353</v>
      </c>
      <c r="W2323" s="17">
        <f t="shared" si="36"/>
        <v>-6.6164594158057977E-4</v>
      </c>
    </row>
    <row r="2324" spans="1:23" x14ac:dyDescent="0.2">
      <c r="A2324" s="14">
        <v>44951</v>
      </c>
      <c r="B2324" s="3">
        <v>111252919044271</v>
      </c>
      <c r="C2324" s="3">
        <f>[1]!nefin_factors__1[[#This Row],[Rm_minus_Rf]]/B2323-1</f>
        <v>6.1396280044037077E-3</v>
      </c>
      <c r="D2324" s="3">
        <v>113014704230766</v>
      </c>
      <c r="E2324" s="3">
        <f>[1]!nefin_factors__1[[#This Row],[SMB]]/D2323-1</f>
        <v>-1.195212511400509</v>
      </c>
      <c r="F2324" s="3">
        <v>-118030937030427</v>
      </c>
      <c r="G2324" s="3">
        <f>[1]!nefin_factors__1[[#This Row],[HML]]/F2323-1</f>
        <v>-0.11448371522594081</v>
      </c>
      <c r="H2324" s="3">
        <v>50822969973785</v>
      </c>
      <c r="I2324" s="4">
        <f>[1]!nefin_factors__1[[#This Row],[Risk_Free]]/H2323-1</f>
        <v>0</v>
      </c>
      <c r="J2324">
        <v>106279</v>
      </c>
      <c r="K2324">
        <v>106830</v>
      </c>
      <c r="L2324">
        <v>105623</v>
      </c>
      <c r="M2324">
        <v>106016</v>
      </c>
      <c r="N2324">
        <v>10253400</v>
      </c>
      <c r="O2324">
        <v>106016</v>
      </c>
      <c r="P2324">
        <v>-2.4746186923099199E-3</v>
      </c>
      <c r="Q2324">
        <v>-2.4776856218449599E-3</v>
      </c>
      <c r="R2324" s="8">
        <v>3.0483670234680198</v>
      </c>
      <c r="S2324" s="8">
        <v>6.0793079036196599E-3</v>
      </c>
      <c r="T2324" s="9">
        <v>6.0609034644946297E-3</v>
      </c>
      <c r="U2324" s="12">
        <v>5.0788E-2</v>
      </c>
      <c r="V2324" s="16">
        <v>5.1821999999999999</v>
      </c>
      <c r="W2324" s="17">
        <f t="shared" si="36"/>
        <v>9.1328646817128156E-3</v>
      </c>
    </row>
    <row r="2325" spans="1:23" x14ac:dyDescent="0.2">
      <c r="A2325" s="15">
        <v>44952</v>
      </c>
      <c r="B2325" s="5">
        <v>-143985272910708</v>
      </c>
      <c r="C2325" s="5">
        <f>[1]!nefin_factors__1[[#This Row],[Rm_minus_Rf]]/B2324-1</f>
        <v>-2.2942156857332598</v>
      </c>
      <c r="D2325" s="5">
        <v>724759761660366</v>
      </c>
      <c r="E2325" s="5">
        <f>[1]!nefin_factors__1[[#This Row],[SMB]]/D2324-1</f>
        <v>5.4129687069787913</v>
      </c>
      <c r="F2325" s="5">
        <v>218975048518781</v>
      </c>
      <c r="G2325" s="5">
        <f>[1]!nefin_factors__1[[#This Row],[HML]]/F2324-1</f>
        <v>-2.8552343481127478</v>
      </c>
      <c r="H2325" s="5">
        <v>50822969973785</v>
      </c>
      <c r="I2325" s="6">
        <f>[1]!nefin_factors__1[[#This Row],[Risk_Free]]/H2324-1</f>
        <v>0</v>
      </c>
      <c r="J2325">
        <v>106023</v>
      </c>
      <c r="K2325">
        <v>106475</v>
      </c>
      <c r="L2325">
        <v>105122</v>
      </c>
      <c r="M2325">
        <v>106163</v>
      </c>
      <c r="N2325">
        <v>11207900</v>
      </c>
      <c r="O2325">
        <v>106163</v>
      </c>
      <c r="P2325">
        <v>1.3865831572592599E-3</v>
      </c>
      <c r="Q2325">
        <v>1.3856227385310399E-3</v>
      </c>
      <c r="R2325" s="8">
        <v>2.81812691688538</v>
      </c>
      <c r="S2325" s="8">
        <v>-7.5528997922535507E-2</v>
      </c>
      <c r="T2325" s="9">
        <v>-7.8533594706953494E-2</v>
      </c>
      <c r="U2325" s="12">
        <v>5.0788E-2</v>
      </c>
      <c r="V2325" s="16">
        <v>5.24</v>
      </c>
      <c r="W2325" s="17">
        <f t="shared" si="36"/>
        <v>1.1153564123345339E-2</v>
      </c>
    </row>
    <row r="2326" spans="1:23" x14ac:dyDescent="0.2">
      <c r="A2326" s="14">
        <v>44953</v>
      </c>
      <c r="B2326" s="3">
        <v>-135790782094365</v>
      </c>
      <c r="C2326" s="3">
        <f>[1]!nefin_factors__1[[#This Row],[Rm_minus_Rf]]/B2325-1</f>
        <v>-5.6912006698246032E-2</v>
      </c>
      <c r="D2326" s="3">
        <v>441099696417455</v>
      </c>
      <c r="E2326" s="3">
        <f>[1]!nefin_factors__1[[#This Row],[SMB]]/D2325-1</f>
        <v>-0.39138495298506737</v>
      </c>
      <c r="F2326" s="3">
        <v>-214193248244772</v>
      </c>
      <c r="G2326" s="3">
        <f>[1]!nefin_factors__1[[#This Row],[HML]]/F2325-1</f>
        <v>-1.9781628075602464</v>
      </c>
      <c r="H2326" s="3">
        <v>50822969973785</v>
      </c>
      <c r="I2326" s="4">
        <f>[1]!nefin_factors__1[[#This Row],[Risk_Free]]/H2325-1</f>
        <v>0</v>
      </c>
      <c r="J2326">
        <v>106149</v>
      </c>
      <c r="K2326">
        <v>106149</v>
      </c>
      <c r="L2326">
        <v>103604</v>
      </c>
      <c r="M2326">
        <v>103913</v>
      </c>
      <c r="N2326">
        <v>12713600</v>
      </c>
      <c r="O2326">
        <v>103913</v>
      </c>
      <c r="P2326">
        <v>-2.11938245904882E-2</v>
      </c>
      <c r="Q2326">
        <v>-2.14216382697392E-2</v>
      </c>
      <c r="R2326" s="8">
        <v>2.6707739830017099</v>
      </c>
      <c r="S2326" s="8">
        <v>-5.2287543545598399E-2</v>
      </c>
      <c r="T2326" s="9">
        <v>-5.3704138713079497E-2</v>
      </c>
      <c r="U2326" s="12">
        <v>5.0788E-2</v>
      </c>
      <c r="V2326" s="16">
        <v>5.2362000000000002</v>
      </c>
      <c r="W2326" s="17">
        <f t="shared" si="36"/>
        <v>-7.2519083969468934E-4</v>
      </c>
    </row>
    <row r="2327" spans="1:23" x14ac:dyDescent="0.2">
      <c r="A2327" s="15">
        <v>44956</v>
      </c>
      <c r="B2327" s="5">
        <v>-138872858189591</v>
      </c>
      <c r="C2327" s="5">
        <f>[1]!nefin_factors__1[[#This Row],[Rm_minus_Rf]]/B2326-1</f>
        <v>2.2697240914955286E-2</v>
      </c>
      <c r="D2327" s="5">
        <v>-116864761733445</v>
      </c>
      <c r="E2327" s="5">
        <f>[1]!nefin_factors__1[[#This Row],[SMB]]/D2326-1</f>
        <v>-1.2649395650974211</v>
      </c>
      <c r="F2327" s="5">
        <v>-825998139197704</v>
      </c>
      <c r="G2327" s="5">
        <f>[1]!nefin_factors__1[[#This Row],[HML]]/F2326-1</f>
        <v>2.8563220174605335</v>
      </c>
      <c r="H2327" s="5">
        <v>507880373261882</v>
      </c>
      <c r="I2327" s="6">
        <f>[1]!nefin_factors__1[[#This Row],[Risk_Free]]/H2326-1</f>
        <v>8.9931266024762397</v>
      </c>
      <c r="J2327">
        <v>103913</v>
      </c>
      <c r="K2327">
        <v>104615</v>
      </c>
      <c r="L2327">
        <v>103087</v>
      </c>
      <c r="M2327">
        <v>104367</v>
      </c>
      <c r="N2327">
        <v>12378000</v>
      </c>
      <c r="O2327">
        <v>104367</v>
      </c>
      <c r="P2327">
        <v>4.3690394849538201E-3</v>
      </c>
      <c r="Q2327">
        <v>4.3595229406465799E-3</v>
      </c>
      <c r="R2327" s="8">
        <v>2.70761299133301</v>
      </c>
      <c r="S2327" s="8">
        <v>1.3793382954066E-2</v>
      </c>
      <c r="T2327" s="9">
        <v>1.36991200611141E-2</v>
      </c>
      <c r="U2327" s="12">
        <v>5.0788E-2</v>
      </c>
      <c r="V2327" s="16">
        <v>5.2980999999999998</v>
      </c>
      <c r="W2327" s="17">
        <f t="shared" si="36"/>
        <v>1.1821549978992429E-2</v>
      </c>
    </row>
    <row r="2328" spans="1:23" x14ac:dyDescent="0.2">
      <c r="A2328" s="14">
        <v>44957</v>
      </c>
      <c r="B2328" s="3">
        <v>110520226204358</v>
      </c>
      <c r="C2328" s="3">
        <f>[1]!nefin_factors__1[[#This Row],[Rm_minus_Rf]]/B2327-1</f>
        <v>-1.7958374850575507</v>
      </c>
      <c r="D2328" s="3">
        <v>127343722153175</v>
      </c>
      <c r="E2328" s="3">
        <f>[1]!nefin_factors__1[[#This Row],[SMB]]/D2327-1</f>
        <v>-2.0896674092711649</v>
      </c>
      <c r="F2328" s="3">
        <v>243720599943782</v>
      </c>
      <c r="G2328" s="3">
        <f>[1]!nefin_factors__1[[#This Row],[HML]]/F2327-1</f>
        <v>-1.2950619237235923</v>
      </c>
      <c r="H2328" s="3">
        <v>507880373261882</v>
      </c>
      <c r="I2328" s="4">
        <f>[1]!nefin_factors__1[[#This Row],[Risk_Free]]/H2327-1</f>
        <v>0</v>
      </c>
      <c r="J2328">
        <v>104367</v>
      </c>
      <c r="K2328">
        <v>104822</v>
      </c>
      <c r="L2328">
        <v>103247</v>
      </c>
      <c r="M2328">
        <v>103947</v>
      </c>
      <c r="N2328">
        <v>10935400</v>
      </c>
      <c r="O2328">
        <v>103947</v>
      </c>
      <c r="P2328">
        <v>-4.0242605421253498E-3</v>
      </c>
      <c r="Q2328">
        <v>-4.0323796682205197E-3</v>
      </c>
      <c r="R2328" s="8">
        <v>2.6799840927124001</v>
      </c>
      <c r="S2328" s="8">
        <v>-1.02041535142005E-2</v>
      </c>
      <c r="T2328" s="9">
        <v>-1.0256572789786001E-2</v>
      </c>
      <c r="U2328" s="12">
        <v>5.0788E-2</v>
      </c>
      <c r="V2328" s="16">
        <v>5.2892000000000001</v>
      </c>
      <c r="W2328" s="17">
        <f t="shared" si="36"/>
        <v>-1.6798474924972773E-3</v>
      </c>
    </row>
    <row r="2329" spans="1:23" x14ac:dyDescent="0.2">
      <c r="A2329" s="15">
        <v>44958</v>
      </c>
      <c r="B2329" s="5">
        <v>-129716867781828</v>
      </c>
      <c r="C2329" s="5">
        <f>[1]!nefin_factors__1[[#This Row],[Rm_minus_Rf]]/B2328-1</f>
        <v>-2.1736934698448263</v>
      </c>
      <c r="D2329" s="5">
        <v>65211659257948</v>
      </c>
      <c r="E2329" s="5">
        <f>[1]!nefin_factors__1[[#This Row],[SMB]]/D2328-1</f>
        <v>-0.48790833065560657</v>
      </c>
      <c r="F2329" s="5">
        <v>-998530616448687</v>
      </c>
      <c r="G2329" s="5">
        <f>[1]!nefin_factors__1[[#This Row],[HML]]/F2328-1</f>
        <v>-5.0970300281511447</v>
      </c>
      <c r="H2329" s="5">
        <v>507880373261882</v>
      </c>
      <c r="I2329" s="6">
        <f>[1]!nefin_factors__1[[#This Row],[Risk_Free]]/H2328-1</f>
        <v>0</v>
      </c>
      <c r="J2329">
        <v>103947</v>
      </c>
      <c r="K2329">
        <v>103947</v>
      </c>
      <c r="L2329">
        <v>102633</v>
      </c>
      <c r="M2329">
        <v>103220</v>
      </c>
      <c r="N2329">
        <v>10873200</v>
      </c>
      <c r="O2329">
        <v>103220</v>
      </c>
      <c r="P2329">
        <v>-6.9939488393123703E-3</v>
      </c>
      <c r="Q2329">
        <v>-7.0185211381221897E-3</v>
      </c>
      <c r="R2329" s="8">
        <v>2.5510499477386501</v>
      </c>
      <c r="S2329" s="8">
        <v>-4.8110041147020798E-2</v>
      </c>
      <c r="T2329" s="9">
        <v>-4.9305840311893799E-2</v>
      </c>
      <c r="U2329" s="12">
        <v>5.0788E-2</v>
      </c>
      <c r="V2329" s="16">
        <v>5.2679</v>
      </c>
      <c r="W2329" s="17">
        <f t="shared" si="36"/>
        <v>-4.0270740376616709E-3</v>
      </c>
    </row>
    <row r="2330" spans="1:23" x14ac:dyDescent="0.2">
      <c r="A2330" s="14">
        <v>44959</v>
      </c>
      <c r="B2330" s="3">
        <v>-156570630861958</v>
      </c>
      <c r="C2330" s="3">
        <f>[1]!nefin_factors__1[[#This Row],[Rm_minus_Rf]]/B2329-1</f>
        <v>0.20701828173415038</v>
      </c>
      <c r="D2330" s="3">
        <v>501017767515151</v>
      </c>
      <c r="E2330" s="3">
        <f>[1]!nefin_factors__1[[#This Row],[SMB]]/D2329-1</f>
        <v>6.6829477000937825</v>
      </c>
      <c r="F2330" s="3">
        <v>107218421735999</v>
      </c>
      <c r="G2330" s="3">
        <f>[1]!nefin_factors__1[[#This Row],[HML]]/F2329-1</f>
        <v>-1.1073761985559596</v>
      </c>
      <c r="H2330" s="3">
        <v>50822969973785</v>
      </c>
      <c r="I2330" s="4">
        <f>[1]!nefin_factors__1[[#This Row],[Risk_Free]]/H2329-1</f>
        <v>-0.8999312187486741</v>
      </c>
      <c r="J2330">
        <v>103220</v>
      </c>
      <c r="K2330">
        <v>103668</v>
      </c>
      <c r="L2330">
        <v>102233</v>
      </c>
      <c r="M2330">
        <v>102312</v>
      </c>
      <c r="N2330">
        <v>10115500</v>
      </c>
      <c r="O2330">
        <v>102312</v>
      </c>
      <c r="P2330">
        <v>-8.7967448168959593E-3</v>
      </c>
      <c r="Q2330">
        <v>-8.8356645895622098E-3</v>
      </c>
      <c r="R2330" s="8">
        <v>2.4129059314727801</v>
      </c>
      <c r="S2330" s="8">
        <v>-5.4151827324402498E-2</v>
      </c>
      <c r="T2330" s="9">
        <v>-5.5673216811224502E-2</v>
      </c>
      <c r="U2330" s="12">
        <v>5.0788E-2</v>
      </c>
      <c r="V2330" s="16">
        <v>5.2466999999999997</v>
      </c>
      <c r="W2330" s="17">
        <f t="shared" si="36"/>
        <v>-4.0243740389909188E-3</v>
      </c>
    </row>
    <row r="2331" spans="1:23" x14ac:dyDescent="0.2">
      <c r="A2331" s="15">
        <v>44960</v>
      </c>
      <c r="B2331" s="5">
        <v>-138621694796565</v>
      </c>
      <c r="C2331" s="5">
        <f>[1]!nefin_factors__1[[#This Row],[Rm_minus_Rf]]/B2330-1</f>
        <v>-0.11463794944543493</v>
      </c>
      <c r="D2331" s="5">
        <v>-148622090825367</v>
      </c>
      <c r="E2331" s="5">
        <f>[1]!nefin_factors__1[[#This Row],[SMB]]/D2330-1</f>
        <v>-1.2966403598069456</v>
      </c>
      <c r="F2331" s="5">
        <v>-680125795570046</v>
      </c>
      <c r="G2331" s="5">
        <f>[1]!nefin_factors__1[[#This Row],[HML]]/F2330-1</f>
        <v>-7.3433669751705652</v>
      </c>
      <c r="H2331" s="5">
        <v>50822969973785</v>
      </c>
      <c r="I2331" s="6">
        <f>[1]!nefin_factors__1[[#This Row],[Risk_Free]]/H2330-1</f>
        <v>0</v>
      </c>
      <c r="J2331">
        <v>102310</v>
      </c>
      <c r="K2331">
        <v>103177</v>
      </c>
      <c r="L2331">
        <v>101975</v>
      </c>
      <c r="M2331">
        <v>102923</v>
      </c>
      <c r="N2331">
        <v>11302800</v>
      </c>
      <c r="O2331">
        <v>102923</v>
      </c>
      <c r="P2331">
        <v>5.97192900148569E-3</v>
      </c>
      <c r="Q2331">
        <v>5.9541677111834097E-3</v>
      </c>
      <c r="R2331" s="8">
        <v>2.34843897819519</v>
      </c>
      <c r="S2331" s="8">
        <v>-2.6717557629044798E-2</v>
      </c>
      <c r="T2331" s="9">
        <v>-2.7080958990159901E-2</v>
      </c>
      <c r="U2331" s="12">
        <v>5.0788E-2</v>
      </c>
      <c r="V2331" s="16">
        <v>5.2443999999999997</v>
      </c>
      <c r="W2331" s="17">
        <f t="shared" si="36"/>
        <v>-4.3837078544606278E-4</v>
      </c>
    </row>
    <row r="2332" spans="1:23" x14ac:dyDescent="0.2">
      <c r="A2332" s="14">
        <v>44963</v>
      </c>
      <c r="B2332" s="3">
        <v>67094957146917</v>
      </c>
      <c r="C2332" s="3">
        <f>[1]!nefin_factors__1[[#This Row],[Rm_minus_Rf]]/B2331-1</f>
        <v>-1.4840148379759932</v>
      </c>
      <c r="D2332" s="3">
        <v>-227063210297608</v>
      </c>
      <c r="E2332" s="3">
        <f>[1]!nefin_factors__1[[#This Row],[SMB]]/D2331-1</f>
        <v>0.52778909943078656</v>
      </c>
      <c r="F2332" s="3">
        <v>-323793168345667</v>
      </c>
      <c r="G2332" s="3">
        <f>[1]!nefin_factors__1[[#This Row],[HML]]/F2331-1</f>
        <v>-0.52392164735601532</v>
      </c>
      <c r="H2332" s="3">
        <v>50822969973785</v>
      </c>
      <c r="I2332" s="4">
        <f>[1]!nefin_factors__1[[#This Row],[Risk_Free]]/H2331-1</f>
        <v>0</v>
      </c>
      <c r="J2332">
        <v>102923</v>
      </c>
      <c r="K2332">
        <v>104432</v>
      </c>
      <c r="L2332">
        <v>102449</v>
      </c>
      <c r="M2332">
        <v>104432</v>
      </c>
      <c r="N2332">
        <v>13080900</v>
      </c>
      <c r="O2332">
        <v>104432</v>
      </c>
      <c r="P2332">
        <v>1.46614459353109E-2</v>
      </c>
      <c r="Q2332">
        <v>1.4555006050659401E-2</v>
      </c>
      <c r="R2332" s="8">
        <v>2.5050020217895499</v>
      </c>
      <c r="S2332" s="8">
        <v>6.6666856174683903E-2</v>
      </c>
      <c r="T2332" s="9">
        <v>6.4538698801321598E-2</v>
      </c>
      <c r="U2332" s="12">
        <v>5.0788E-2</v>
      </c>
      <c r="V2332" s="16">
        <v>5.2648000000000001</v>
      </c>
      <c r="W2332" s="17">
        <f t="shared" si="36"/>
        <v>3.8898634734192417E-3</v>
      </c>
    </row>
    <row r="2333" spans="1:23" x14ac:dyDescent="0.2">
      <c r="A2333" s="15">
        <v>44964</v>
      </c>
      <c r="B2333" s="5">
        <v>-833397470662068</v>
      </c>
      <c r="C2333" s="5">
        <f>[1]!nefin_factors__1[[#This Row],[Rm_minus_Rf]]/B2332-1</f>
        <v>-13.421164065090434</v>
      </c>
      <c r="D2333" s="5">
        <v>-103677145710224</v>
      </c>
      <c r="E2333" s="5">
        <f>[1]!nefin_factors__1[[#This Row],[SMB]]/D2332-1</f>
        <v>-0.54339963055073492</v>
      </c>
      <c r="F2333" s="5">
        <v>-148062935512893</v>
      </c>
      <c r="G2333" s="5">
        <f>[1]!nefin_factors__1[[#This Row],[HML]]/F2332-1</f>
        <v>-0.54272371999267244</v>
      </c>
      <c r="H2333" s="5">
        <v>50822969973785</v>
      </c>
      <c r="I2333" s="6">
        <f>[1]!nefin_factors__1[[#This Row],[Risk_Free]]/H2332-1</f>
        <v>0</v>
      </c>
      <c r="J2333">
        <v>104431</v>
      </c>
      <c r="K2333">
        <v>104447</v>
      </c>
      <c r="L2333">
        <v>101569</v>
      </c>
      <c r="M2333">
        <v>101927</v>
      </c>
      <c r="N2333">
        <v>12018000</v>
      </c>
      <c r="O2333">
        <v>101927</v>
      </c>
      <c r="P2333">
        <v>-2.3986900566876E-2</v>
      </c>
      <c r="Q2333">
        <v>-2.4279271108780798E-2</v>
      </c>
      <c r="R2333" s="8">
        <v>2.4221160411834699</v>
      </c>
      <c r="S2333" s="8">
        <v>-3.3088189105279102E-2</v>
      </c>
      <c r="T2333" s="9">
        <v>-3.3647986348788697E-2</v>
      </c>
      <c r="U2333" s="12">
        <v>5.0788E-2</v>
      </c>
      <c r="V2333" s="16">
        <v>5.2632000000000003</v>
      </c>
      <c r="W2333" s="17">
        <f t="shared" si="36"/>
        <v>-3.0390518158329716E-4</v>
      </c>
    </row>
    <row r="2334" spans="1:23" x14ac:dyDescent="0.2">
      <c r="A2334" s="14">
        <v>44965</v>
      </c>
      <c r="B2334" s="3">
        <v>181990159041906</v>
      </c>
      <c r="C2334" s="3">
        <f>[1]!nefin_factors__1[[#This Row],[Rm_minus_Rf]]/B2333-1</f>
        <v>-1.2183713839416015</v>
      </c>
      <c r="D2334" s="3">
        <v>-804442738462899</v>
      </c>
      <c r="E2334" s="3">
        <f>[1]!nefin_factors__1[[#This Row],[SMB]]/D2333-1</f>
        <v>6.7591134762843863</v>
      </c>
      <c r="F2334" s="3">
        <v>-536989653188657</v>
      </c>
      <c r="G2334" s="3">
        <f>[1]!nefin_factors__1[[#This Row],[HML]]/F2333-1</f>
        <v>2.6267662215970122</v>
      </c>
      <c r="H2334" s="3">
        <v>507880373261882</v>
      </c>
      <c r="I2334" s="4">
        <f>[1]!nefin_factors__1[[#This Row],[Risk_Free]]/H2333-1</f>
        <v>8.9931266024762397</v>
      </c>
      <c r="J2334">
        <v>101927</v>
      </c>
      <c r="K2334">
        <v>102331</v>
      </c>
      <c r="L2334">
        <v>101433</v>
      </c>
      <c r="M2334">
        <v>101797</v>
      </c>
      <c r="N2334">
        <v>11688200</v>
      </c>
      <c r="O2334">
        <v>101797</v>
      </c>
      <c r="P2334">
        <v>-1.27542260637514E-3</v>
      </c>
      <c r="Q2334">
        <v>-1.27623665002764E-3</v>
      </c>
      <c r="R2334" s="8">
        <v>2.5050020217895499</v>
      </c>
      <c r="S2334" s="8">
        <v>3.4220482915253002E-2</v>
      </c>
      <c r="T2334" s="9">
        <v>3.3647986348788801E-2</v>
      </c>
      <c r="U2334" s="12">
        <v>5.0788E-2</v>
      </c>
      <c r="V2334" s="16">
        <v>5.2920999999999996</v>
      </c>
      <c r="W2334" s="17">
        <f t="shared" si="36"/>
        <v>5.4909560723512829E-3</v>
      </c>
    </row>
    <row r="2335" spans="1:23" x14ac:dyDescent="0.2">
      <c r="A2335" s="15">
        <v>44966</v>
      </c>
      <c r="B2335" s="5">
        <v>-17852820443818</v>
      </c>
      <c r="C2335" s="5">
        <f>[1]!nefin_factors__1[[#This Row],[Rm_minus_Rf]]/B2334-1</f>
        <v>-1.0980977242824823</v>
      </c>
      <c r="D2335" s="5">
        <v>-102846190597921</v>
      </c>
      <c r="E2335" s="5">
        <f>[1]!nefin_factors__1[[#This Row],[SMB]]/D2334-1</f>
        <v>-0.8721522543737098</v>
      </c>
      <c r="F2335" s="5">
        <v>-127847998856202</v>
      </c>
      <c r="G2335" s="5">
        <f>[1]!nefin_factors__1[[#This Row],[HML]]/F2334-1</f>
        <v>-0.76191720250653316</v>
      </c>
      <c r="H2335" s="5">
        <v>507880373261882</v>
      </c>
      <c r="I2335" s="6">
        <f>[1]!nefin_factors__1[[#This Row],[Risk_Free]]/H2334-1</f>
        <v>0</v>
      </c>
      <c r="J2335">
        <v>101798</v>
      </c>
      <c r="K2335">
        <v>103321</v>
      </c>
      <c r="L2335">
        <v>101063</v>
      </c>
      <c r="M2335">
        <v>102174</v>
      </c>
      <c r="N2335">
        <v>14837300</v>
      </c>
      <c r="O2335">
        <v>102174</v>
      </c>
      <c r="P2335">
        <v>3.7034490210909902E-3</v>
      </c>
      <c r="Q2335">
        <v>3.6966081384694699E-3</v>
      </c>
      <c r="R2335" s="8">
        <v>2.5970981121063201</v>
      </c>
      <c r="S2335" s="8">
        <v>3.6764876641089503E-2</v>
      </c>
      <c r="T2335" s="9">
        <v>3.6105169345564903E-2</v>
      </c>
      <c r="U2335" s="12">
        <v>5.0788E-2</v>
      </c>
      <c r="V2335" s="16">
        <v>5.2305999999999999</v>
      </c>
      <c r="W2335" s="17">
        <f t="shared" si="36"/>
        <v>-1.1621095595321318E-2</v>
      </c>
    </row>
    <row r="2336" spans="1:23" x14ac:dyDescent="0.2">
      <c r="A2336" s="14">
        <v>44967</v>
      </c>
      <c r="B2336" s="3">
        <v>230978550734548</v>
      </c>
      <c r="C2336" s="3">
        <f>[1]!nefin_factors__1[[#This Row],[Rm_minus_Rf]]/B2335-1</f>
        <v>-13.937930533801469</v>
      </c>
      <c r="D2336" s="3">
        <v>-601638482773569</v>
      </c>
      <c r="E2336" s="3">
        <f>[1]!nefin_factors__1[[#This Row],[SMB]]/D2335-1</f>
        <v>4.8498859245617103</v>
      </c>
      <c r="F2336" s="3">
        <v>-645917935673863</v>
      </c>
      <c r="G2336" s="3">
        <f>[1]!nefin_factors__1[[#This Row],[HML]]/F2335-1</f>
        <v>4.0522334448141351</v>
      </c>
      <c r="H2336" s="3">
        <v>507880373261882</v>
      </c>
      <c r="I2336" s="4">
        <f>[1]!nefin_factors__1[[#This Row],[Risk_Free]]/H2335-1</f>
        <v>0</v>
      </c>
      <c r="J2336">
        <v>102175</v>
      </c>
      <c r="K2336">
        <v>105306</v>
      </c>
      <c r="L2336">
        <v>102175</v>
      </c>
      <c r="M2336">
        <v>105148</v>
      </c>
      <c r="N2336">
        <v>16699500</v>
      </c>
      <c r="O2336">
        <v>105148</v>
      </c>
      <c r="P2336">
        <v>2.9107209270460298E-2</v>
      </c>
      <c r="Q2336">
        <v>2.8691639248314801E-2</v>
      </c>
      <c r="R2336" s="8">
        <v>2.8273370265960698</v>
      </c>
      <c r="S2336" s="8">
        <v>8.8652374516192498E-2</v>
      </c>
      <c r="T2336" s="9">
        <v>8.4940577670467199E-2</v>
      </c>
      <c r="U2336" s="12">
        <v>5.0788E-2</v>
      </c>
      <c r="V2336" s="16">
        <v>5.1733000000000002</v>
      </c>
      <c r="W2336" s="17">
        <f t="shared" si="36"/>
        <v>-1.0954766183611797E-2</v>
      </c>
    </row>
    <row r="2337" spans="1:23" x14ac:dyDescent="0.2">
      <c r="A2337" s="15">
        <v>44970</v>
      </c>
      <c r="B2337" s="5">
        <v>64636911450546</v>
      </c>
      <c r="C2337" s="5">
        <f>[1]!nefin_factors__1[[#This Row],[Rm_minus_Rf]]/B2336-1</f>
        <v>-0.72016054631483972</v>
      </c>
      <c r="D2337" s="5">
        <v>850388481405209</v>
      </c>
      <c r="E2337" s="5">
        <f>[1]!nefin_factors__1[[#This Row],[SMB]]/D2336-1</f>
        <v>-2.4134542682258227</v>
      </c>
      <c r="F2337" s="5">
        <v>-359774772900519</v>
      </c>
      <c r="G2337" s="5">
        <f>[1]!nefin_factors__1[[#This Row],[HML]]/F2336-1</f>
        <v>-0.44300234901330171</v>
      </c>
      <c r="H2337" s="5">
        <v>507880373261882</v>
      </c>
      <c r="I2337" s="6">
        <f>[1]!nefin_factors__1[[#This Row],[Risk_Free]]/H2336-1</f>
        <v>0</v>
      </c>
      <c r="J2337">
        <v>105161</v>
      </c>
      <c r="K2337">
        <v>106716</v>
      </c>
      <c r="L2337">
        <v>105161</v>
      </c>
      <c r="M2337">
        <v>106042</v>
      </c>
      <c r="N2337">
        <v>13259200</v>
      </c>
      <c r="O2337">
        <v>106042</v>
      </c>
      <c r="P2337">
        <v>8.5023015178604701E-3</v>
      </c>
      <c r="Q2337">
        <v>8.4663605293671899E-3</v>
      </c>
      <c r="R2337" s="8">
        <v>2.8365459442138699</v>
      </c>
      <c r="S2337" s="8">
        <v>3.25709935928109E-3</v>
      </c>
      <c r="T2337" s="9">
        <v>3.2518065009592202E-3</v>
      </c>
      <c r="U2337" s="12">
        <v>5.0788E-2</v>
      </c>
      <c r="V2337" s="16">
        <v>5.1493000000000002</v>
      </c>
      <c r="W2337" s="17">
        <f t="shared" si="36"/>
        <v>-4.6392051495177666E-3</v>
      </c>
    </row>
    <row r="2338" spans="1:23" x14ac:dyDescent="0.2">
      <c r="A2338" s="14">
        <v>44971</v>
      </c>
      <c r="B2338" s="3">
        <v>-764352487311993</v>
      </c>
      <c r="C2338" s="3">
        <f>[1]!nefin_factors__1[[#This Row],[Rm_minus_Rf]]/B2337-1</f>
        <v>-12.825325037332618</v>
      </c>
      <c r="D2338" s="3">
        <v>-194680811800959</v>
      </c>
      <c r="E2338" s="3">
        <f>[1]!nefin_factors__1[[#This Row],[SMB]]/D2337-1</f>
        <v>-1.2289316189693236</v>
      </c>
      <c r="F2338" s="3">
        <v>378084214723137</v>
      </c>
      <c r="G2338" s="3">
        <f>[1]!nefin_factors__1[[#This Row],[HML]]/F2337-1</f>
        <v>-2.050891399847206</v>
      </c>
      <c r="H2338" s="3">
        <v>50822969973785</v>
      </c>
      <c r="I2338" s="4">
        <f>[1]!nefin_factors__1[[#This Row],[Risk_Free]]/H2337-1</f>
        <v>-0.8999312187486741</v>
      </c>
      <c r="J2338">
        <v>106028</v>
      </c>
      <c r="K2338">
        <v>107731</v>
      </c>
      <c r="L2338">
        <v>105549</v>
      </c>
      <c r="M2338">
        <v>107114</v>
      </c>
      <c r="N2338">
        <v>13526600</v>
      </c>
      <c r="O2338">
        <v>107114</v>
      </c>
      <c r="P2338">
        <v>1.01092020142963E-2</v>
      </c>
      <c r="Q2338">
        <v>1.0058445814769E-2</v>
      </c>
      <c r="R2338" s="8">
        <v>2.9378519058227499</v>
      </c>
      <c r="S2338" s="8">
        <v>3.5714549879065402E-2</v>
      </c>
      <c r="T2338" s="9">
        <v>3.5091574866886903E-2</v>
      </c>
      <c r="U2338" s="12">
        <v>5.0788E-2</v>
      </c>
      <c r="V2338" s="16">
        <v>5.1254</v>
      </c>
      <c r="W2338" s="17">
        <f t="shared" si="36"/>
        <v>-4.6414075699610091E-3</v>
      </c>
    </row>
    <row r="2339" spans="1:23" x14ac:dyDescent="0.2">
      <c r="A2339" s="15">
        <v>44972</v>
      </c>
      <c r="B2339" s="5">
        <v>156544349999804</v>
      </c>
      <c r="C2339" s="5">
        <f>[1]!nefin_factors__1[[#This Row],[Rm_minus_Rf]]/B2338-1</f>
        <v>-1.2048064899354554</v>
      </c>
      <c r="D2339" s="5">
        <v>143606532375812</v>
      </c>
      <c r="E2339" s="5">
        <f>[1]!nefin_factors__1[[#This Row],[SMB]]/D2338-1</f>
        <v>-1.7376511893870406</v>
      </c>
      <c r="F2339" s="5">
        <v>-167143302782162</v>
      </c>
      <c r="G2339" s="5">
        <f>[1]!nefin_factors__1[[#This Row],[HML]]/F2338-1</f>
        <v>-1.4420795586627637</v>
      </c>
      <c r="H2339" s="5">
        <v>507880373261882</v>
      </c>
      <c r="I2339" s="6">
        <f>[1]!nefin_factors__1[[#This Row],[Risk_Free]]/H2338-1</f>
        <v>8.9931266024762397</v>
      </c>
      <c r="J2339">
        <v>107114</v>
      </c>
      <c r="K2339">
        <v>107744</v>
      </c>
      <c r="L2339">
        <v>106538</v>
      </c>
      <c r="M2339">
        <v>107448</v>
      </c>
      <c r="N2339">
        <v>13576900</v>
      </c>
      <c r="O2339">
        <v>107448</v>
      </c>
      <c r="P2339">
        <v>3.1181731613047999E-3</v>
      </c>
      <c r="Q2339">
        <v>3.1133217418006999E-3</v>
      </c>
      <c r="R2339" s="8">
        <v>2.9746899604797399</v>
      </c>
      <c r="S2339" s="8">
        <v>1.25391121941749E-2</v>
      </c>
      <c r="T2339" s="9">
        <v>1.24611485800441E-2</v>
      </c>
      <c r="U2339" s="12">
        <v>5.0788E-2</v>
      </c>
      <c r="V2339" s="16">
        <v>5.0804</v>
      </c>
      <c r="W2339" s="17">
        <f t="shared" si="36"/>
        <v>-8.7798025519959522E-3</v>
      </c>
    </row>
    <row r="2340" spans="1:23" x14ac:dyDescent="0.2">
      <c r="A2340" s="14">
        <v>44973</v>
      </c>
      <c r="B2340" s="3">
        <v>349625265143032</v>
      </c>
      <c r="C2340" s="3">
        <f>[1]!nefin_factors__1[[#This Row],[Rm_minus_Rf]]/B2339-1</f>
        <v>1.2333943393260105</v>
      </c>
      <c r="D2340" s="3">
        <v>-319462969087227</v>
      </c>
      <c r="E2340" s="3">
        <f>[1]!nefin_factors__1[[#This Row],[SMB]]/D2339-1</f>
        <v>-3.2245712907488526</v>
      </c>
      <c r="F2340" s="3">
        <v>426057137406078</v>
      </c>
      <c r="G2340" s="3">
        <f>[1]!nefin_factors__1[[#This Row],[HML]]/F2339-1</f>
        <v>-3.5490530001154674</v>
      </c>
      <c r="H2340" s="3">
        <v>507880373261882</v>
      </c>
      <c r="I2340" s="4">
        <f>[1]!nefin_factors__1[[#This Row],[Risk_Free]]/H2339-1</f>
        <v>0</v>
      </c>
      <c r="J2340">
        <v>107446</v>
      </c>
      <c r="K2340">
        <v>108667</v>
      </c>
      <c r="L2340">
        <v>106419</v>
      </c>
      <c r="M2340">
        <v>108256</v>
      </c>
      <c r="N2340">
        <v>12772100</v>
      </c>
      <c r="O2340">
        <v>108256</v>
      </c>
      <c r="P2340">
        <v>7.5199166108257396E-3</v>
      </c>
      <c r="Q2340">
        <v>7.4917829915239096E-3</v>
      </c>
      <c r="R2340" s="8">
        <v>3.0944139957428001</v>
      </c>
      <c r="S2340" s="8">
        <v>4.0247567596507897E-2</v>
      </c>
      <c r="T2340" s="9">
        <v>3.9458730590756497E-2</v>
      </c>
      <c r="U2340" s="12">
        <v>5.0788E-2</v>
      </c>
      <c r="V2340" s="16">
        <v>5.0636999999999999</v>
      </c>
      <c r="W2340" s="17">
        <f t="shared" si="36"/>
        <v>-3.2871427446657941E-3</v>
      </c>
    </row>
    <row r="2341" spans="1:23" x14ac:dyDescent="0.2">
      <c r="A2341" s="15">
        <v>44974</v>
      </c>
      <c r="B2341" s="5">
        <v>-463261256669715</v>
      </c>
      <c r="C2341" s="5">
        <f>[1]!nefin_factors__1[[#This Row],[Rm_minus_Rf]]/B2340-1</f>
        <v>-2.3250222534123628</v>
      </c>
      <c r="D2341" s="5">
        <v>634193546699097</v>
      </c>
      <c r="E2341" s="5">
        <f>[1]!nefin_factors__1[[#This Row],[SMB]]/D2340-1</f>
        <v>-2.9851864161631054</v>
      </c>
      <c r="F2341" s="5">
        <v>-153215435001649</v>
      </c>
      <c r="G2341" s="5">
        <f>[1]!nefin_factors__1[[#This Row],[HML]]/F2340-1</f>
        <v>-1.3596124123972093</v>
      </c>
      <c r="H2341" s="5">
        <v>507880373261882</v>
      </c>
      <c r="I2341" s="6">
        <f>[1]!nefin_factors__1[[#This Row],[Risk_Free]]/H2340-1</f>
        <v>0</v>
      </c>
      <c r="J2341">
        <v>108256</v>
      </c>
      <c r="K2341">
        <v>108817</v>
      </c>
      <c r="L2341">
        <v>107497</v>
      </c>
      <c r="M2341">
        <v>108464</v>
      </c>
      <c r="N2341">
        <v>11925000</v>
      </c>
      <c r="O2341">
        <v>108464</v>
      </c>
      <c r="P2341">
        <v>1.92137156370076E-3</v>
      </c>
      <c r="Q2341">
        <v>1.9195280903117301E-3</v>
      </c>
      <c r="R2341" s="8">
        <v>3.0115280151367201</v>
      </c>
      <c r="S2341" s="8">
        <v>-2.6785679201332201E-2</v>
      </c>
      <c r="T2341" s="9">
        <v>-2.7150953015944199E-2</v>
      </c>
      <c r="U2341" s="12">
        <v>5.0788E-2</v>
      </c>
      <c r="V2341" s="16">
        <v>5.0762</v>
      </c>
      <c r="W2341" s="17">
        <f t="shared" si="36"/>
        <v>2.4685506645338862E-3</v>
      </c>
    </row>
    <row r="2342" spans="1:23" x14ac:dyDescent="0.2">
      <c r="A2342" s="14">
        <v>44979</v>
      </c>
      <c r="B2342" s="3">
        <v>-172484458233718</v>
      </c>
      <c r="C2342" s="3">
        <f>[1]!nefin_factors__1[[#This Row],[Rm_minus_Rf]]/B2341-1</f>
        <v>-0.62767346556525905</v>
      </c>
      <c r="D2342" s="3">
        <v>503838685072728</v>
      </c>
      <c r="E2342" s="3">
        <f>[1]!nefin_factors__1[[#This Row],[SMB]]/D2341-1</f>
        <v>-0.20554428897116783</v>
      </c>
      <c r="F2342" s="3">
        <v>-688401048427506</v>
      </c>
      <c r="G2342" s="3">
        <f>[1]!nefin_factors__1[[#This Row],[HML]]/F2341-1</f>
        <v>3.4930267529514696</v>
      </c>
      <c r="H2342" s="3">
        <v>507880373261882</v>
      </c>
      <c r="I2342" s="4">
        <f>[1]!nefin_factors__1[[#This Row],[Risk_Free]]/H2341-1</f>
        <v>0</v>
      </c>
      <c r="J2342">
        <v>108469</v>
      </c>
      <c r="K2342">
        <v>109271</v>
      </c>
      <c r="L2342">
        <v>108356</v>
      </c>
      <c r="M2342">
        <v>109029</v>
      </c>
      <c r="N2342">
        <v>11603200</v>
      </c>
      <c r="O2342">
        <v>109029</v>
      </c>
      <c r="P2342">
        <v>5.2091016374096197E-3</v>
      </c>
      <c r="Q2342">
        <v>5.1955812000380602E-3</v>
      </c>
      <c r="R2342" s="8">
        <v>2.90101289749146</v>
      </c>
      <c r="S2342" s="8">
        <v>-3.66973566540926E-2</v>
      </c>
      <c r="T2342" s="9">
        <v>-3.7387645169684701E-2</v>
      </c>
      <c r="U2342" s="12">
        <v>5.0788E-2</v>
      </c>
      <c r="V2342" s="16">
        <v>5.0446999999999997</v>
      </c>
      <c r="W2342" s="17">
        <f t="shared" si="36"/>
        <v>-6.2054292581065207E-3</v>
      </c>
    </row>
    <row r="2343" spans="1:23" x14ac:dyDescent="0.2">
      <c r="A2343" s="15">
        <v>44980</v>
      </c>
      <c r="B2343" s="5">
        <v>266752814358983</v>
      </c>
      <c r="C2343" s="5">
        <f>[1]!nefin_factors__1[[#This Row],[Rm_minus_Rf]]/B2342-1</f>
        <v>-2.5465324649571066</v>
      </c>
      <c r="D2343" s="5">
        <v>-779174726536578</v>
      </c>
      <c r="E2343" s="5">
        <f>[1]!nefin_factors__1[[#This Row],[SMB]]/D2342-1</f>
        <v>-2.546476579947619</v>
      </c>
      <c r="F2343" s="5">
        <v>-381456196269232</v>
      </c>
      <c r="G2343" s="5">
        <f>[1]!nefin_factors__1[[#This Row],[HML]]/F2342-1</f>
        <v>-0.44588086095949298</v>
      </c>
      <c r="H2343" s="5">
        <v>50822969973785</v>
      </c>
      <c r="I2343" s="6">
        <f>[1]!nefin_factors__1[[#This Row],[Risk_Free]]/H2342-1</f>
        <v>-0.8999312187486741</v>
      </c>
      <c r="J2343">
        <v>109029</v>
      </c>
      <c r="K2343">
        <v>110151</v>
      </c>
      <c r="L2343">
        <v>108085</v>
      </c>
      <c r="M2343">
        <v>108194</v>
      </c>
      <c r="N2343">
        <v>16897300</v>
      </c>
      <c r="O2343">
        <v>108194</v>
      </c>
      <c r="P2343">
        <v>-7.6585128727219001E-3</v>
      </c>
      <c r="Q2343">
        <v>-7.6879898788983596E-3</v>
      </c>
      <c r="R2343" s="8">
        <v>2.70761299133301</v>
      </c>
      <c r="S2343" s="8">
        <v>-6.6666337928274297E-2</v>
      </c>
      <c r="T2343" s="9">
        <v>-6.8992519267307303E-2</v>
      </c>
      <c r="U2343" s="12">
        <v>5.0788E-2</v>
      </c>
      <c r="V2343" s="16">
        <v>5.0682999999999998</v>
      </c>
      <c r="W2343" s="17">
        <f t="shared" si="36"/>
        <v>4.6781770967549985E-3</v>
      </c>
    </row>
    <row r="2344" spans="1:23" x14ac:dyDescent="0.2">
      <c r="A2344" s="14">
        <v>44981</v>
      </c>
      <c r="B2344" s="3">
        <v>-167359593971392</v>
      </c>
      <c r="C2344" s="3">
        <f>[1]!nefin_factors__1[[#This Row],[Rm_minus_Rf]]/B2343-1</f>
        <v>-1.6273957947681392</v>
      </c>
      <c r="D2344" s="3">
        <v>241928234995966</v>
      </c>
      <c r="E2344" s="3">
        <f>[1]!nefin_factors__1[[#This Row],[SMB]]/D2343-1</f>
        <v>-1.3104929186696468</v>
      </c>
      <c r="F2344" s="3">
        <v>710792977811171</v>
      </c>
      <c r="G2344" s="3">
        <f>[1]!nefin_factors__1[[#This Row],[HML]]/F2343-1</f>
        <v>-2.8633672352499762</v>
      </c>
      <c r="H2344" s="3">
        <v>507880373261882</v>
      </c>
      <c r="I2344" s="4">
        <f>[1]!nefin_factors__1[[#This Row],[Risk_Free]]/H2343-1</f>
        <v>8.9931266024762397</v>
      </c>
      <c r="J2344">
        <v>108194</v>
      </c>
      <c r="K2344">
        <v>109774</v>
      </c>
      <c r="L2344">
        <v>108188</v>
      </c>
      <c r="M2344">
        <v>109460</v>
      </c>
      <c r="N2344">
        <v>13993000</v>
      </c>
      <c r="O2344">
        <v>109460</v>
      </c>
      <c r="P2344">
        <v>1.17012033939035E-2</v>
      </c>
      <c r="Q2344">
        <v>1.16332737060225E-2</v>
      </c>
      <c r="R2344" s="8">
        <v>2.7628700733184801</v>
      </c>
      <c r="S2344" s="8">
        <v>2.0408042863714299E-2</v>
      </c>
      <c r="T2344" s="9">
        <v>2.02025893239525E-2</v>
      </c>
      <c r="U2344" s="12">
        <v>5.0788E-2</v>
      </c>
      <c r="V2344" s="16">
        <v>5.0834000000000001</v>
      </c>
      <c r="W2344" s="17">
        <f t="shared" si="36"/>
        <v>2.9793027247795312E-3</v>
      </c>
    </row>
    <row r="2345" spans="1:23" x14ac:dyDescent="0.2">
      <c r="A2345" s="15">
        <v>44984</v>
      </c>
      <c r="B2345" s="5">
        <v>-167269551600615</v>
      </c>
      <c r="C2345" s="5">
        <f>[1]!nefin_factors__1[[#This Row],[Rm_minus_Rf]]/B2344-1</f>
        <v>-5.380173830511481E-4</v>
      </c>
      <c r="D2345" s="5">
        <v>-422217103050423</v>
      </c>
      <c r="E2345" s="5">
        <f>[1]!nefin_factors__1[[#This Row],[SMB]]/D2344-1</f>
        <v>-2.7452163161421121</v>
      </c>
      <c r="F2345" s="5">
        <v>459611767913221</v>
      </c>
      <c r="G2345" s="5">
        <f>[1]!nefin_factors__1[[#This Row],[HML]]/F2344-1</f>
        <v>-0.35338167052724978</v>
      </c>
      <c r="H2345" s="5">
        <v>507880373261882</v>
      </c>
      <c r="I2345" s="6">
        <f>[1]!nefin_factors__1[[#This Row],[Risk_Free]]/H2344-1</f>
        <v>0</v>
      </c>
      <c r="J2345">
        <v>109459</v>
      </c>
      <c r="K2345">
        <v>110206</v>
      </c>
      <c r="L2345">
        <v>108864</v>
      </c>
      <c r="M2345">
        <v>110108</v>
      </c>
      <c r="N2345">
        <v>13613100</v>
      </c>
      <c r="O2345">
        <v>110108</v>
      </c>
      <c r="P2345">
        <v>5.9199707655763802E-3</v>
      </c>
      <c r="Q2345">
        <v>5.9025165902391197E-3</v>
      </c>
      <c r="R2345" s="8">
        <v>2.8457560539245601</v>
      </c>
      <c r="S2345" s="8">
        <v>2.9999955990157999E-2</v>
      </c>
      <c r="T2345" s="9">
        <v>2.9558759513541599E-2</v>
      </c>
      <c r="U2345" s="12">
        <v>5.0788E-2</v>
      </c>
      <c r="V2345" s="16">
        <v>5.0128000000000004</v>
      </c>
      <c r="W2345" s="17">
        <f t="shared" si="36"/>
        <v>-1.3888342447967883E-2</v>
      </c>
    </row>
    <row r="2346" spans="1:23" x14ac:dyDescent="0.2">
      <c r="A2346" s="14">
        <v>44985</v>
      </c>
      <c r="B2346" s="3">
        <v>-639725495910889</v>
      </c>
      <c r="C2346" s="3">
        <f>[1]!nefin_factors__1[[#This Row],[Rm_minus_Rf]]/B2345-1</f>
        <v>2.8245185079370829</v>
      </c>
      <c r="D2346" s="3">
        <v>143333262716836</v>
      </c>
      <c r="E2346" s="3">
        <f>[1]!nefin_factors__1[[#This Row],[SMB]]/D2345-1</f>
        <v>-1.3394776329080125</v>
      </c>
      <c r="F2346" s="3">
        <v>-537448125956306</v>
      </c>
      <c r="G2346" s="3">
        <f>[1]!nefin_factors__1[[#This Row],[HML]]/F2345-1</f>
        <v>-2.169352404522813</v>
      </c>
      <c r="H2346" s="3">
        <v>507880373261882</v>
      </c>
      <c r="I2346" s="4">
        <f>[1]!nefin_factors__1[[#This Row],[Risk_Free]]/H2345-1</f>
        <v>0</v>
      </c>
      <c r="J2346">
        <v>110113</v>
      </c>
      <c r="K2346">
        <v>111211</v>
      </c>
      <c r="L2346">
        <v>109787</v>
      </c>
      <c r="M2346">
        <v>110745</v>
      </c>
      <c r="N2346">
        <v>16135800</v>
      </c>
      <c r="O2346">
        <v>110745</v>
      </c>
      <c r="P2346">
        <v>5.7852290478439504E-3</v>
      </c>
      <c r="Q2346">
        <v>5.76855887322729E-3</v>
      </c>
      <c r="R2346" s="8">
        <v>2.8089179992675799</v>
      </c>
      <c r="S2346" s="8">
        <v>-1.2944909528059901E-2</v>
      </c>
      <c r="T2346" s="9">
        <v>-1.3029425025322E-2</v>
      </c>
      <c r="U2346" s="12">
        <v>5.0788E-2</v>
      </c>
      <c r="V2346" s="16">
        <v>4.9496000000000002</v>
      </c>
      <c r="W2346" s="17">
        <f t="shared" si="36"/>
        <v>-1.2607724225981554E-2</v>
      </c>
    </row>
    <row r="2347" spans="1:23" x14ac:dyDescent="0.2">
      <c r="A2347" s="15">
        <v>44986</v>
      </c>
      <c r="B2347" s="5">
        <v>-657130458801442</v>
      </c>
      <c r="C2347" s="5">
        <f>[1]!nefin_factors__1[[#This Row],[Rm_minus_Rf]]/B2346-1</f>
        <v>2.7206923910028769E-2</v>
      </c>
      <c r="D2347" s="5">
        <v>-903536688616768</v>
      </c>
      <c r="E2347" s="5">
        <f>[1]!nefin_factors__1[[#This Row],[SMB]]/D2346-1</f>
        <v>-7.3037474448744133</v>
      </c>
      <c r="F2347" s="5">
        <v>-597520276805024</v>
      </c>
      <c r="G2347" s="5">
        <f>[1]!nefin_factors__1[[#This Row],[HML]]/F2346-1</f>
        <v>0.11177292830229679</v>
      </c>
      <c r="H2347" s="5">
        <v>507880373261882</v>
      </c>
      <c r="I2347" s="6">
        <f>[1]!nefin_factors__1[[#This Row],[Risk_Free]]/H2346-1</f>
        <v>0</v>
      </c>
      <c r="J2347">
        <v>110745</v>
      </c>
      <c r="K2347">
        <v>111643</v>
      </c>
      <c r="L2347">
        <v>110178</v>
      </c>
      <c r="M2347">
        <v>110213</v>
      </c>
      <c r="N2347">
        <v>11769400</v>
      </c>
      <c r="O2347">
        <v>110213</v>
      </c>
      <c r="P2347">
        <v>-4.8038286152873901E-3</v>
      </c>
      <c r="Q2347">
        <v>-4.81540408589961E-3</v>
      </c>
      <c r="R2347" s="8">
        <v>2.94706106185913</v>
      </c>
      <c r="S2347" s="8">
        <v>4.91801692422398E-2</v>
      </c>
      <c r="T2347" s="9">
        <v>4.8009067995358999E-2</v>
      </c>
      <c r="U2347" s="12">
        <v>5.0788E-2</v>
      </c>
      <c r="V2347" s="16">
        <v>4.9097</v>
      </c>
      <c r="W2347" s="17">
        <f t="shared" si="36"/>
        <v>-8.0612574753515798E-3</v>
      </c>
    </row>
    <row r="2348" spans="1:23" x14ac:dyDescent="0.2">
      <c r="A2348" s="14">
        <v>44987</v>
      </c>
      <c r="B2348" s="3">
        <v>-112381988839427</v>
      </c>
      <c r="C2348" s="3">
        <f>[1]!nefin_factors__1[[#This Row],[Rm_minus_Rf]]/B2347-1</f>
        <v>-0.82898070339882957</v>
      </c>
      <c r="D2348" s="3">
        <v>-640029679202087</v>
      </c>
      <c r="E2348" s="3">
        <f>[1]!nefin_factors__1[[#This Row],[SMB]]/D2347-1</f>
        <v>-0.29163952359044343</v>
      </c>
      <c r="F2348" s="3">
        <v>439388078734841</v>
      </c>
      <c r="G2348" s="3">
        <f>[1]!nefin_factors__1[[#This Row],[HML]]/F2347-1</f>
        <v>-1.7353525826508764</v>
      </c>
      <c r="H2348" s="3">
        <v>507880373261882</v>
      </c>
      <c r="I2348" s="4">
        <f>[1]!nefin_factors__1[[#This Row],[Risk_Free]]/H2347-1</f>
        <v>0</v>
      </c>
      <c r="J2348">
        <v>110213</v>
      </c>
      <c r="K2348">
        <v>111325</v>
      </c>
      <c r="L2348">
        <v>109713</v>
      </c>
      <c r="M2348">
        <v>109929</v>
      </c>
      <c r="N2348">
        <v>12334800</v>
      </c>
      <c r="O2348">
        <v>109929</v>
      </c>
      <c r="P2348">
        <v>-2.57682850480434E-3</v>
      </c>
      <c r="Q2348">
        <v>-2.5801542418404499E-3</v>
      </c>
      <c r="R2348" s="8">
        <v>2.7997078895568799</v>
      </c>
      <c r="S2348" s="8">
        <v>-5.0000040450227198E-2</v>
      </c>
      <c r="T2348" s="9">
        <v>-5.1293336966737997E-2</v>
      </c>
      <c r="U2348" s="12">
        <v>5.0788E-2</v>
      </c>
      <c r="V2348" s="16">
        <v>4.9455</v>
      </c>
      <c r="W2348" s="17">
        <f t="shared" si="36"/>
        <v>7.2916878831701393E-3</v>
      </c>
    </row>
    <row r="2349" spans="1:23" x14ac:dyDescent="0.2">
      <c r="A2349" s="15">
        <v>44988</v>
      </c>
      <c r="B2349" s="5">
        <v>334677762791566</v>
      </c>
      <c r="C2349" s="5">
        <f>[1]!nefin_factors__1[[#This Row],[Rm_minus_Rf]]/B2348-1</f>
        <v>-3.9780373727836262</v>
      </c>
      <c r="D2349" s="5">
        <v>406508558010547</v>
      </c>
      <c r="E2349" s="5">
        <f>[1]!nefin_factors__1[[#This Row],[SMB]]/D2348-1</f>
        <v>-1.6351401680580402</v>
      </c>
      <c r="F2349" s="5">
        <v>111959089136873</v>
      </c>
      <c r="G2349" s="5">
        <f>[1]!nefin_factors__1[[#This Row],[HML]]/F2348-1</f>
        <v>-0.74519315713060719</v>
      </c>
      <c r="H2349" s="5">
        <v>507880373261882</v>
      </c>
      <c r="I2349" s="6">
        <f>[1]!nefin_factors__1[[#This Row],[Risk_Free]]/H2348-1</f>
        <v>0</v>
      </c>
      <c r="J2349">
        <v>109920</v>
      </c>
      <c r="K2349">
        <v>109920</v>
      </c>
      <c r="L2349">
        <v>108546</v>
      </c>
      <c r="M2349">
        <v>108800</v>
      </c>
      <c r="N2349">
        <v>12980200</v>
      </c>
      <c r="O2349">
        <v>108800</v>
      </c>
      <c r="P2349">
        <v>-1.0270265353091499E-2</v>
      </c>
      <c r="Q2349">
        <v>-1.0323368429656201E-2</v>
      </c>
      <c r="R2349" s="8">
        <v>2.5878880023956299</v>
      </c>
      <c r="S2349" s="8">
        <v>-7.5657852717906302E-2</v>
      </c>
      <c r="T2349" s="9">
        <v>-7.8672986614268803E-2</v>
      </c>
      <c r="U2349" s="12">
        <v>5.0788E-2</v>
      </c>
      <c r="V2349" s="16">
        <v>4.9420999999999999</v>
      </c>
      <c r="W2349" s="17">
        <f t="shared" si="36"/>
        <v>-6.8749368112430709E-4</v>
      </c>
    </row>
    <row r="2350" spans="1:23" x14ac:dyDescent="0.2">
      <c r="A2350" s="14">
        <v>44991</v>
      </c>
      <c r="B2350" s="3">
        <v>938990002523915</v>
      </c>
      <c r="C2350" s="3">
        <f>[1]!nefin_factors__1[[#This Row],[Rm_minus_Rf]]/B2349-1</f>
        <v>1.8056539959265496</v>
      </c>
      <c r="D2350" s="3">
        <v>147675717995821</v>
      </c>
      <c r="E2350" s="3">
        <f>[1]!nefin_factors__1[[#This Row],[SMB]]/D2349-1</f>
        <v>-0.63672174893796574</v>
      </c>
      <c r="F2350" s="3">
        <v>-412025519069399</v>
      </c>
      <c r="G2350" s="3">
        <f>[1]!nefin_factors__1[[#This Row],[HML]]/F2349-1</f>
        <v>-4.6801435439126049</v>
      </c>
      <c r="H2350" s="3">
        <v>507880373261882</v>
      </c>
      <c r="I2350" s="4">
        <f>[1]!nefin_factors__1[[#This Row],[Risk_Free]]/H2349-1</f>
        <v>0</v>
      </c>
      <c r="J2350">
        <v>108800</v>
      </c>
      <c r="K2350">
        <v>111115</v>
      </c>
      <c r="L2350">
        <v>108800</v>
      </c>
      <c r="M2350">
        <v>110054</v>
      </c>
      <c r="N2350">
        <v>14745300</v>
      </c>
      <c r="O2350">
        <v>110054</v>
      </c>
      <c r="P2350">
        <v>1.1525735294117601E-2</v>
      </c>
      <c r="Q2350">
        <v>1.14598200050357E-2</v>
      </c>
      <c r="R2350" s="8">
        <v>2.4681639671325701</v>
      </c>
      <c r="S2350" s="8">
        <v>-4.6263221264688403E-2</v>
      </c>
      <c r="T2350" s="9">
        <v>-4.7367558880276002E-2</v>
      </c>
      <c r="U2350" s="12">
        <v>5.0788E-2</v>
      </c>
      <c r="V2350" s="16">
        <v>4.9678000000000004</v>
      </c>
      <c r="W2350" s="17">
        <f t="shared" si="36"/>
        <v>5.2002185305841664E-3</v>
      </c>
    </row>
    <row r="2351" spans="1:23" x14ac:dyDescent="0.2">
      <c r="A2351" s="15">
        <v>44992</v>
      </c>
      <c r="B2351" s="5">
        <v>-38563767359463</v>
      </c>
      <c r="C2351" s="5">
        <f>[1]!nefin_factors__1[[#This Row],[Rm_minus_Rf]]/B2350-1</f>
        <v>-1.0410694120872503</v>
      </c>
      <c r="D2351" s="5">
        <v>84149045962903</v>
      </c>
      <c r="E2351" s="5">
        <f>[1]!nefin_factors__1[[#This Row],[SMB]]/D2350-1</f>
        <v>-0.43017682862876416</v>
      </c>
      <c r="F2351" s="5">
        <v>-673087499867294</v>
      </c>
      <c r="G2351" s="5">
        <f>[1]!nefin_factors__1[[#This Row],[HML]]/F2350-1</f>
        <v>0.63360633920813858</v>
      </c>
      <c r="H2351" s="5">
        <v>507880373261882</v>
      </c>
      <c r="I2351" s="6">
        <f>[1]!nefin_factors__1[[#This Row],[Risk_Free]]/H2350-1</f>
        <v>0</v>
      </c>
      <c r="J2351">
        <v>110058</v>
      </c>
      <c r="K2351">
        <v>111706</v>
      </c>
      <c r="L2351">
        <v>109900</v>
      </c>
      <c r="M2351">
        <v>110906</v>
      </c>
      <c r="N2351">
        <v>11019700</v>
      </c>
      <c r="O2351">
        <v>110906</v>
      </c>
      <c r="P2351">
        <v>7.7416540970796097E-3</v>
      </c>
      <c r="Q2351">
        <v>7.7118412612509398E-3</v>
      </c>
      <c r="R2351" s="8">
        <v>2.7444510459899898</v>
      </c>
      <c r="S2351" s="8">
        <v>0.111940325900796</v>
      </c>
      <c r="T2351" s="9">
        <v>0.106106530630163</v>
      </c>
      <c r="U2351" s="12">
        <v>5.0788E-2</v>
      </c>
      <c r="V2351" s="16">
        <v>5.0467000000000004</v>
      </c>
      <c r="W2351" s="17">
        <f t="shared" si="36"/>
        <v>1.5882281895406303E-2</v>
      </c>
    </row>
    <row r="2352" spans="1:23" x14ac:dyDescent="0.2">
      <c r="A2352" s="14">
        <v>44993</v>
      </c>
      <c r="B2352" s="3">
        <v>197288870258237</v>
      </c>
      <c r="C2352" s="3">
        <f>[1]!nefin_factors__1[[#This Row],[Rm_minus_Rf]]/B2351-1</f>
        <v>-6.1159127794557948</v>
      </c>
      <c r="D2352" s="3">
        <v>213280332667628</v>
      </c>
      <c r="E2352" s="3">
        <f>[1]!nefin_factors__1[[#This Row],[SMB]]/D2351-1</f>
        <v>1.5345543758351385</v>
      </c>
      <c r="F2352" s="3">
        <v>154300283640613</v>
      </c>
      <c r="G2352" s="3">
        <f>[1]!nefin_factors__1[[#This Row],[HML]]/F2351-1</f>
        <v>-1.2292425333571562</v>
      </c>
      <c r="H2352" s="3">
        <v>507880373261882</v>
      </c>
      <c r="I2352" s="4">
        <f>[1]!nefin_factors__1[[#This Row],[Risk_Free]]/H2351-1</f>
        <v>0</v>
      </c>
      <c r="J2352">
        <v>110906</v>
      </c>
      <c r="K2352">
        <v>111168</v>
      </c>
      <c r="L2352">
        <v>110195</v>
      </c>
      <c r="M2352">
        <v>110333</v>
      </c>
      <c r="N2352">
        <v>5913000</v>
      </c>
      <c r="O2352">
        <v>110333</v>
      </c>
      <c r="P2352">
        <v>-5.1665374280922497E-3</v>
      </c>
      <c r="Q2352">
        <v>-5.1799301317757198E-3</v>
      </c>
      <c r="R2352" s="8">
        <v>2.8549659252166699</v>
      </c>
      <c r="S2352" s="8">
        <v>4.0268482612638302E-2</v>
      </c>
      <c r="T2352" s="9">
        <v>3.9478836194968503E-2</v>
      </c>
      <c r="U2352" s="12">
        <v>5.0788E-2</v>
      </c>
      <c r="V2352" s="16">
        <v>5.0496999999999996</v>
      </c>
      <c r="W2352" s="17">
        <f t="shared" si="36"/>
        <v>5.944478570152345E-4</v>
      </c>
    </row>
    <row r="2353" spans="1:23" x14ac:dyDescent="0.2">
      <c r="A2353" s="15">
        <v>44994</v>
      </c>
      <c r="B2353" s="5">
        <v>-111971076267583</v>
      </c>
      <c r="C2353" s="5">
        <f>[1]!nefin_factors__1[[#This Row],[Rm_minus_Rf]]/B2352-1</f>
        <v>-1.5675488745057988</v>
      </c>
      <c r="D2353" s="5">
        <v>227740260542355</v>
      </c>
      <c r="E2353" s="5">
        <f>[1]!nefin_factors__1[[#This Row],[SMB]]/D2352-1</f>
        <v>6.7797755629259493E-2</v>
      </c>
      <c r="F2353" s="5">
        <v>146273210086505</v>
      </c>
      <c r="G2353" s="5">
        <f>[1]!nefin_factors__1[[#This Row],[HML]]/F2352-1</f>
        <v>-5.2022416062462828E-2</v>
      </c>
      <c r="H2353" s="5">
        <v>507880373261882</v>
      </c>
      <c r="I2353" s="6">
        <f>[1]!nefin_factors__1[[#This Row],[Risk_Free]]/H2352-1</f>
        <v>0</v>
      </c>
      <c r="J2353">
        <v>110333</v>
      </c>
      <c r="K2353">
        <v>111291</v>
      </c>
      <c r="L2353">
        <v>108552</v>
      </c>
      <c r="M2353">
        <v>108967</v>
      </c>
      <c r="N2353">
        <v>11588000</v>
      </c>
      <c r="O2353">
        <v>108967</v>
      </c>
      <c r="P2353">
        <v>-1.23807020565017E-2</v>
      </c>
      <c r="Q2353">
        <v>-1.2457981459515301E-2</v>
      </c>
      <c r="R2353" s="8">
        <v>2.7444510459899898</v>
      </c>
      <c r="S2353" s="8">
        <v>-3.8709701664231599E-2</v>
      </c>
      <c r="T2353" s="9">
        <v>-3.9478836194968302E-2</v>
      </c>
      <c r="U2353" s="12">
        <v>5.0788E-2</v>
      </c>
      <c r="V2353" s="16">
        <v>5.0594999999999999</v>
      </c>
      <c r="W2353" s="17">
        <f t="shared" si="36"/>
        <v>1.9407093490702021E-3</v>
      </c>
    </row>
    <row r="2354" spans="1:23" x14ac:dyDescent="0.2">
      <c r="A2354" s="14">
        <v>44995</v>
      </c>
      <c r="B2354" s="3">
        <v>-149038066361067</v>
      </c>
      <c r="C2354" s="3">
        <f>[1]!nefin_factors__1[[#This Row],[Rm_minus_Rf]]/B2353-1</f>
        <v>0.33104075917697817</v>
      </c>
      <c r="D2354" s="3">
        <v>-71068959147508</v>
      </c>
      <c r="E2354" s="3">
        <f>[1]!nefin_factors__1[[#This Row],[SMB]]/D2353-1</f>
        <v>-1.3120614641357655</v>
      </c>
      <c r="F2354" s="3">
        <v>108287476340477</v>
      </c>
      <c r="G2354" s="3">
        <f>[1]!nefin_factors__1[[#This Row],[HML]]/F2353-1</f>
        <v>-0.25969029956725154</v>
      </c>
      <c r="H2354" s="3">
        <v>507880373261882</v>
      </c>
      <c r="I2354" s="4">
        <f>[1]!nefin_factors__1[[#This Row],[Risk_Free]]/H2353-1</f>
        <v>0</v>
      </c>
      <c r="J2354">
        <v>108967</v>
      </c>
      <c r="K2354">
        <v>109137</v>
      </c>
      <c r="L2354">
        <v>108193</v>
      </c>
      <c r="M2354">
        <v>108335</v>
      </c>
      <c r="N2354">
        <v>15861100</v>
      </c>
      <c r="O2354">
        <v>108335</v>
      </c>
      <c r="P2354">
        <v>-5.7999210770233204E-3</v>
      </c>
      <c r="Q2354">
        <v>-5.8168059381675701E-3</v>
      </c>
      <c r="R2354" s="8">
        <v>3.1128339767456099</v>
      </c>
      <c r="S2354" s="8">
        <v>0.134228275375461</v>
      </c>
      <c r="T2354" s="9">
        <v>0.12595248608378701</v>
      </c>
      <c r="U2354" s="12">
        <v>5.0788E-2</v>
      </c>
      <c r="V2354" s="16">
        <v>5.0613000000000001</v>
      </c>
      <c r="W2354" s="17">
        <f t="shared" si="36"/>
        <v>3.5576638007706052E-4</v>
      </c>
    </row>
    <row r="2355" spans="1:23" x14ac:dyDescent="0.2">
      <c r="A2355" s="15">
        <v>44998</v>
      </c>
      <c r="B2355" s="5">
        <v>-478426265868002</v>
      </c>
      <c r="C2355" s="5">
        <f>[1]!nefin_factors__1[[#This Row],[Rm_minus_Rf]]/B2354-1</f>
        <v>2.2100944245273744</v>
      </c>
      <c r="D2355" s="5">
        <v>-491024262579017</v>
      </c>
      <c r="E2355" s="5">
        <f>[1]!nefin_factors__1[[#This Row],[SMB]]/D2354-1</f>
        <v>5.9091241586902363</v>
      </c>
      <c r="F2355" s="5">
        <v>804513720126914</v>
      </c>
      <c r="G2355" s="5">
        <f>[1]!nefin_factors__1[[#This Row],[HML]]/F2354-1</f>
        <v>6.4294253344437129</v>
      </c>
      <c r="H2355" s="5">
        <v>50683221011405</v>
      </c>
      <c r="I2355" s="6">
        <f>[1]!nefin_factors__1[[#This Row],[Risk_Free]]/H2354-1</f>
        <v>-0.90020637992783614</v>
      </c>
      <c r="J2355">
        <v>108339</v>
      </c>
      <c r="K2355">
        <v>110745</v>
      </c>
      <c r="L2355">
        <v>108335</v>
      </c>
      <c r="M2355">
        <v>110565</v>
      </c>
      <c r="N2355">
        <v>14669000</v>
      </c>
      <c r="O2355">
        <v>110565</v>
      </c>
      <c r="P2355">
        <v>2.0584298703096901E-2</v>
      </c>
      <c r="Q2355">
        <v>2.03753051506914E-2</v>
      </c>
      <c r="R2355" s="8">
        <v>3.3430728912353498</v>
      </c>
      <c r="S2355" s="8">
        <v>7.39644054934325E-2</v>
      </c>
      <c r="T2355" s="9">
        <v>7.1356853538798601E-2</v>
      </c>
      <c r="U2355" s="12">
        <v>5.0788E-2</v>
      </c>
      <c r="V2355" s="16">
        <v>5.0585000000000004</v>
      </c>
      <c r="W2355" s="17">
        <f t="shared" si="36"/>
        <v>-5.5321755280257623E-4</v>
      </c>
    </row>
    <row r="2356" spans="1:23" x14ac:dyDescent="0.2">
      <c r="A2356" s="14">
        <v>44999</v>
      </c>
      <c r="B2356" s="3">
        <v>-223511475288314</v>
      </c>
      <c r="C2356" s="3">
        <f>[1]!nefin_factors__1[[#This Row],[Rm_minus_Rf]]/B2355-1</f>
        <v>-0.53281938882933133</v>
      </c>
      <c r="D2356" s="3">
        <v>-171323385213036</v>
      </c>
      <c r="E2356" s="3">
        <f>[1]!nefin_factors__1[[#This Row],[SMB]]/D2355-1</f>
        <v>-0.65108977647419986</v>
      </c>
      <c r="F2356" s="3">
        <v>-922887498060561</v>
      </c>
      <c r="G2356" s="3">
        <f>[1]!nefin_factors__1[[#This Row],[HML]]/F2355-1</f>
        <v>-2.1471370530697391</v>
      </c>
      <c r="H2356" s="3">
        <v>507181628455422</v>
      </c>
      <c r="I2356" s="4">
        <f>[1]!nefin_factors__1[[#This Row],[Risk_Free]]/H2355-1</f>
        <v>9.0068941620993925</v>
      </c>
      <c r="J2356">
        <v>110568</v>
      </c>
      <c r="K2356">
        <v>113070</v>
      </c>
      <c r="L2356">
        <v>110567</v>
      </c>
      <c r="M2356">
        <v>112558</v>
      </c>
      <c r="N2356">
        <v>14545800</v>
      </c>
      <c r="O2356">
        <v>112558</v>
      </c>
      <c r="P2356">
        <v>1.8025595803373502E-2</v>
      </c>
      <c r="Q2356">
        <v>1.7865061037563201E-2</v>
      </c>
      <c r="R2356" s="8">
        <v>3.3154439926147501</v>
      </c>
      <c r="S2356" s="8">
        <v>-8.2645217497473392E-3</v>
      </c>
      <c r="T2356" s="9">
        <v>-8.2988622456920992E-3</v>
      </c>
      <c r="U2356" s="12">
        <v>5.0788E-2</v>
      </c>
      <c r="V2356" s="16">
        <v>5.0149999999999997</v>
      </c>
      <c r="W2356" s="17">
        <f t="shared" si="36"/>
        <v>-8.5993871701098845E-3</v>
      </c>
    </row>
    <row r="2357" spans="1:23" x14ac:dyDescent="0.2">
      <c r="A2357" s="15">
        <v>45000</v>
      </c>
      <c r="B2357" s="5">
        <v>-256186158807347</v>
      </c>
      <c r="C2357" s="5">
        <f>[1]!nefin_factors__1[[#This Row],[Rm_minus_Rf]]/B2356-1</f>
        <v>0.14618794617540321</v>
      </c>
      <c r="D2357" s="5">
        <v>321648366865454</v>
      </c>
      <c r="E2357" s="5">
        <f>[1]!nefin_factors__1[[#This Row],[SMB]]/D2356-1</f>
        <v>-2.8774341078160051</v>
      </c>
      <c r="F2357" s="5">
        <v>103938281235163</v>
      </c>
      <c r="G2357" s="5">
        <f>[1]!nefin_factors__1[[#This Row],[HML]]/F2356-1</f>
        <v>-1.1126229160689556</v>
      </c>
      <c r="H2357" s="5">
        <v>507181628455422</v>
      </c>
      <c r="I2357" s="6">
        <f>[1]!nefin_factors__1[[#This Row],[Risk_Free]]/H2356-1</f>
        <v>0</v>
      </c>
      <c r="J2357">
        <v>112558</v>
      </c>
      <c r="K2357">
        <v>113071</v>
      </c>
      <c r="L2357">
        <v>111736</v>
      </c>
      <c r="M2357">
        <v>112696</v>
      </c>
      <c r="N2357">
        <v>9078800</v>
      </c>
      <c r="O2357">
        <v>112696</v>
      </c>
      <c r="P2357">
        <v>1.22603457772885E-3</v>
      </c>
      <c r="Q2357">
        <v>1.22528361108067E-3</v>
      </c>
      <c r="R2357" s="8">
        <v>3.6746170520782502</v>
      </c>
      <c r="S2357" s="8">
        <v>0.108333321348082</v>
      </c>
      <c r="T2357" s="9">
        <v>0.102857374625947</v>
      </c>
      <c r="U2357" s="12">
        <v>5.0788E-2</v>
      </c>
      <c r="V2357" s="16">
        <v>5.0007000000000001</v>
      </c>
      <c r="W2357" s="17">
        <f t="shared" si="36"/>
        <v>-2.8514456630108764E-3</v>
      </c>
    </row>
    <row r="2358" spans="1:23" x14ac:dyDescent="0.2">
      <c r="A2358" s="14">
        <v>45001</v>
      </c>
      <c r="B2358" s="3">
        <v>5846984379119</v>
      </c>
      <c r="C2358" s="3">
        <f>[1]!nefin_factors__1[[#This Row],[Rm_minus_Rf]]/B2357-1</f>
        <v>-1.022823186101619</v>
      </c>
      <c r="D2358" s="3">
        <v>648183932719681</v>
      </c>
      <c r="E2358" s="3">
        <f>[1]!nefin_factors__1[[#This Row],[SMB]]/D2357-1</f>
        <v>1.01519422914035</v>
      </c>
      <c r="F2358" s="3">
        <v>819782462298351</v>
      </c>
      <c r="G2358" s="3">
        <f>[1]!nefin_factors__1[[#This Row],[HML]]/F2357-1</f>
        <v>6.887204334691396</v>
      </c>
      <c r="H2358" s="3">
        <v>507531016169516</v>
      </c>
      <c r="I2358" s="4">
        <f>[1]!nefin_factors__1[[#This Row],[Risk_Free]]/H2357-1</f>
        <v>6.8888085547968991E-4</v>
      </c>
      <c r="J2358">
        <v>112697</v>
      </c>
      <c r="K2358">
        <v>114783</v>
      </c>
      <c r="L2358">
        <v>112696</v>
      </c>
      <c r="M2358">
        <v>114610</v>
      </c>
      <c r="N2358">
        <v>15025400</v>
      </c>
      <c r="O2358">
        <v>114610</v>
      </c>
      <c r="P2358">
        <v>1.6983743877333701E-2</v>
      </c>
      <c r="Q2358">
        <v>1.68411325506021E-2</v>
      </c>
      <c r="R2358" s="8">
        <v>3.8680179119110099</v>
      </c>
      <c r="S2358" s="8">
        <v>5.2631568702752998E-2</v>
      </c>
      <c r="T2358" s="9">
        <v>5.1293284655165798E-2</v>
      </c>
      <c r="U2358" s="12">
        <v>5.0788E-2</v>
      </c>
      <c r="V2358" s="16">
        <v>5.0334000000000003</v>
      </c>
      <c r="W2358" s="17">
        <f t="shared" si="36"/>
        <v>6.5390845281660948E-3</v>
      </c>
    </row>
    <row r="2359" spans="1:23" x14ac:dyDescent="0.2">
      <c r="A2359" s="15">
        <v>45002</v>
      </c>
      <c r="B2359" s="5">
        <v>-155225394063417</v>
      </c>
      <c r="C2359" s="5">
        <f>[1]!nefin_factors__1[[#This Row],[Rm_minus_Rf]]/B2358-1</f>
        <v>-27.547940613244077</v>
      </c>
      <c r="D2359" s="5">
        <v>-352313735326143</v>
      </c>
      <c r="E2359" s="5">
        <f>[1]!nefin_factors__1[[#This Row],[SMB]]/D2358-1</f>
        <v>-1.5435397539829294</v>
      </c>
      <c r="F2359" s="5">
        <v>-182148201168916</v>
      </c>
      <c r="G2359" s="5">
        <f>[1]!nefin_factors__1[[#This Row],[HML]]/F2358-1</f>
        <v>-1.2221908976416052</v>
      </c>
      <c r="H2359" s="5">
        <v>507531016169516</v>
      </c>
      <c r="I2359" s="6">
        <f>[1]!nefin_factors__1[[#This Row],[Risk_Free]]/H2358-1</f>
        <v>0</v>
      </c>
      <c r="J2359">
        <v>114610</v>
      </c>
      <c r="K2359">
        <v>115978</v>
      </c>
      <c r="L2359">
        <v>114610</v>
      </c>
      <c r="M2359">
        <v>115488</v>
      </c>
      <c r="N2359">
        <v>14017100</v>
      </c>
      <c r="O2359">
        <v>115488</v>
      </c>
      <c r="P2359">
        <v>7.6607625861617699E-3</v>
      </c>
      <c r="Q2359">
        <v>7.63156795177025E-3</v>
      </c>
      <c r="R2359" s="8">
        <v>3.8311800956726101</v>
      </c>
      <c r="S2359" s="8">
        <v>-9.5236932913279598E-3</v>
      </c>
      <c r="T2359" s="9">
        <v>-9.5693336660560204E-3</v>
      </c>
      <c r="U2359" s="12">
        <v>5.0788E-2</v>
      </c>
      <c r="V2359" s="16">
        <v>5.0227000000000004</v>
      </c>
      <c r="W2359" s="17">
        <f t="shared" si="36"/>
        <v>-2.1257996582826344E-3</v>
      </c>
    </row>
    <row r="2360" spans="1:23" x14ac:dyDescent="0.2">
      <c r="A2360" s="14">
        <v>45005</v>
      </c>
      <c r="B2360" s="3">
        <v>-119314112347357</v>
      </c>
      <c r="C2360" s="3">
        <f>[1]!nefin_factors__1[[#This Row],[Rm_minus_Rf]]/B2359-1</f>
        <v>-0.23134927073458433</v>
      </c>
      <c r="D2360" s="3">
        <v>-12878618310241</v>
      </c>
      <c r="E2360" s="3">
        <f>[1]!nefin_factors__1[[#This Row],[SMB]]/D2359-1</f>
        <v>-0.96344559686746523</v>
      </c>
      <c r="F2360" s="3">
        <v>-120068341151275</v>
      </c>
      <c r="G2360" s="3">
        <f>[1]!nefin_factors__1[[#This Row],[HML]]/F2359-1</f>
        <v>-0.34082060442678186</v>
      </c>
      <c r="H2360" s="3">
        <v>507531016169516</v>
      </c>
      <c r="I2360" s="4">
        <f>[1]!nefin_factors__1[[#This Row],[Risk_Free]]/H2359-1</f>
        <v>0</v>
      </c>
      <c r="J2360">
        <v>115489</v>
      </c>
      <c r="K2360">
        <v>117603</v>
      </c>
      <c r="L2360">
        <v>115489</v>
      </c>
      <c r="M2360">
        <v>117019</v>
      </c>
      <c r="N2360">
        <v>13527100</v>
      </c>
      <c r="O2360">
        <v>117019</v>
      </c>
      <c r="P2360">
        <v>1.32567885840953E-2</v>
      </c>
      <c r="Q2360">
        <v>1.31696863154289E-2</v>
      </c>
      <c r="R2360" s="8">
        <v>4.2087721824645996</v>
      </c>
      <c r="S2360" s="8">
        <v>9.8557644736797997E-2</v>
      </c>
      <c r="T2360" s="9">
        <v>9.3998087329894398E-2</v>
      </c>
      <c r="U2360" s="12">
        <v>5.0788E-2</v>
      </c>
      <c r="V2360" s="16">
        <v>5.0106000000000002</v>
      </c>
      <c r="W2360" s="17">
        <f t="shared" si="36"/>
        <v>-2.4090628546399318E-3</v>
      </c>
    </row>
    <row r="2361" spans="1:23" x14ac:dyDescent="0.2">
      <c r="A2361" s="15">
        <v>45006</v>
      </c>
      <c r="B2361" s="5">
        <v>-703630353095409</v>
      </c>
      <c r="C2361" s="5">
        <f>[1]!nefin_factors__1[[#This Row],[Rm_minus_Rf]]/B2360-1</f>
        <v>4.8972936164243741</v>
      </c>
      <c r="D2361" s="5">
        <v>-685359651586801</v>
      </c>
      <c r="E2361" s="5">
        <f>[1]!nefin_factors__1[[#This Row],[SMB]]/D2360-1</f>
        <v>52.216861861788942</v>
      </c>
      <c r="F2361" s="5">
        <v>-286715423628477</v>
      </c>
      <c r="G2361" s="5">
        <f>[1]!nefin_factors__1[[#This Row],[HML]]/F2360-1</f>
        <v>1.3879352448722688</v>
      </c>
      <c r="H2361" s="5">
        <v>507880373261882</v>
      </c>
      <c r="I2361" s="6">
        <f>[1]!nefin_factors__1[[#This Row],[Risk_Free]]/H2360-1</f>
        <v>6.8834629064196129E-4</v>
      </c>
      <c r="J2361">
        <v>117022</v>
      </c>
      <c r="K2361">
        <v>117735</v>
      </c>
      <c r="L2361">
        <v>116704</v>
      </c>
      <c r="M2361">
        <v>117336</v>
      </c>
      <c r="N2361">
        <v>12016200</v>
      </c>
      <c r="O2361">
        <v>117336</v>
      </c>
      <c r="P2361">
        <v>2.7089617925293301E-3</v>
      </c>
      <c r="Q2361">
        <v>2.705299168647E-3</v>
      </c>
      <c r="R2361" s="8">
        <v>4.1350960731506303</v>
      </c>
      <c r="S2361" s="8">
        <v>-1.7505368815382401E-2</v>
      </c>
      <c r="T2361" s="9">
        <v>-1.76603996967882E-2</v>
      </c>
      <c r="U2361" s="12">
        <v>5.0788E-2</v>
      </c>
      <c r="V2361" s="16">
        <v>4.9695999999999998</v>
      </c>
      <c r="W2361" s="17">
        <f t="shared" si="36"/>
        <v>-8.1826527761147405E-3</v>
      </c>
    </row>
    <row r="2362" spans="1:23" x14ac:dyDescent="0.2">
      <c r="A2362" s="14">
        <v>45007</v>
      </c>
      <c r="B2362" s="3">
        <v>-560481634156355</v>
      </c>
      <c r="C2362" s="3">
        <f>[1]!nefin_factors__1[[#This Row],[Rm_minus_Rf]]/B2361-1</f>
        <v>-0.20344306965911074</v>
      </c>
      <c r="D2362" s="3">
        <v>129823908481712</v>
      </c>
      <c r="E2362" s="3">
        <f>[1]!nefin_factors__1[[#This Row],[SMB]]/D2361-1</f>
        <v>-1.1894244987739402</v>
      </c>
      <c r="F2362" s="3">
        <v>106706380025445</v>
      </c>
      <c r="G2362" s="3">
        <f>[1]!nefin_factors__1[[#This Row],[HML]]/F2361-1</f>
        <v>-1.3721682589483364</v>
      </c>
      <c r="H2362" s="3">
        <v>507880373261882</v>
      </c>
      <c r="I2362" s="4">
        <f>[1]!nefin_factors__1[[#This Row],[Risk_Free]]/H2361-1</f>
        <v>0</v>
      </c>
      <c r="J2362">
        <v>117337</v>
      </c>
      <c r="K2362">
        <v>117924</v>
      </c>
      <c r="L2362">
        <v>116363</v>
      </c>
      <c r="M2362">
        <v>116743</v>
      </c>
      <c r="N2362">
        <v>12392200</v>
      </c>
      <c r="O2362">
        <v>116743</v>
      </c>
      <c r="P2362">
        <v>-5.05386241221795E-3</v>
      </c>
      <c r="Q2362">
        <v>-5.06667636639818E-3</v>
      </c>
      <c r="R2362" s="8">
        <v>3.84959888458252</v>
      </c>
      <c r="S2362" s="8">
        <v>-6.9042455971424999E-2</v>
      </c>
      <c r="T2362" s="9">
        <v>-7.1541605292078203E-2</v>
      </c>
      <c r="U2362" s="12">
        <v>5.0788E-2</v>
      </c>
      <c r="V2362" s="16">
        <v>4.9695999999999998</v>
      </c>
      <c r="W2362" s="17">
        <f t="shared" si="36"/>
        <v>0</v>
      </c>
    </row>
    <row r="2363" spans="1:23" x14ac:dyDescent="0.2">
      <c r="A2363" s="15">
        <v>45008</v>
      </c>
      <c r="B2363" s="5">
        <v>-213401443838405</v>
      </c>
      <c r="C2363" s="5">
        <f>[1]!nefin_factors__1[[#This Row],[Rm_minus_Rf]]/B2362-1</f>
        <v>-0.61925345839454682</v>
      </c>
      <c r="D2363" s="5">
        <v>-187024621353792</v>
      </c>
      <c r="E2363" s="5">
        <f>[1]!nefin_factors__1[[#This Row],[SMB]]/D2362-1</f>
        <v>-2.4406023015409195</v>
      </c>
      <c r="F2363" s="5">
        <v>-295819453518723</v>
      </c>
      <c r="G2363" s="5">
        <f>[1]!nefin_factors__1[[#This Row],[HML]]/F2362-1</f>
        <v>-3.7722752233576142</v>
      </c>
      <c r="H2363" s="5">
        <v>507880373261882</v>
      </c>
      <c r="I2363" s="6">
        <f>[1]!nefin_factors__1[[#This Row],[Risk_Free]]/H2362-1</f>
        <v>0</v>
      </c>
      <c r="J2363">
        <v>116753</v>
      </c>
      <c r="K2363">
        <v>119085</v>
      </c>
      <c r="L2363">
        <v>116745</v>
      </c>
      <c r="M2363">
        <v>119069</v>
      </c>
      <c r="N2363">
        <v>16938600</v>
      </c>
      <c r="O2363">
        <v>119069</v>
      </c>
      <c r="P2363">
        <v>1.99241067986946E-2</v>
      </c>
      <c r="Q2363">
        <v>1.9728219428663998E-2</v>
      </c>
      <c r="R2363" s="8">
        <v>4.0999999046325701</v>
      </c>
      <c r="S2363" s="8">
        <v>6.5046002858348204E-2</v>
      </c>
      <c r="T2363" s="9">
        <v>6.3017993400661707E-2</v>
      </c>
      <c r="U2363" s="12">
        <v>5.0788E-2</v>
      </c>
      <c r="V2363" s="16">
        <v>5.0007000000000001</v>
      </c>
      <c r="W2363" s="17">
        <f t="shared" si="36"/>
        <v>6.2580489375403392E-3</v>
      </c>
    </row>
    <row r="2364" spans="1:23" x14ac:dyDescent="0.2">
      <c r="A2364" s="14">
        <v>45009</v>
      </c>
      <c r="B2364" s="3">
        <v>107027893993082</v>
      </c>
      <c r="C2364" s="3">
        <f>[1]!nefin_factors__1[[#This Row],[Rm_minus_Rf]]/B2363-1</f>
        <v>-1.5015331296170951</v>
      </c>
      <c r="D2364" s="3">
        <v>12646841154983</v>
      </c>
      <c r="E2364" s="3">
        <f>[1]!nefin_factors__1[[#This Row],[SMB]]/D2363-1</f>
        <v>-1.067621263250998</v>
      </c>
      <c r="F2364" s="3">
        <v>-88530118325927</v>
      </c>
      <c r="G2364" s="3">
        <f>[1]!nefin_factors__1[[#This Row],[HML]]/F2363-1</f>
        <v>-0.7007292209052649</v>
      </c>
      <c r="H2364" s="3">
        <v>507880373261882</v>
      </c>
      <c r="I2364" s="4">
        <f>[1]!nefin_factors__1[[#This Row],[Risk_Free]]/H2363-1</f>
        <v>0</v>
      </c>
      <c r="J2364">
        <v>119068</v>
      </c>
      <c r="K2364">
        <v>119686</v>
      </c>
      <c r="L2364">
        <v>118693</v>
      </c>
      <c r="M2364">
        <v>119221</v>
      </c>
      <c r="N2364">
        <v>12298000</v>
      </c>
      <c r="O2364">
        <v>119221</v>
      </c>
      <c r="P2364">
        <v>1.27657072789722E-3</v>
      </c>
      <c r="Q2364">
        <v>1.2757566042695E-3</v>
      </c>
      <c r="R2364" s="8">
        <v>4.2600002288818404</v>
      </c>
      <c r="S2364" s="8">
        <v>3.9024470236812499E-2</v>
      </c>
      <c r="T2364" s="9">
        <v>3.8282263559495502E-2</v>
      </c>
      <c r="U2364" s="12">
        <v>5.0788E-2</v>
      </c>
      <c r="V2364" s="16">
        <v>4.9546999999999999</v>
      </c>
      <c r="W2364" s="17">
        <f t="shared" si="36"/>
        <v>-9.1987121802947769E-3</v>
      </c>
    </row>
    <row r="2365" spans="1:23" x14ac:dyDescent="0.2">
      <c r="A2365" s="15">
        <v>45012</v>
      </c>
      <c r="B2365" s="5">
        <v>802673212776313</v>
      </c>
      <c r="C2365" s="5">
        <f>[1]!nefin_factors__1[[#This Row],[Rm_minus_Rf]]/B2364-1</f>
        <v>6.4996637122299692</v>
      </c>
      <c r="D2365" s="5">
        <v>5004816475974</v>
      </c>
      <c r="E2365" s="5">
        <f>[1]!nefin_factors__1[[#This Row],[SMB]]/D2364-1</f>
        <v>-0.60426351413435397</v>
      </c>
      <c r="F2365" s="5">
        <v>717474604798057</v>
      </c>
      <c r="G2365" s="5">
        <f>[1]!nefin_factors__1[[#This Row],[HML]]/F2364-1</f>
        <v>-9.1042996255426534</v>
      </c>
      <c r="H2365" s="5">
        <v>50822969973785</v>
      </c>
      <c r="I2365" s="6">
        <f>[1]!nefin_factors__1[[#This Row],[Risk_Free]]/H2364-1</f>
        <v>-0.8999312187486741</v>
      </c>
      <c r="J2365">
        <v>119208</v>
      </c>
      <c r="K2365">
        <v>119555</v>
      </c>
      <c r="L2365">
        <v>118487</v>
      </c>
      <c r="M2365">
        <v>118758</v>
      </c>
      <c r="N2365">
        <v>15251700</v>
      </c>
      <c r="O2365">
        <v>118758</v>
      </c>
      <c r="P2365">
        <v>-3.8835440065089202E-3</v>
      </c>
      <c r="Q2365">
        <v>-3.89110454433642E-3</v>
      </c>
      <c r="R2365" s="8">
        <v>4.5</v>
      </c>
      <c r="S2365" s="8">
        <v>5.6337971413949799E-2</v>
      </c>
      <c r="T2365" s="9">
        <v>5.4808182766866102E-2</v>
      </c>
      <c r="U2365" s="12">
        <v>5.0788E-2</v>
      </c>
      <c r="V2365" s="16">
        <v>4.9695999999999998</v>
      </c>
      <c r="W2365" s="17">
        <f t="shared" si="36"/>
        <v>3.0072456455485508E-3</v>
      </c>
    </row>
    <row r="2366" spans="1:23" x14ac:dyDescent="0.2">
      <c r="A2366" s="14">
        <v>45013</v>
      </c>
      <c r="B2366" s="3">
        <v>143218491350138</v>
      </c>
      <c r="C2366" s="3">
        <f>[1]!nefin_factors__1[[#This Row],[Rm_minus_Rf]]/B2365-1</f>
        <v>-0.82157310214107049</v>
      </c>
      <c r="D2366" s="3">
        <v>-929692559109344</v>
      </c>
      <c r="E2366" s="3">
        <f>[1]!nefin_factors__1[[#This Row],[SMB]]/D2365-1</f>
        <v>-186.75957052019859</v>
      </c>
      <c r="F2366" s="3">
        <v>-12446604711825</v>
      </c>
      <c r="G2366" s="3">
        <f>[1]!nefin_factors__1[[#This Row],[HML]]/F2365-1</f>
        <v>-1.0173477982754919</v>
      </c>
      <c r="H2366" s="3">
        <v>507880373261882</v>
      </c>
      <c r="I2366" s="4">
        <f>[1]!nefin_factors__1[[#This Row],[Risk_Free]]/H2365-1</f>
        <v>8.9931266024762397</v>
      </c>
      <c r="J2366">
        <v>118757</v>
      </c>
      <c r="K2366">
        <v>119939</v>
      </c>
      <c r="L2366">
        <v>118558</v>
      </c>
      <c r="M2366">
        <v>119858</v>
      </c>
      <c r="N2366">
        <v>6776300</v>
      </c>
      <c r="O2366">
        <v>119858</v>
      </c>
      <c r="P2366">
        <v>9.26253389245346E-3</v>
      </c>
      <c r="Q2366">
        <v>9.2198996903481694E-3</v>
      </c>
      <c r="R2366" s="8">
        <v>4.2699999809265101</v>
      </c>
      <c r="S2366" s="8">
        <v>-5.1111115349663602E-2</v>
      </c>
      <c r="T2366" s="9">
        <v>-5.2463574002599503E-2</v>
      </c>
      <c r="U2366" s="12">
        <v>5.0788E-2</v>
      </c>
      <c r="V2366" s="16">
        <v>4.9234</v>
      </c>
      <c r="W2366" s="17">
        <f t="shared" si="36"/>
        <v>-9.2965228589825255E-3</v>
      </c>
    </row>
    <row r="2367" spans="1:23" x14ac:dyDescent="0.2">
      <c r="A2367" s="15">
        <v>45014</v>
      </c>
      <c r="B2367" s="5">
        <v>502094446359864</v>
      </c>
      <c r="C2367" s="5">
        <f>[1]!nefin_factors__1[[#This Row],[Rm_minus_Rf]]/B2366-1</f>
        <v>2.5057934323044395</v>
      </c>
      <c r="D2367" s="5">
        <v>-249348132026024</v>
      </c>
      <c r="E2367" s="5">
        <f>[1]!nefin_factors__1[[#This Row],[SMB]]/D2366-1</f>
        <v>-0.73179506538709704</v>
      </c>
      <c r="F2367" s="5">
        <v>-146444609924314</v>
      </c>
      <c r="G2367" s="5">
        <f>[1]!nefin_factors__1[[#This Row],[HML]]/F2366-1</f>
        <v>10.7658279759767</v>
      </c>
      <c r="H2367" s="5">
        <v>507880373261882</v>
      </c>
      <c r="I2367" s="6">
        <f>[1]!nefin_factors__1[[#This Row],[Risk_Free]]/H2366-1</f>
        <v>0</v>
      </c>
      <c r="J2367">
        <v>119858</v>
      </c>
      <c r="K2367">
        <v>119858</v>
      </c>
      <c r="L2367">
        <v>118416</v>
      </c>
      <c r="M2367">
        <v>119622</v>
      </c>
      <c r="N2367">
        <v>10924200</v>
      </c>
      <c r="O2367">
        <v>119622</v>
      </c>
      <c r="P2367">
        <v>-1.9689966460311199E-3</v>
      </c>
      <c r="Q2367">
        <v>-1.9709376682564999E-3</v>
      </c>
      <c r="R2367" s="8">
        <v>4.1900000572204599</v>
      </c>
      <c r="S2367" s="8">
        <v>-1.8735345213911701E-2</v>
      </c>
      <c r="T2367" s="9">
        <v>-1.8913075183194201E-2</v>
      </c>
      <c r="U2367" s="12">
        <v>5.0788E-2</v>
      </c>
      <c r="V2367" s="16">
        <v>4.9103000000000003</v>
      </c>
      <c r="W2367" s="17">
        <f t="shared" si="36"/>
        <v>-2.6607628874354416E-3</v>
      </c>
    </row>
    <row r="2368" spans="1:23" x14ac:dyDescent="0.2">
      <c r="A2368" s="14">
        <v>45015</v>
      </c>
      <c r="B2368" s="3">
        <v>163437609748631</v>
      </c>
      <c r="C2368" s="3">
        <f>[1]!nefin_factors__1[[#This Row],[Rm_minus_Rf]]/B2367-1</f>
        <v>-0.67448831403426623</v>
      </c>
      <c r="D2368" s="3">
        <v>530601857220423</v>
      </c>
      <c r="E2368" s="3">
        <f>[1]!nefin_factors__1[[#This Row],[SMB]]/D2367-1</f>
        <v>-3.1279560143849205</v>
      </c>
      <c r="F2368" s="3">
        <v>35203597174914</v>
      </c>
      <c r="G2368" s="3">
        <f>[1]!nefin_factors__1[[#This Row],[HML]]/F2367-1</f>
        <v>-1.2403884799386473</v>
      </c>
      <c r="H2368" s="3">
        <v>507880373261882</v>
      </c>
      <c r="I2368" s="4">
        <f>[1]!nefin_factors__1[[#This Row],[Risk_Free]]/H2367-1</f>
        <v>0</v>
      </c>
      <c r="J2368">
        <v>119623</v>
      </c>
      <c r="K2368">
        <v>120519</v>
      </c>
      <c r="L2368">
        <v>119332</v>
      </c>
      <c r="M2368">
        <v>120420</v>
      </c>
      <c r="N2368">
        <v>11736700</v>
      </c>
      <c r="O2368">
        <v>120420</v>
      </c>
      <c r="P2368">
        <v>6.67101369313339E-3</v>
      </c>
      <c r="Q2368">
        <v>6.6488609475569898E-3</v>
      </c>
      <c r="R2368" s="8">
        <v>3.9700000286102299</v>
      </c>
      <c r="S2368" s="8">
        <v>-5.2505972698284803E-2</v>
      </c>
      <c r="T2368" s="9">
        <v>-5.39346456847744E-2</v>
      </c>
      <c r="U2368" s="12">
        <v>5.0788E-2</v>
      </c>
      <c r="V2368" s="16">
        <v>4.9122000000000003</v>
      </c>
      <c r="W2368" s="17">
        <f t="shared" si="36"/>
        <v>3.8694173472086923E-4</v>
      </c>
    </row>
    <row r="2369" spans="1:23" x14ac:dyDescent="0.2">
      <c r="A2369" s="15">
        <v>45016</v>
      </c>
      <c r="B2369" s="5">
        <v>-167490878451353</v>
      </c>
      <c r="C2369" s="5">
        <f>[1]!nefin_factors__1[[#This Row],[Rm_minus_Rf]]/B2368-1</f>
        <v>-2.0248000977801617</v>
      </c>
      <c r="D2369" s="5">
        <v>106528313724253</v>
      </c>
      <c r="E2369" s="5">
        <f>[1]!nefin_factors__1[[#This Row],[SMB]]/D2368-1</f>
        <v>-0.79923117065155891</v>
      </c>
      <c r="F2369" s="5">
        <v>153294961337373</v>
      </c>
      <c r="G2369" s="5">
        <f>[1]!nefin_factors__1[[#This Row],[HML]]/F2368-1</f>
        <v>3.3545254928269266</v>
      </c>
      <c r="H2369" s="5">
        <v>50822969973785</v>
      </c>
      <c r="I2369" s="6">
        <f>[1]!nefin_factors__1[[#This Row],[Risk_Free]]/H2368-1</f>
        <v>-0.8999312187486741</v>
      </c>
      <c r="J2369">
        <v>120420</v>
      </c>
      <c r="K2369">
        <v>120420</v>
      </c>
      <c r="L2369">
        <v>118018</v>
      </c>
      <c r="M2369">
        <v>118934</v>
      </c>
      <c r="N2369">
        <v>11831500</v>
      </c>
      <c r="O2369">
        <v>118934</v>
      </c>
      <c r="P2369">
        <v>-1.23401428334163E-2</v>
      </c>
      <c r="Q2369">
        <v>-1.24169146331013E-2</v>
      </c>
      <c r="R2369" s="8">
        <v>3.8299999237060498</v>
      </c>
      <c r="S2369" s="8">
        <v>-3.5264509797292003E-2</v>
      </c>
      <c r="T2369" s="9">
        <v>-3.5901318633241697E-2</v>
      </c>
      <c r="U2369" s="12">
        <v>5.0788E-2</v>
      </c>
      <c r="V2369" s="16">
        <v>4.9512999999999998</v>
      </c>
      <c r="W2369" s="17">
        <f t="shared" si="36"/>
        <v>7.9597736248522288E-3</v>
      </c>
    </row>
    <row r="2370" spans="1:23" x14ac:dyDescent="0.2">
      <c r="A2370" s="14">
        <v>45019</v>
      </c>
      <c r="B2370" s="3">
        <v>-662635548735276</v>
      </c>
      <c r="C2370" s="3">
        <f>[1]!nefin_factors__1[[#This Row],[Rm_minus_Rf]]/B2369-1</f>
        <v>2.9562485722333567</v>
      </c>
      <c r="D2370" s="3">
        <v>-171522157811101</v>
      </c>
      <c r="E2370" s="3">
        <f>[1]!nefin_factors__1[[#This Row],[SMB]]/D2369-1</f>
        <v>-2.6101086351097571</v>
      </c>
      <c r="F2370" s="3">
        <v>-962721323903084</v>
      </c>
      <c r="G2370" s="3">
        <f>[1]!nefin_factors__1[[#This Row],[HML]]/F2369-1</f>
        <v>-7.2801889605772354</v>
      </c>
      <c r="H2370" s="3">
        <v>507880373261882</v>
      </c>
      <c r="I2370" s="4">
        <f>[1]!nefin_factors__1[[#This Row],[Risk_Free]]/H2369-1</f>
        <v>8.9931266024762397</v>
      </c>
      <c r="J2370">
        <v>118959</v>
      </c>
      <c r="K2370">
        <v>119386</v>
      </c>
      <c r="L2370">
        <v>118178</v>
      </c>
      <c r="M2370">
        <v>118977</v>
      </c>
      <c r="N2370">
        <v>12845400</v>
      </c>
      <c r="O2370">
        <v>118977</v>
      </c>
      <c r="P2370">
        <v>3.6154505860386298E-4</v>
      </c>
      <c r="Q2370">
        <v>3.6147971693799199E-4</v>
      </c>
      <c r="R2370" s="8">
        <v>3.78999996185303</v>
      </c>
      <c r="S2370" s="8">
        <v>-1.04438544777624E-2</v>
      </c>
      <c r="T2370" s="9">
        <v>-1.0498774243293599E-2</v>
      </c>
      <c r="U2370" s="12">
        <v>5.0788E-2</v>
      </c>
      <c r="V2370" s="16">
        <v>4.9646999999999997</v>
      </c>
      <c r="W2370" s="17">
        <f t="shared" si="36"/>
        <v>2.7063599458727605E-3</v>
      </c>
    </row>
    <row r="2371" spans="1:23" x14ac:dyDescent="0.2">
      <c r="A2371" s="15">
        <v>45020</v>
      </c>
      <c r="B2371" s="5">
        <v>487051227902565</v>
      </c>
      <c r="C2371" s="5">
        <f>[1]!nefin_factors__1[[#This Row],[Rm_minus_Rf]]/B2370-1</f>
        <v>-1.7350212780346059</v>
      </c>
      <c r="D2371" s="5">
        <v>-882428866227746</v>
      </c>
      <c r="E2371" s="5">
        <f>[1]!nefin_factors__1[[#This Row],[SMB]]/D2370-1</f>
        <v>4.1446931258850732</v>
      </c>
      <c r="F2371" s="5">
        <v>-8156007556328</v>
      </c>
      <c r="G2371" s="5">
        <f>[1]!nefin_factors__1[[#This Row],[HML]]/F2370-1</f>
        <v>-0.99152817398573689</v>
      </c>
      <c r="H2371" s="5">
        <v>507880373261882</v>
      </c>
      <c r="I2371" s="6">
        <f>[1]!nefin_factors__1[[#This Row],[Risk_Free]]/H2370-1</f>
        <v>0</v>
      </c>
      <c r="J2371">
        <v>118977</v>
      </c>
      <c r="K2371">
        <v>119148</v>
      </c>
      <c r="L2371">
        <v>117491</v>
      </c>
      <c r="M2371">
        <v>118243</v>
      </c>
      <c r="N2371">
        <v>10456600</v>
      </c>
      <c r="O2371">
        <v>118243</v>
      </c>
      <c r="P2371">
        <v>-6.1692596047975296E-3</v>
      </c>
      <c r="Q2371">
        <v>-6.1883681176211798E-3</v>
      </c>
      <c r="R2371" s="8">
        <v>3.4900000095367401</v>
      </c>
      <c r="S2371" s="8">
        <v>-7.9155661038478403E-2</v>
      </c>
      <c r="T2371" s="9">
        <v>-8.2464270082243704E-2</v>
      </c>
      <c r="U2371" s="12">
        <v>5.0788E-2</v>
      </c>
      <c r="V2371" s="16">
        <v>4.9858000000000002</v>
      </c>
      <c r="W2371" s="17">
        <f t="shared" si="36"/>
        <v>4.2500050355511743E-3</v>
      </c>
    </row>
    <row r="2372" spans="1:23" x14ac:dyDescent="0.2">
      <c r="A2372" s="14">
        <v>45021</v>
      </c>
      <c r="B2372" s="3">
        <v>-779287180131093</v>
      </c>
      <c r="C2372" s="3">
        <f>[1]!nefin_factors__1[[#This Row],[Rm_minus_Rf]]/B2371-1</f>
        <v>-2.6000107082924551</v>
      </c>
      <c r="D2372" s="3">
        <v>624013322033861</v>
      </c>
      <c r="E2372" s="3">
        <f>[1]!nefin_factors__1[[#This Row],[SMB]]/D2371-1</f>
        <v>-1.7071542488194278</v>
      </c>
      <c r="F2372" s="3">
        <v>327024245780443</v>
      </c>
      <c r="G2372" s="3">
        <f>[1]!nefin_factors__1[[#This Row],[HML]]/F2371-1</f>
        <v>-41.096118538624303</v>
      </c>
      <c r="H2372" s="3">
        <v>507880373261882</v>
      </c>
      <c r="I2372" s="4">
        <f>[1]!nefin_factors__1[[#This Row],[Risk_Free]]/H2371-1</f>
        <v>0</v>
      </c>
      <c r="J2372">
        <v>118246</v>
      </c>
      <c r="K2372">
        <v>119212</v>
      </c>
      <c r="L2372">
        <v>116561</v>
      </c>
      <c r="M2372">
        <v>117523</v>
      </c>
      <c r="N2372">
        <v>13077000</v>
      </c>
      <c r="O2372">
        <v>117523</v>
      </c>
      <c r="P2372">
        <v>-6.0891553834053801E-3</v>
      </c>
      <c r="Q2372">
        <v>-6.1077698929429504E-3</v>
      </c>
      <c r="R2372" s="8">
        <v>3.4100000858306898</v>
      </c>
      <c r="S2372" s="8">
        <v>-2.29226141797844E-2</v>
      </c>
      <c r="T2372" s="9">
        <v>-2.3189422481211901E-2</v>
      </c>
      <c r="U2372" s="12">
        <v>5.0788E-2</v>
      </c>
      <c r="V2372" s="16">
        <v>4.968</v>
      </c>
      <c r="W2372" s="17">
        <f t="shared" ref="W2372:W2435" si="37">V2372/V2371-1</f>
        <v>-3.5701391953147921E-3</v>
      </c>
    </row>
    <row r="2373" spans="1:23" x14ac:dyDescent="0.2">
      <c r="A2373" s="15">
        <v>45022</v>
      </c>
      <c r="B2373" s="5">
        <v>-154895998640658</v>
      </c>
      <c r="C2373" s="5">
        <f>[1]!nefin_factors__1[[#This Row],[Rm_minus_Rf]]/B2372-1</f>
        <v>-0.80123373951230514</v>
      </c>
      <c r="D2373" s="5">
        <v>-698133847671764</v>
      </c>
      <c r="E2373" s="5">
        <f>[1]!nefin_factors__1[[#This Row],[SMB]]/D2372-1</f>
        <v>-2.118780357759543</v>
      </c>
      <c r="F2373" s="5">
        <v>-777484700232716</v>
      </c>
      <c r="G2373" s="5">
        <f>[1]!nefin_factors__1[[#This Row],[HML]]/F2372-1</f>
        <v>-3.3774527738065707</v>
      </c>
      <c r="H2373" s="5">
        <v>507880373261882</v>
      </c>
      <c r="I2373" s="6">
        <f>[1]!nefin_factors__1[[#This Row],[Risk_Free]]/H2372-1</f>
        <v>0</v>
      </c>
      <c r="J2373">
        <v>117524</v>
      </c>
      <c r="K2373">
        <v>117937</v>
      </c>
      <c r="L2373">
        <v>116560</v>
      </c>
      <c r="M2373">
        <v>116681</v>
      </c>
      <c r="N2373">
        <v>10646300</v>
      </c>
      <c r="O2373">
        <v>116681</v>
      </c>
      <c r="P2373">
        <v>-7.1645550232720696E-3</v>
      </c>
      <c r="Q2373">
        <v>-7.1903436976882701E-3</v>
      </c>
      <c r="R2373" s="8">
        <v>3.4000000953674299</v>
      </c>
      <c r="S2373" s="8">
        <v>-2.9325484491361498E-3</v>
      </c>
      <c r="T2373" s="9">
        <v>-2.9368567943551002E-3</v>
      </c>
      <c r="U2373" s="12">
        <v>5.0788E-2</v>
      </c>
      <c r="V2373" s="16">
        <v>4.9673999999999996</v>
      </c>
      <c r="W2373" s="17">
        <f t="shared" si="37"/>
        <v>-1.2077294685997053E-4</v>
      </c>
    </row>
    <row r="2374" spans="1:23" x14ac:dyDescent="0.2">
      <c r="A2374" s="14">
        <v>45026</v>
      </c>
      <c r="B2374" s="3">
        <v>745943803210859</v>
      </c>
      <c r="C2374" s="3">
        <f>[1]!nefin_factors__1[[#This Row],[Rm_minus_Rf]]/B2373-1</f>
        <v>-5.8157719357319753</v>
      </c>
      <c r="D2374" s="3">
        <v>-698246735111614</v>
      </c>
      <c r="E2374" s="3">
        <f>[1]!nefin_factors__1[[#This Row],[SMB]]/D2373-1</f>
        <v>1.6169884933447953E-4</v>
      </c>
      <c r="F2374" s="3">
        <v>408239605744881</v>
      </c>
      <c r="G2374" s="3">
        <f>[1]!nefin_factors__1[[#This Row],[HML]]/F2373-1</f>
        <v>-1.5250773495898853</v>
      </c>
      <c r="H2374" s="3">
        <v>507880373261882</v>
      </c>
      <c r="I2374" s="4">
        <f>[1]!nefin_factors__1[[#This Row],[Risk_Free]]/H2373-1</f>
        <v>0</v>
      </c>
      <c r="J2374">
        <v>116683</v>
      </c>
      <c r="K2374">
        <v>118623</v>
      </c>
      <c r="L2374">
        <v>116683</v>
      </c>
      <c r="M2374">
        <v>118383</v>
      </c>
      <c r="N2374">
        <v>11055300</v>
      </c>
      <c r="O2374">
        <v>118383</v>
      </c>
      <c r="P2374">
        <v>1.45867793385384E-2</v>
      </c>
      <c r="Q2374">
        <v>1.44814156481879E-2</v>
      </c>
      <c r="R2374" s="8">
        <v>3.4800000190734899</v>
      </c>
      <c r="S2374" s="8">
        <v>2.35293886653287E-2</v>
      </c>
      <c r="T2374" s="9">
        <v>2.325683959591E-2</v>
      </c>
      <c r="U2374" s="12">
        <v>5.0788E-2</v>
      </c>
      <c r="V2374" s="16">
        <v>4.9474</v>
      </c>
      <c r="W2374" s="17">
        <f t="shared" si="37"/>
        <v>-4.0262511575470672E-3</v>
      </c>
    </row>
    <row r="2375" spans="1:23" x14ac:dyDescent="0.2">
      <c r="A2375" s="15">
        <v>45027</v>
      </c>
      <c r="B2375" s="5">
        <v>386304202007928</v>
      </c>
      <c r="C2375" s="5">
        <f>[1]!nefin_factors__1[[#This Row],[Rm_minus_Rf]]/B2374-1</f>
        <v>-0.48212693725035238</v>
      </c>
      <c r="D2375" s="5">
        <v>15135596503112</v>
      </c>
      <c r="E2375" s="5">
        <f>[1]!nefin_factors__1[[#This Row],[SMB]]/D2374-1</f>
        <v>-1.0216765732541415</v>
      </c>
      <c r="F2375" s="5">
        <v>114504483159255</v>
      </c>
      <c r="G2375" s="5">
        <f>[1]!nefin_factors__1[[#This Row],[HML]]/F2374-1</f>
        <v>-0.71951647623623349</v>
      </c>
      <c r="H2375" s="5">
        <v>507880373261882</v>
      </c>
      <c r="I2375" s="6">
        <f>[1]!nefin_factors__1[[#This Row],[Risk_Free]]/H2374-1</f>
        <v>0</v>
      </c>
      <c r="J2375">
        <v>118388</v>
      </c>
      <c r="K2375">
        <v>119447</v>
      </c>
      <c r="L2375">
        <v>118087</v>
      </c>
      <c r="M2375">
        <v>118087</v>
      </c>
      <c r="N2375">
        <v>13824700</v>
      </c>
      <c r="O2375">
        <v>118087</v>
      </c>
      <c r="P2375">
        <v>-2.5003590042489399E-3</v>
      </c>
      <c r="Q2375">
        <v>-2.5034901221922599E-3</v>
      </c>
      <c r="R2375" s="8">
        <v>3.5099999904632599</v>
      </c>
      <c r="S2375" s="8">
        <v>8.6206813865932208E-3</v>
      </c>
      <c r="T2375" s="9">
        <v>8.58373549348386E-3</v>
      </c>
      <c r="U2375" s="12">
        <v>5.0788E-2</v>
      </c>
      <c r="V2375" s="16">
        <v>4.9989999999999997</v>
      </c>
      <c r="W2375" s="17">
        <f t="shared" si="37"/>
        <v>1.04297206613575E-2</v>
      </c>
    </row>
    <row r="2376" spans="1:23" x14ac:dyDescent="0.2">
      <c r="A2376" s="14">
        <v>45028</v>
      </c>
      <c r="B2376" s="3">
        <v>703988790025356</v>
      </c>
      <c r="C2376" s="3">
        <f>[1]!nefin_factors__1[[#This Row],[Rm_minus_Rf]]/B2375-1</f>
        <v>0.82236896820218441</v>
      </c>
      <c r="D2376" s="3">
        <v>131756891237098</v>
      </c>
      <c r="E2376" s="3">
        <f>[1]!nefin_factors__1[[#This Row],[SMB]]/D2375-1</f>
        <v>7.7051006684809362</v>
      </c>
      <c r="F2376" s="3">
        <v>107383316383653</v>
      </c>
      <c r="G2376" s="3">
        <f>[1]!nefin_factors__1[[#This Row],[HML]]/F2375-1</f>
        <v>-6.2191161246479276E-2</v>
      </c>
      <c r="H2376" s="3">
        <v>507880373261882</v>
      </c>
      <c r="I2376" s="4">
        <f>[1]!nefin_factors__1[[#This Row],[Risk_Free]]/H2375-1</f>
        <v>0</v>
      </c>
      <c r="J2376">
        <v>118092</v>
      </c>
      <c r="K2376">
        <v>119877</v>
      </c>
      <c r="L2376">
        <v>118092</v>
      </c>
      <c r="M2376">
        <v>119673</v>
      </c>
      <c r="N2376">
        <v>8907500</v>
      </c>
      <c r="O2376">
        <v>119673</v>
      </c>
      <c r="P2376">
        <v>1.34307756145893E-2</v>
      </c>
      <c r="Q2376">
        <v>1.3341382272906399E-2</v>
      </c>
      <c r="R2376" s="8">
        <v>3.5499999523162802</v>
      </c>
      <c r="S2376" s="8">
        <v>1.13960005588911E-2</v>
      </c>
      <c r="T2376" s="9">
        <v>1.1331555294538E-2</v>
      </c>
      <c r="U2376" s="12">
        <v>5.0788E-2</v>
      </c>
      <c r="V2376" s="16">
        <v>5.0114000000000001</v>
      </c>
      <c r="W2376" s="17">
        <f t="shared" si="37"/>
        <v>2.4804960992199643E-3</v>
      </c>
    </row>
    <row r="2377" spans="1:23" x14ac:dyDescent="0.2">
      <c r="A2377" s="15">
        <v>45029</v>
      </c>
      <c r="B2377" s="5">
        <v>-364673479020516</v>
      </c>
      <c r="C2377" s="5">
        <f>[1]!nefin_factors__1[[#This Row],[Rm_minus_Rf]]/B2376-1</f>
        <v>-1.518010349294598</v>
      </c>
      <c r="D2377" s="5">
        <v>20518546375579</v>
      </c>
      <c r="E2377" s="5">
        <f>[1]!nefin_factors__1[[#This Row],[SMB]]/D2376-1</f>
        <v>-0.84426965312458957</v>
      </c>
      <c r="F2377" s="5">
        <v>224765967670052</v>
      </c>
      <c r="G2377" s="5">
        <f>[1]!nefin_factors__1[[#This Row],[HML]]/F2376-1</f>
        <v>1.0931181419935005</v>
      </c>
      <c r="H2377" s="5">
        <v>507531016169516</v>
      </c>
      <c r="I2377" s="6">
        <f>[1]!nefin_factors__1[[#This Row],[Risk_Free]]/H2376-1</f>
        <v>-6.8787279595439177E-4</v>
      </c>
      <c r="J2377">
        <v>119673</v>
      </c>
      <c r="K2377">
        <v>119678</v>
      </c>
      <c r="L2377">
        <v>118830</v>
      </c>
      <c r="M2377">
        <v>119076</v>
      </c>
      <c r="N2377">
        <v>6555200</v>
      </c>
      <c r="O2377">
        <v>119076</v>
      </c>
      <c r="P2377">
        <v>-4.9885939184277604E-3</v>
      </c>
      <c r="Q2377">
        <v>-5.0010784906834704E-3</v>
      </c>
      <c r="R2377" s="8">
        <v>3.5099999904632599</v>
      </c>
      <c r="S2377" s="8">
        <v>-1.1267595039523501E-2</v>
      </c>
      <c r="T2377" s="9">
        <v>-1.1331555294538199E-2</v>
      </c>
      <c r="U2377" s="12">
        <v>5.0788E-2</v>
      </c>
      <c r="V2377" s="16">
        <v>4.9954000000000001</v>
      </c>
      <c r="W2377" s="17">
        <f t="shared" si="37"/>
        <v>-3.1927205970387895E-3</v>
      </c>
    </row>
    <row r="2378" spans="1:23" x14ac:dyDescent="0.2">
      <c r="A2378" s="14">
        <v>45030</v>
      </c>
      <c r="B2378" s="3">
        <v>-256393542049201</v>
      </c>
      <c r="C2378" s="3">
        <f>[1]!nefin_factors__1[[#This Row],[Rm_minus_Rf]]/B2377-1</f>
        <v>-0.29692298234065806</v>
      </c>
      <c r="D2378" s="3">
        <v>332414977825996</v>
      </c>
      <c r="E2378" s="3">
        <f>[1]!nefin_factors__1[[#This Row],[SMB]]/D2377-1</f>
        <v>15.200707971283652</v>
      </c>
      <c r="F2378" s="3">
        <v>370179774962917</v>
      </c>
      <c r="G2378" s="3">
        <f>[1]!nefin_factors__1[[#This Row],[HML]]/F2377-1</f>
        <v>0.64695651570493551</v>
      </c>
      <c r="H2378" s="3">
        <v>507880373261882</v>
      </c>
      <c r="I2378" s="4">
        <f>[1]!nefin_factors__1[[#This Row],[Risk_Free]]/H2377-1</f>
        <v>6.8834629064196129E-4</v>
      </c>
      <c r="J2378">
        <v>119072</v>
      </c>
      <c r="K2378">
        <v>120200</v>
      </c>
      <c r="L2378">
        <v>118688</v>
      </c>
      <c r="M2378">
        <v>119549</v>
      </c>
      <c r="N2378">
        <v>10959000</v>
      </c>
      <c r="O2378">
        <v>119549</v>
      </c>
      <c r="P2378">
        <v>3.9722530148813603E-3</v>
      </c>
      <c r="Q2378">
        <v>3.9643844482828297E-3</v>
      </c>
      <c r="R2378" s="8">
        <v>3.4300000667571999</v>
      </c>
      <c r="S2378" s="8">
        <v>-2.2792001117782301E-2</v>
      </c>
      <c r="T2378" s="9">
        <v>-2.3055754120164001E-2</v>
      </c>
      <c r="U2378" s="12">
        <v>5.0788E-2</v>
      </c>
      <c r="V2378" s="16">
        <v>5.0593000000000004</v>
      </c>
      <c r="W2378" s="17">
        <f t="shared" si="37"/>
        <v>1.2791768426952954E-2</v>
      </c>
    </row>
    <row r="2379" spans="1:23" x14ac:dyDescent="0.2">
      <c r="A2379" s="15">
        <v>45033</v>
      </c>
      <c r="B2379" s="5">
        <v>-524120391395641</v>
      </c>
      <c r="C2379" s="5">
        <f>[1]!nefin_factors__1[[#This Row],[Rm_minus_Rf]]/B2378-1</f>
        <v>1.0442027798619988</v>
      </c>
      <c r="D2379" s="5">
        <v>-219867752971855</v>
      </c>
      <c r="E2379" s="5">
        <f>[1]!nefin_factors__1[[#This Row],[SMB]]/D2378-1</f>
        <v>-1.6614255302507628</v>
      </c>
      <c r="F2379" s="5">
        <v>-510361077291724</v>
      </c>
      <c r="G2379" s="5">
        <f>[1]!nefin_factors__1[[#This Row],[HML]]/F2378-1</f>
        <v>-2.3786843901529999</v>
      </c>
      <c r="H2379" s="5">
        <v>507531016169516</v>
      </c>
      <c r="I2379" s="6">
        <f>[1]!nefin_factors__1[[#This Row],[Risk_Free]]/H2378-1</f>
        <v>-6.8787279595439177E-4</v>
      </c>
      <c r="J2379">
        <v>119548</v>
      </c>
      <c r="K2379">
        <v>119548</v>
      </c>
      <c r="L2379">
        <v>117096</v>
      </c>
      <c r="M2379">
        <v>117426</v>
      </c>
      <c r="N2379">
        <v>11025700</v>
      </c>
      <c r="O2379">
        <v>117426</v>
      </c>
      <c r="P2379">
        <v>-1.7758408685978101E-2</v>
      </c>
      <c r="Q2379">
        <v>-1.7917981217500399E-2</v>
      </c>
      <c r="R2379" s="8">
        <v>3.2300000190734899</v>
      </c>
      <c r="S2379" s="8">
        <v>-5.8309050667978597E-2</v>
      </c>
      <c r="T2379" s="9">
        <v>-6.0078137500920198E-2</v>
      </c>
      <c r="U2379" s="12">
        <v>5.0788E-2</v>
      </c>
      <c r="V2379" s="16">
        <v>5.0959000000000003</v>
      </c>
      <c r="W2379" s="17">
        <f t="shared" si="37"/>
        <v>7.2342023600102667E-3</v>
      </c>
    </row>
    <row r="2380" spans="1:23" x14ac:dyDescent="0.2">
      <c r="A2380" s="14">
        <v>45034</v>
      </c>
      <c r="B2380" s="3">
        <v>-151618390628185</v>
      </c>
      <c r="C2380" s="3">
        <f>[1]!nefin_factors__1[[#This Row],[Rm_minus_Rf]]/B2379-1</f>
        <v>-0.7107183900545222</v>
      </c>
      <c r="D2380" s="3">
        <v>-676610335064548</v>
      </c>
      <c r="E2380" s="3">
        <f>[1]!nefin_factors__1[[#This Row],[SMB]]/D2379-1</f>
        <v>2.077351389274261</v>
      </c>
      <c r="F2380" s="3">
        <v>563105811254205</v>
      </c>
      <c r="G2380" s="3">
        <f>[1]!nefin_factors__1[[#This Row],[HML]]/F2379-1</f>
        <v>-2.103347877236986</v>
      </c>
      <c r="H2380" s="3">
        <v>507880373261882</v>
      </c>
      <c r="I2380" s="4">
        <f>[1]!nefin_factors__1[[#This Row],[Risk_Free]]/H2379-1</f>
        <v>6.8834629064196129E-4</v>
      </c>
      <c r="J2380">
        <v>117427</v>
      </c>
      <c r="K2380">
        <v>119549</v>
      </c>
      <c r="L2380">
        <v>117427</v>
      </c>
      <c r="M2380">
        <v>118898</v>
      </c>
      <c r="N2380">
        <v>10521000</v>
      </c>
      <c r="O2380">
        <v>118898</v>
      </c>
      <c r="P2380">
        <v>1.2535554306541999E-2</v>
      </c>
      <c r="Q2380">
        <v>1.24576347465131E-2</v>
      </c>
      <c r="R2380" s="8">
        <v>3.4300000667571999</v>
      </c>
      <c r="S2380" s="8">
        <v>6.1919519041081998E-2</v>
      </c>
      <c r="T2380" s="9">
        <v>6.0078137500920198E-2</v>
      </c>
      <c r="U2380" s="12">
        <v>5.0788E-2</v>
      </c>
      <c r="V2380" s="16">
        <v>5.0350000000000001</v>
      </c>
      <c r="W2380" s="17">
        <f t="shared" si="37"/>
        <v>-1.1950783963578626E-2</v>
      </c>
    </row>
    <row r="2381" spans="1:23" x14ac:dyDescent="0.2">
      <c r="A2381" s="15">
        <v>45035</v>
      </c>
      <c r="B2381" s="5">
        <v>-196063492159592</v>
      </c>
      <c r="C2381" s="5">
        <f>[1]!nefin_factors__1[[#This Row],[Rm_minus_Rf]]/B2380-1</f>
        <v>0.29313793232642915</v>
      </c>
      <c r="D2381" s="5">
        <v>-148336253007091</v>
      </c>
      <c r="E2381" s="5">
        <f>[1]!nefin_factors__1[[#This Row],[SMB]]/D2380-1</f>
        <v>-0.78076561157916713</v>
      </c>
      <c r="F2381" s="5">
        <v>10002794389448</v>
      </c>
      <c r="G2381" s="5">
        <f>[1]!nefin_factors__1[[#This Row],[HML]]/F2380-1</f>
        <v>-0.9822363857919193</v>
      </c>
      <c r="H2381" s="5">
        <v>507880373261882</v>
      </c>
      <c r="I2381" s="6">
        <f>[1]!nefin_factors__1[[#This Row],[Risk_Free]]/H2380-1</f>
        <v>0</v>
      </c>
      <c r="J2381">
        <v>118897</v>
      </c>
      <c r="K2381">
        <v>118897</v>
      </c>
      <c r="L2381">
        <v>117814</v>
      </c>
      <c r="M2381">
        <v>117942</v>
      </c>
      <c r="N2381">
        <v>8104000</v>
      </c>
      <c r="O2381">
        <v>117942</v>
      </c>
      <c r="P2381">
        <v>-8.0405053070699006E-3</v>
      </c>
      <c r="Q2381">
        <v>-8.07300449368362E-3</v>
      </c>
      <c r="R2381" s="8">
        <v>3.3499999046325701</v>
      </c>
      <c r="S2381" s="8">
        <v>-2.33236619730646E-2</v>
      </c>
      <c r="T2381" s="9">
        <v>-2.35999632715049E-2</v>
      </c>
      <c r="U2381" s="12">
        <v>5.0788E-2</v>
      </c>
      <c r="V2381" s="16">
        <v>4.9558</v>
      </c>
      <c r="W2381" s="17">
        <f t="shared" si="37"/>
        <v>-1.5729890764647481E-2</v>
      </c>
    </row>
    <row r="2382" spans="1:23" x14ac:dyDescent="0.2">
      <c r="A2382" s="14">
        <v>45036</v>
      </c>
      <c r="B2382" s="3">
        <v>54159677076655</v>
      </c>
      <c r="C2382" s="3">
        <f>[1]!nefin_factors__1[[#This Row],[Rm_minus_Rf]]/B2381-1</f>
        <v>-1.2762353994621805</v>
      </c>
      <c r="D2382" s="3">
        <v>-360012398169731</v>
      </c>
      <c r="E2382" s="3">
        <f>[1]!nefin_factors__1[[#This Row],[SMB]]/D2381-1</f>
        <v>1.4270021041486136</v>
      </c>
      <c r="F2382" s="3">
        <v>-847742487897151</v>
      </c>
      <c r="G2382" s="3">
        <f>[1]!nefin_factors__1[[#This Row],[HML]]/F2381-1</f>
        <v>-85.750566180930292</v>
      </c>
      <c r="H2382" s="3">
        <v>507880373261882</v>
      </c>
      <c r="I2382" s="4">
        <f>[1]!nefin_factors__1[[#This Row],[Risk_Free]]/H2381-1</f>
        <v>0</v>
      </c>
      <c r="J2382">
        <v>117942</v>
      </c>
      <c r="K2382">
        <v>117942</v>
      </c>
      <c r="L2382">
        <v>115704</v>
      </c>
      <c r="M2382">
        <v>117220</v>
      </c>
      <c r="N2382">
        <v>10592500</v>
      </c>
      <c r="O2382">
        <v>117220</v>
      </c>
      <c r="P2382">
        <v>-6.1216530158891801E-3</v>
      </c>
      <c r="Q2382">
        <v>-6.1404671554333799E-3</v>
      </c>
      <c r="R2382" s="8">
        <v>3.25</v>
      </c>
      <c r="S2382" s="8">
        <v>-2.9850718650553699E-2</v>
      </c>
      <c r="T2382" s="9">
        <v>-3.0305321027438499E-2</v>
      </c>
      <c r="U2382" s="12">
        <v>5.0788E-2</v>
      </c>
      <c r="V2382" s="16">
        <v>4.9236000000000004</v>
      </c>
      <c r="W2382" s="17">
        <f t="shared" si="37"/>
        <v>-6.4974373461398338E-3</v>
      </c>
    </row>
    <row r="2383" spans="1:23" x14ac:dyDescent="0.2">
      <c r="A2383" s="15">
        <v>45040</v>
      </c>
      <c r="B2383" s="5">
        <v>-381167233386525</v>
      </c>
      <c r="C2383" s="5">
        <f>[1]!nefin_factors__1[[#This Row],[Rm_minus_Rf]]/B2382-1</f>
        <v>-8.0378416925758103</v>
      </c>
      <c r="D2383" s="5">
        <v>183305324435735</v>
      </c>
      <c r="E2383" s="5">
        <f>[1]!nefin_factors__1[[#This Row],[SMB]]/D2382-1</f>
        <v>-1.5091639214861541</v>
      </c>
      <c r="F2383" s="5">
        <v>311737857773731</v>
      </c>
      <c r="G2383" s="5">
        <f>[1]!nefin_factors__1[[#This Row],[HML]]/F2382-1</f>
        <v>-1.3677270659714196</v>
      </c>
      <c r="H2383" s="5">
        <v>507531016169516</v>
      </c>
      <c r="I2383" s="6">
        <f>[1]!nefin_factors__1[[#This Row],[Risk_Free]]/H2382-1</f>
        <v>-6.8787279595439177E-4</v>
      </c>
      <c r="J2383">
        <v>117557</v>
      </c>
      <c r="K2383">
        <v>119156</v>
      </c>
      <c r="L2383">
        <v>117557</v>
      </c>
      <c r="M2383">
        <v>117666</v>
      </c>
      <c r="N2383">
        <v>8941200</v>
      </c>
      <c r="O2383">
        <v>117666</v>
      </c>
      <c r="P2383">
        <v>3.80481146562017E-3</v>
      </c>
      <c r="Q2383">
        <v>3.7975914784740099E-3</v>
      </c>
      <c r="R2383" s="8">
        <v>3.1900000572204599</v>
      </c>
      <c r="S2383" s="8">
        <v>-1.8461520855243399E-2</v>
      </c>
      <c r="T2383" s="9">
        <v>-1.8634061607445199E-2</v>
      </c>
      <c r="U2383" s="12">
        <v>5.0788E-2</v>
      </c>
      <c r="V2383" s="16">
        <v>4.9291999999999998</v>
      </c>
      <c r="W2383" s="17">
        <f t="shared" si="37"/>
        <v>1.1373791534647903E-3</v>
      </c>
    </row>
    <row r="2384" spans="1:23" x14ac:dyDescent="0.2">
      <c r="A2384" s="14">
        <v>45041</v>
      </c>
      <c r="B2384" s="3">
        <v>-631365103715803</v>
      </c>
      <c r="C2384" s="3">
        <f>[1]!nefin_factors__1[[#This Row],[Rm_minus_Rf]]/B2383-1</f>
        <v>0.65639920857405731</v>
      </c>
      <c r="D2384" s="3">
        <v>-653475395430946</v>
      </c>
      <c r="E2384" s="3">
        <f>[1]!nefin_factors__1[[#This Row],[SMB]]/D2383-1</f>
        <v>-4.5649558868108482</v>
      </c>
      <c r="F2384" s="3">
        <v>-185711908550814</v>
      </c>
      <c r="G2384" s="3">
        <f>[1]!nefin_factors__1[[#This Row],[HML]]/F2383-1</f>
        <v>-1.5957310089864332</v>
      </c>
      <c r="H2384" s="3">
        <v>507880373261882</v>
      </c>
      <c r="I2384" s="4">
        <f>[1]!nefin_factors__1[[#This Row],[Risk_Free]]/H2383-1</f>
        <v>6.8834629064196129E-4</v>
      </c>
      <c r="J2384">
        <v>117671</v>
      </c>
      <c r="K2384">
        <v>119739</v>
      </c>
      <c r="L2384">
        <v>117668</v>
      </c>
      <c r="M2384">
        <v>119264</v>
      </c>
      <c r="N2384">
        <v>9257600</v>
      </c>
      <c r="O2384">
        <v>119264</v>
      </c>
      <c r="P2384">
        <v>1.3580813489028299E-2</v>
      </c>
      <c r="Q2384">
        <v>1.34894207700907E-2</v>
      </c>
      <c r="R2384" s="8">
        <v>3.1500000953674299</v>
      </c>
      <c r="S2384" s="8">
        <v>-1.2539172769758701E-2</v>
      </c>
      <c r="T2384" s="9">
        <v>-1.26184516212847E-2</v>
      </c>
      <c r="U2384" s="12">
        <v>5.0788E-2</v>
      </c>
      <c r="V2384" s="16">
        <v>4.9119000000000002</v>
      </c>
      <c r="W2384" s="17">
        <f t="shared" si="37"/>
        <v>-3.5096973139656651E-3</v>
      </c>
    </row>
    <row r="2385" spans="1:23" x14ac:dyDescent="0.2">
      <c r="A2385" s="15">
        <v>45042</v>
      </c>
      <c r="B2385" s="5">
        <v>-742221383170083</v>
      </c>
      <c r="C2385" s="5">
        <f>[1]!nefin_factors__1[[#This Row],[Rm_minus_Rf]]/B2384-1</f>
        <v>0.17558189200171537</v>
      </c>
      <c r="D2385" s="5">
        <v>137436704218833</v>
      </c>
      <c r="E2385" s="5">
        <f>[1]!nefin_factors__1[[#This Row],[SMB]]/D2384-1</f>
        <v>-1.2103165707229082</v>
      </c>
      <c r="F2385" s="5">
        <v>579186779965831</v>
      </c>
      <c r="G2385" s="5">
        <f>[1]!nefin_factors__1[[#This Row],[HML]]/F2384-1</f>
        <v>-4.1187379661620103</v>
      </c>
      <c r="H2385" s="5">
        <v>507880373261882</v>
      </c>
      <c r="I2385" s="6">
        <f>[1]!nefin_factors__1[[#This Row],[Risk_Free]]/H2384-1</f>
        <v>0</v>
      </c>
      <c r="J2385">
        <v>119268</v>
      </c>
      <c r="K2385">
        <v>119329</v>
      </c>
      <c r="L2385">
        <v>117526</v>
      </c>
      <c r="M2385">
        <v>117711</v>
      </c>
      <c r="N2385">
        <v>8980000</v>
      </c>
      <c r="O2385">
        <v>117711</v>
      </c>
      <c r="P2385">
        <v>-1.3021532063321699E-2</v>
      </c>
      <c r="Q2385">
        <v>-1.31070554536132E-2</v>
      </c>
      <c r="R2385" s="8">
        <v>3.0499999523162802</v>
      </c>
      <c r="S2385" s="8">
        <v>-3.1746076197970097E-2</v>
      </c>
      <c r="T2385" s="9">
        <v>-3.22609081276014E-2</v>
      </c>
      <c r="U2385" s="12">
        <v>5.0788E-2</v>
      </c>
      <c r="V2385" s="16">
        <v>4.8921999999999999</v>
      </c>
      <c r="W2385" s="17">
        <f t="shared" si="37"/>
        <v>-4.0106679696247927E-3</v>
      </c>
    </row>
    <row r="2386" spans="1:23" x14ac:dyDescent="0.2">
      <c r="A2386" s="14">
        <v>45043</v>
      </c>
      <c r="B2386" s="3">
        <v>494675322717505</v>
      </c>
      <c r="C2386" s="3">
        <f>[1]!nefin_factors__1[[#This Row],[Rm_minus_Rf]]/B2385-1</f>
        <v>-1.6664794816402484</v>
      </c>
      <c r="D2386" s="3">
        <v>587332512133929</v>
      </c>
      <c r="E2386" s="3">
        <f>[1]!nefin_factors__1[[#This Row],[SMB]]/D2385-1</f>
        <v>3.273476401171199</v>
      </c>
      <c r="F2386" s="3">
        <v>138760875830927</v>
      </c>
      <c r="G2386" s="3">
        <f>[1]!nefin_factors__1[[#This Row],[HML]]/F2385-1</f>
        <v>-0.76042119635549488</v>
      </c>
      <c r="H2386" s="3">
        <v>507531016169516</v>
      </c>
      <c r="I2386" s="4">
        <f>[1]!nefin_factors__1[[#This Row],[Risk_Free]]/H2385-1</f>
        <v>-6.8787279595439177E-4</v>
      </c>
      <c r="J2386">
        <v>117711</v>
      </c>
      <c r="K2386">
        <v>118302</v>
      </c>
      <c r="L2386">
        <v>116591</v>
      </c>
      <c r="M2386">
        <v>118219</v>
      </c>
      <c r="N2386">
        <v>8201900</v>
      </c>
      <c r="O2386">
        <v>118219</v>
      </c>
      <c r="P2386">
        <v>4.3156544418108097E-3</v>
      </c>
      <c r="Q2386">
        <v>4.3063687115961202E-3</v>
      </c>
      <c r="R2386" s="8">
        <v>3.1099998950958301</v>
      </c>
      <c r="S2386" s="8">
        <v>1.9672112694288701E-2</v>
      </c>
      <c r="T2386" s="9">
        <v>1.9481117474581401E-2</v>
      </c>
      <c r="U2386" s="12">
        <v>5.0788E-2</v>
      </c>
      <c r="V2386" s="16">
        <v>4.8832000000000004</v>
      </c>
      <c r="W2386" s="17">
        <f t="shared" si="37"/>
        <v>-1.8396631372387118E-3</v>
      </c>
    </row>
    <row r="2387" spans="1:23" x14ac:dyDescent="0.2">
      <c r="A2387" s="15">
        <v>45044</v>
      </c>
      <c r="B2387" s="5">
        <v>140996362281929</v>
      </c>
      <c r="C2387" s="5">
        <f>[1]!nefin_factors__1[[#This Row],[Rm_minus_Rf]]/B2386-1</f>
        <v>-0.7149719102473846</v>
      </c>
      <c r="D2387" s="5">
        <v>918348121810026</v>
      </c>
      <c r="E2387" s="5">
        <f>[1]!nefin_factors__1[[#This Row],[SMB]]/D2386-1</f>
        <v>0.5635914968736071</v>
      </c>
      <c r="F2387" s="5">
        <v>808473613517958</v>
      </c>
      <c r="G2387" s="5">
        <f>[1]!nefin_factors__1[[#This Row],[HML]]/F2386-1</f>
        <v>4.8263801570627267</v>
      </c>
      <c r="H2387" s="5">
        <v>507880373261882</v>
      </c>
      <c r="I2387" s="6">
        <f>[1]!nefin_factors__1[[#This Row],[Risk_Free]]/H2386-1</f>
        <v>6.8834629064196129E-4</v>
      </c>
      <c r="J2387">
        <v>118218</v>
      </c>
      <c r="K2387">
        <v>118732</v>
      </c>
      <c r="L2387">
        <v>117324</v>
      </c>
      <c r="M2387">
        <v>117841</v>
      </c>
      <c r="N2387">
        <v>8584800</v>
      </c>
      <c r="O2387">
        <v>117841</v>
      </c>
      <c r="P2387">
        <v>-3.19745556974771E-3</v>
      </c>
      <c r="Q2387">
        <v>-3.2025783536385201E-3</v>
      </c>
      <c r="R2387" s="8">
        <v>3.1400001049041699</v>
      </c>
      <c r="S2387" s="8">
        <v>9.6463700386797396E-3</v>
      </c>
      <c r="T2387" s="9">
        <v>9.6001408692379993E-3</v>
      </c>
      <c r="U2387" s="12">
        <v>5.0788E-2</v>
      </c>
      <c r="V2387" s="16">
        <v>4.8532999999999999</v>
      </c>
      <c r="W2387" s="17">
        <f t="shared" si="37"/>
        <v>-6.1230340760157764E-3</v>
      </c>
    </row>
    <row r="2388" spans="1:23" x14ac:dyDescent="0.2">
      <c r="A2388" s="14">
        <v>45048</v>
      </c>
      <c r="B2388" s="3">
        <v>-198288768447543</v>
      </c>
      <c r="C2388" s="3">
        <f>[1]!nefin_factors__1[[#This Row],[Rm_minus_Rf]]/B2387-1</f>
        <v>-2.4063396050676475</v>
      </c>
      <c r="D2388" s="3">
        <v>487875704477142</v>
      </c>
      <c r="E2388" s="3">
        <f>[1]!nefin_factors__1[[#This Row],[SMB]]/D2387-1</f>
        <v>-0.46874644495862938</v>
      </c>
      <c r="F2388" s="3">
        <v>1104411167241</v>
      </c>
      <c r="G2388" s="3">
        <f>[1]!nefin_factors__1[[#This Row],[HML]]/F2387-1</f>
        <v>-0.9986339552104424</v>
      </c>
      <c r="H2388" s="3">
        <v>507880373261882</v>
      </c>
      <c r="I2388" s="4">
        <f>[1]!nefin_factors__1[[#This Row],[Risk_Free]]/H2387-1</f>
        <v>0</v>
      </c>
      <c r="J2388">
        <v>117842</v>
      </c>
      <c r="K2388">
        <v>118011</v>
      </c>
      <c r="L2388">
        <v>116660</v>
      </c>
      <c r="M2388">
        <v>117552</v>
      </c>
      <c r="N2388">
        <v>9728700</v>
      </c>
      <c r="O2388">
        <v>117552</v>
      </c>
      <c r="P2388">
        <v>-2.4524571244304298E-3</v>
      </c>
      <c r="Q2388">
        <v>-2.4554693232708398E-3</v>
      </c>
      <c r="R2388" s="8">
        <v>3.03999996185303</v>
      </c>
      <c r="S2388" s="8">
        <v>-3.1847178251670501E-2</v>
      </c>
      <c r="T2388" s="9">
        <v>-3.2365330459350299E-2</v>
      </c>
      <c r="U2388" s="12">
        <v>5.0788E-2</v>
      </c>
      <c r="V2388" s="16">
        <v>4.8461999999999996</v>
      </c>
      <c r="W2388" s="17">
        <f t="shared" si="37"/>
        <v>-1.4629221354542921E-3</v>
      </c>
    </row>
    <row r="2389" spans="1:23" x14ac:dyDescent="0.2">
      <c r="A2389" s="15">
        <v>45049</v>
      </c>
      <c r="B2389" s="5">
        <v>-388635025279914</v>
      </c>
      <c r="C2389" s="5">
        <f>[1]!nefin_factors__1[[#This Row],[Rm_minus_Rf]]/B2388-1</f>
        <v>0.95994472265193798</v>
      </c>
      <c r="D2389" s="5">
        <v>713981162406559</v>
      </c>
      <c r="E2389" s="5">
        <f>[1]!nefin_factors__1[[#This Row],[SMB]]/D2388-1</f>
        <v>0.46344889867335159</v>
      </c>
      <c r="F2389" s="5">
        <v>124746345424415</v>
      </c>
      <c r="G2389" s="5">
        <f>[1]!nefin_factors__1[[#This Row],[HML]]/F2388-1</f>
        <v>111.95281062401044</v>
      </c>
      <c r="H2389" s="5">
        <v>507531016169516</v>
      </c>
      <c r="I2389" s="6">
        <f>[1]!nefin_factors__1[[#This Row],[Risk_Free]]/H2388-1</f>
        <v>-6.8787279595439177E-4</v>
      </c>
      <c r="J2389">
        <v>117558</v>
      </c>
      <c r="K2389">
        <v>118290</v>
      </c>
      <c r="L2389">
        <v>117484</v>
      </c>
      <c r="M2389">
        <v>118083</v>
      </c>
      <c r="N2389">
        <v>8986400</v>
      </c>
      <c r="O2389">
        <v>118083</v>
      </c>
      <c r="P2389">
        <v>4.5171498570846201E-3</v>
      </c>
      <c r="Q2389">
        <v>4.5069781555661303E-3</v>
      </c>
      <c r="R2389" s="8">
        <v>3</v>
      </c>
      <c r="S2389" s="8">
        <v>-1.31578823536055E-2</v>
      </c>
      <c r="T2389" s="9">
        <v>-1.32452142016743E-2</v>
      </c>
      <c r="U2389" s="12">
        <v>5.0788E-2</v>
      </c>
      <c r="V2389" s="16">
        <v>4.8221999999999996</v>
      </c>
      <c r="W2389" s="17">
        <f t="shared" si="37"/>
        <v>-4.9523337872973139E-3</v>
      </c>
    </row>
    <row r="2390" spans="1:23" x14ac:dyDescent="0.2">
      <c r="A2390" s="14">
        <v>45050</v>
      </c>
      <c r="B2390" s="3">
        <v>327102660299776</v>
      </c>
      <c r="C2390" s="3">
        <f>[1]!nefin_factors__1[[#This Row],[Rm_minus_Rf]]/B2389-1</f>
        <v>-1.8416705624105307</v>
      </c>
      <c r="D2390" s="3">
        <v>833124238573924</v>
      </c>
      <c r="E2390" s="3">
        <f>[1]!nefin_factors__1[[#This Row],[SMB]]/D2389-1</f>
        <v>0.16687145605603804</v>
      </c>
      <c r="F2390" s="3">
        <v>57845273365208</v>
      </c>
      <c r="G2390" s="3">
        <f>[1]!nefin_factors__1[[#This Row],[HML]]/F2389-1</f>
        <v>-0.53629684967198488</v>
      </c>
      <c r="H2390" s="3">
        <v>507880373261882</v>
      </c>
      <c r="I2390" s="4">
        <f>[1]!nefin_factors__1[[#This Row],[Risk_Free]]/H2389-1</f>
        <v>6.8834629064196129E-4</v>
      </c>
      <c r="J2390">
        <v>118090</v>
      </c>
      <c r="K2390">
        <v>120373</v>
      </c>
      <c r="L2390">
        <v>118086</v>
      </c>
      <c r="M2390">
        <v>120217</v>
      </c>
      <c r="N2390">
        <v>11181500</v>
      </c>
      <c r="O2390">
        <v>120217</v>
      </c>
      <c r="P2390">
        <v>1.8072034077725001E-2</v>
      </c>
      <c r="Q2390">
        <v>1.7910676015625099E-2</v>
      </c>
      <c r="R2390" s="8">
        <v>3.1099998950958301</v>
      </c>
      <c r="S2390" s="8">
        <v>3.6666631698608398E-2</v>
      </c>
      <c r="T2390" s="9">
        <v>3.6010403791786598E-2</v>
      </c>
      <c r="U2390" s="12">
        <v>5.0788E-2</v>
      </c>
      <c r="V2390" s="16">
        <v>4.8285999999999998</v>
      </c>
      <c r="W2390" s="17">
        <f t="shared" si="37"/>
        <v>1.3271950561983825E-3</v>
      </c>
    </row>
    <row r="2391" spans="1:23" x14ac:dyDescent="0.2">
      <c r="A2391" s="15">
        <v>45051</v>
      </c>
      <c r="B2391" s="5">
        <v>259574121619867</v>
      </c>
      <c r="C2391" s="5">
        <f>[1]!nefin_factors__1[[#This Row],[Rm_minus_Rf]]/B2390-1</f>
        <v>-0.20644448020698425</v>
      </c>
      <c r="D2391" s="5">
        <v>552564604372852</v>
      </c>
      <c r="E2391" s="5">
        <f>[1]!nefin_factors__1[[#This Row],[SMB]]/D2390-1</f>
        <v>-0.33675605775353712</v>
      </c>
      <c r="F2391" s="5">
        <v>-849751807999566</v>
      </c>
      <c r="G2391" s="5">
        <f>[1]!nefin_factors__1[[#This Row],[HML]]/F2390-1</f>
        <v>-15.69008198188693</v>
      </c>
      <c r="H2391" s="5">
        <v>507880373261882</v>
      </c>
      <c r="I2391" s="6">
        <f>[1]!nefin_factors__1[[#This Row],[Risk_Free]]/H2390-1</f>
        <v>0</v>
      </c>
      <c r="J2391">
        <v>120220</v>
      </c>
      <c r="K2391">
        <v>121772</v>
      </c>
      <c r="L2391">
        <v>120099</v>
      </c>
      <c r="M2391">
        <v>121342</v>
      </c>
      <c r="N2391">
        <v>10494800</v>
      </c>
      <c r="O2391">
        <v>121342</v>
      </c>
      <c r="P2391">
        <v>9.3580774765631407E-3</v>
      </c>
      <c r="Q2391">
        <v>9.3145619400477105E-3</v>
      </c>
      <c r="R2391" s="8">
        <v>3.0799999237060498</v>
      </c>
      <c r="S2391" s="8">
        <v>-9.6462933767546E-3</v>
      </c>
      <c r="T2391" s="9">
        <v>-9.6931202451749007E-3</v>
      </c>
      <c r="U2391" s="12">
        <v>5.0788E-2</v>
      </c>
      <c r="V2391" s="16">
        <v>4.7803000000000004</v>
      </c>
      <c r="W2391" s="17">
        <f t="shared" si="37"/>
        <v>-1.0002899391127751E-2</v>
      </c>
    </row>
    <row r="2392" spans="1:23" x14ac:dyDescent="0.2">
      <c r="A2392" s="14">
        <v>45054</v>
      </c>
      <c r="B2392" s="3">
        <v>874565454450545</v>
      </c>
      <c r="C2392" s="3">
        <f>[1]!nefin_factors__1[[#This Row],[Rm_minus_Rf]]/B2391-1</f>
        <v>2.3692320674836043</v>
      </c>
      <c r="D2392" s="3">
        <v>275973407552789</v>
      </c>
      <c r="E2392" s="3">
        <f>[1]!nefin_factors__1[[#This Row],[SMB]]/D2391-1</f>
        <v>-0.5005590199429939</v>
      </c>
      <c r="F2392" s="3">
        <v>121873867679542</v>
      </c>
      <c r="G2392" s="3">
        <f>[1]!nefin_factors__1[[#This Row],[HML]]/F2391-1</f>
        <v>-1.1434228989361612</v>
      </c>
      <c r="H2392" s="3">
        <v>507880373261882</v>
      </c>
      <c r="I2392" s="4">
        <f>[1]!nefin_factors__1[[#This Row],[Risk_Free]]/H2391-1</f>
        <v>0</v>
      </c>
      <c r="J2392">
        <v>121344</v>
      </c>
      <c r="K2392">
        <v>123010</v>
      </c>
      <c r="L2392">
        <v>121344</v>
      </c>
      <c r="M2392">
        <v>122008</v>
      </c>
      <c r="N2392">
        <v>11427100</v>
      </c>
      <c r="O2392">
        <v>122008</v>
      </c>
      <c r="P2392">
        <v>5.4886189448006802E-3</v>
      </c>
      <c r="Q2392">
        <v>5.47361136472209E-3</v>
      </c>
      <c r="R2392" s="8">
        <v>3.0799999237060498</v>
      </c>
      <c r="S2392" s="8">
        <v>0</v>
      </c>
      <c r="T2392" s="9">
        <v>0</v>
      </c>
      <c r="U2392" s="12">
        <v>5.0788E-2</v>
      </c>
      <c r="V2392" s="16">
        <v>4.7930000000000001</v>
      </c>
      <c r="W2392" s="17">
        <f t="shared" si="37"/>
        <v>2.6567370248729016E-3</v>
      </c>
    </row>
    <row r="2393" spans="1:23" x14ac:dyDescent="0.2">
      <c r="A2393" s="15">
        <v>45055</v>
      </c>
      <c r="B2393" s="5">
        <v>688744986303349</v>
      </c>
      <c r="C2393" s="5">
        <f>[1]!nefin_factors__1[[#This Row],[Rm_minus_Rf]]/B2392-1</f>
        <v>-0.21247176778088006</v>
      </c>
      <c r="D2393" s="5">
        <v>150434425020598</v>
      </c>
      <c r="E2393" s="5">
        <f>[1]!nefin_factors__1[[#This Row],[SMB]]/D2392-1</f>
        <v>-0.4548952148883314</v>
      </c>
      <c r="F2393" s="5">
        <v>-851856195884002</v>
      </c>
      <c r="G2393" s="5">
        <f>[1]!nefin_factors__1[[#This Row],[HML]]/F2392-1</f>
        <v>-7.9896542392819816</v>
      </c>
      <c r="H2393" s="5">
        <v>507880373261882</v>
      </c>
      <c r="I2393" s="6">
        <f>[1]!nefin_factors__1[[#This Row],[Risk_Free]]/H2392-1</f>
        <v>0</v>
      </c>
      <c r="J2393">
        <v>122003</v>
      </c>
      <c r="K2393">
        <v>122747</v>
      </c>
      <c r="L2393">
        <v>121370</v>
      </c>
      <c r="M2393">
        <v>122560</v>
      </c>
      <c r="N2393">
        <v>9988800</v>
      </c>
      <c r="O2393">
        <v>122560</v>
      </c>
      <c r="P2393">
        <v>4.5242934889515602E-3</v>
      </c>
      <c r="Q2393">
        <v>4.51408963839853E-3</v>
      </c>
      <c r="R2393" s="8">
        <v>3.0899999141693102</v>
      </c>
      <c r="S2393" s="8">
        <v>3.2467502308324301E-3</v>
      </c>
      <c r="T2393" s="9">
        <v>3.2414909180104299E-3</v>
      </c>
      <c r="U2393" s="12">
        <v>5.0788E-2</v>
      </c>
      <c r="V2393" s="16">
        <v>4.7794999999999996</v>
      </c>
      <c r="W2393" s="17">
        <f t="shared" si="37"/>
        <v>-2.8166075526810941E-3</v>
      </c>
    </row>
    <row r="2394" spans="1:23" x14ac:dyDescent="0.2">
      <c r="A2394" s="14">
        <v>45056</v>
      </c>
      <c r="B2394" s="3">
        <v>366946886022372</v>
      </c>
      <c r="C2394" s="3">
        <f>[1]!nefin_factors__1[[#This Row],[Rm_minus_Rf]]/B2393-1</f>
        <v>-0.46722387339346105</v>
      </c>
      <c r="D2394" s="3">
        <v>174895067147068</v>
      </c>
      <c r="E2394" s="3">
        <f>[1]!nefin_factors__1[[#This Row],[SMB]]/D2393-1</f>
        <v>0.16260003069856355</v>
      </c>
      <c r="F2394" s="3">
        <v>191488052844892</v>
      </c>
      <c r="G2394" s="3">
        <f>[1]!nefin_factors__1[[#This Row],[HML]]/F2393-1</f>
        <v>-1.2247891765888701</v>
      </c>
      <c r="H2394" s="3">
        <v>507880373261882</v>
      </c>
      <c r="I2394" s="4">
        <f>[1]!nefin_factors__1[[#This Row],[Risk_Free]]/H2393-1</f>
        <v>0</v>
      </c>
      <c r="J2394">
        <v>122560</v>
      </c>
      <c r="K2394">
        <v>122599</v>
      </c>
      <c r="L2394">
        <v>119825</v>
      </c>
      <c r="M2394">
        <v>119990</v>
      </c>
      <c r="N2394">
        <v>10678700</v>
      </c>
      <c r="O2394">
        <v>119990</v>
      </c>
      <c r="P2394">
        <v>-2.0969321148825101E-2</v>
      </c>
      <c r="Q2394">
        <v>-2.1192300015983701E-2</v>
      </c>
      <c r="R2394" s="8">
        <v>3.0199999809265101</v>
      </c>
      <c r="S2394" s="8">
        <v>-2.2653700707825498E-2</v>
      </c>
      <c r="T2394" s="9">
        <v>-2.29142380616776E-2</v>
      </c>
      <c r="U2394" s="12">
        <v>5.0788E-2</v>
      </c>
      <c r="V2394" s="16">
        <v>4.7750000000000004</v>
      </c>
      <c r="W2394" s="17">
        <f t="shared" si="37"/>
        <v>-9.4152107961065212E-4</v>
      </c>
    </row>
    <row r="2395" spans="1:23" x14ac:dyDescent="0.2">
      <c r="A2395" s="15">
        <v>45057</v>
      </c>
      <c r="B2395" s="5">
        <v>955774451622719</v>
      </c>
      <c r="C2395" s="5">
        <f>[1]!nefin_factors__1[[#This Row],[Rm_minus_Rf]]/B2394-1</f>
        <v>1.6046670186606988</v>
      </c>
      <c r="D2395" s="5">
        <v>319768548088872</v>
      </c>
      <c r="E2395" s="5">
        <f>[1]!nefin_factors__1[[#This Row],[SMB]]/D2394-1</f>
        <v>0.82834515178167334</v>
      </c>
      <c r="F2395" s="5">
        <v>97798390233537</v>
      </c>
      <c r="G2395" s="5">
        <f>[1]!nefin_factors__1[[#This Row],[HML]]/F2394-1</f>
        <v>-0.48927158232291879</v>
      </c>
      <c r="H2395" s="5">
        <v>507880373261882</v>
      </c>
      <c r="I2395" s="6">
        <f>[1]!nefin_factors__1[[#This Row],[Risk_Free]]/H2394-1</f>
        <v>0</v>
      </c>
      <c r="J2395">
        <v>120002</v>
      </c>
      <c r="K2395">
        <v>120660</v>
      </c>
      <c r="L2395">
        <v>119706</v>
      </c>
      <c r="M2395">
        <v>120187</v>
      </c>
      <c r="N2395">
        <v>8464200</v>
      </c>
      <c r="O2395">
        <v>120187</v>
      </c>
      <c r="P2395">
        <v>1.6418034836236401E-3</v>
      </c>
      <c r="Q2395">
        <v>1.6404571976408001E-3</v>
      </c>
      <c r="R2395" s="8">
        <v>3.0299999713897701</v>
      </c>
      <c r="S2395" s="8">
        <v>3.3112551411966801E-3</v>
      </c>
      <c r="T2395" s="9">
        <v>3.3057850079034499E-3</v>
      </c>
      <c r="U2395" s="12">
        <v>5.0788E-2</v>
      </c>
      <c r="V2395" s="16">
        <v>4.7798999999999996</v>
      </c>
      <c r="W2395" s="17">
        <f t="shared" si="37"/>
        <v>1.0261780104710017E-3</v>
      </c>
    </row>
    <row r="2396" spans="1:23" x14ac:dyDescent="0.2">
      <c r="A2396" s="14">
        <v>45058</v>
      </c>
      <c r="B2396" s="3">
        <v>612952947205479</v>
      </c>
      <c r="C2396" s="3">
        <f>[1]!nefin_factors__1[[#This Row],[Rm_minus_Rf]]/B2395-1</f>
        <v>-0.35868452419417129</v>
      </c>
      <c r="D2396" s="3">
        <v>-128024597181229</v>
      </c>
      <c r="E2396" s="3">
        <f>[1]!nefin_factors__1[[#This Row],[SMB]]/D2395-1</f>
        <v>-1.4003664461260512</v>
      </c>
      <c r="F2396" s="3">
        <v>-883404387967791</v>
      </c>
      <c r="G2396" s="3">
        <f>[1]!nefin_factors__1[[#This Row],[HML]]/F2395-1</f>
        <v>-10.03291338291225</v>
      </c>
      <c r="H2396" s="3">
        <v>507880373261882</v>
      </c>
      <c r="I2396" s="4">
        <f>[1]!nefin_factors__1[[#This Row],[Risk_Free]]/H2395-1</f>
        <v>0</v>
      </c>
      <c r="J2396">
        <v>120188</v>
      </c>
      <c r="K2396">
        <v>122149</v>
      </c>
      <c r="L2396">
        <v>120188</v>
      </c>
      <c r="M2396">
        <v>121943</v>
      </c>
      <c r="N2396">
        <v>10122700</v>
      </c>
      <c r="O2396">
        <v>121943</v>
      </c>
      <c r="P2396">
        <v>1.4610565202559401E-2</v>
      </c>
      <c r="Q2396">
        <v>1.4504859266509299E-2</v>
      </c>
      <c r="R2396" s="8">
        <v>2.9800000190734899</v>
      </c>
      <c r="S2396" s="8">
        <v>-1.6501634583630301E-2</v>
      </c>
      <c r="T2396" s="9">
        <v>-1.6639303161146E-2</v>
      </c>
      <c r="U2396" s="12">
        <v>5.0788E-2</v>
      </c>
      <c r="V2396" s="16">
        <v>4.7698</v>
      </c>
      <c r="W2396" s="17">
        <f t="shared" si="37"/>
        <v>-2.1130149166299628E-3</v>
      </c>
    </row>
    <row r="2397" spans="1:23" x14ac:dyDescent="0.2">
      <c r="A2397" s="15">
        <v>45061</v>
      </c>
      <c r="B2397" s="5">
        <v>336762480086886</v>
      </c>
      <c r="C2397" s="5">
        <f>[1]!nefin_factors__1[[#This Row],[Rm_minus_Rf]]/B2396-1</f>
        <v>-0.45058999777678888</v>
      </c>
      <c r="D2397" s="5">
        <v>-321208842442674</v>
      </c>
      <c r="E2397" s="5">
        <f>[1]!nefin_factors__1[[#This Row],[SMB]]/D2396-1</f>
        <v>1.5089619457109271</v>
      </c>
      <c r="F2397" s="5">
        <v>639510334562058</v>
      </c>
      <c r="G2397" s="5">
        <f>[1]!nefin_factors__1[[#This Row],[HML]]/F2396-1</f>
        <v>-1.7239157324463896</v>
      </c>
      <c r="H2397" s="5">
        <v>507880373261882</v>
      </c>
      <c r="I2397" s="6">
        <f>[1]!nefin_factors__1[[#This Row],[Risk_Free]]/H2396-1</f>
        <v>0</v>
      </c>
      <c r="J2397">
        <v>121945</v>
      </c>
      <c r="K2397">
        <v>121945</v>
      </c>
      <c r="L2397">
        <v>120154</v>
      </c>
      <c r="M2397">
        <v>121248</v>
      </c>
      <c r="N2397">
        <v>10302800</v>
      </c>
      <c r="O2397">
        <v>121248</v>
      </c>
      <c r="P2397">
        <v>-5.6993841384909098E-3</v>
      </c>
      <c r="Q2397">
        <v>-5.7156876042572403E-3</v>
      </c>
      <c r="R2397" s="8">
        <v>3.0099999904632599</v>
      </c>
      <c r="S2397" s="8">
        <v>1.0067104428777E-2</v>
      </c>
      <c r="T2397" s="9">
        <v>1.00167686746192E-2</v>
      </c>
      <c r="U2397" s="12">
        <v>5.0788E-2</v>
      </c>
      <c r="V2397" s="16">
        <v>4.7903000000000002</v>
      </c>
      <c r="W2397" s="17">
        <f t="shared" si="37"/>
        <v>4.2978741247012842E-3</v>
      </c>
    </row>
    <row r="2398" spans="1:23" x14ac:dyDescent="0.2">
      <c r="A2398" s="14">
        <v>45062</v>
      </c>
      <c r="B2398" s="3">
        <v>-78597691137577</v>
      </c>
      <c r="C2398" s="3">
        <f>[1]!nefin_factors__1[[#This Row],[Rm_minus_Rf]]/B2397-1</f>
        <v>-1.2333920664715929</v>
      </c>
      <c r="D2398" s="3">
        <v>-207621313567519</v>
      </c>
      <c r="E2398" s="3">
        <f>[1]!nefin_factors__1[[#This Row],[SMB]]/D2397-1</f>
        <v>-0.35362516178372927</v>
      </c>
      <c r="F2398" s="3">
        <v>-49156204882471</v>
      </c>
      <c r="G2398" s="3">
        <f>[1]!nefin_factors__1[[#This Row],[HML]]/F2397-1</f>
        <v>-1.0768653800038017</v>
      </c>
      <c r="H2398" s="3">
        <v>507880373261882</v>
      </c>
      <c r="I2398" s="4">
        <f>[1]!nefin_factors__1[[#This Row],[Risk_Free]]/H2397-1</f>
        <v>0</v>
      </c>
      <c r="J2398">
        <v>121249</v>
      </c>
      <c r="K2398">
        <v>121252</v>
      </c>
      <c r="L2398">
        <v>119798</v>
      </c>
      <c r="M2398">
        <v>120859</v>
      </c>
      <c r="N2398">
        <v>10565900</v>
      </c>
      <c r="O2398">
        <v>120859</v>
      </c>
      <c r="P2398">
        <v>-3.20830034309849E-3</v>
      </c>
      <c r="Q2398">
        <v>-3.2134579730827002E-3</v>
      </c>
      <c r="R2398" s="8">
        <v>2.9900000095367401</v>
      </c>
      <c r="S2398" s="8">
        <v>-6.6445119567709598E-3</v>
      </c>
      <c r="T2398" s="9">
        <v>-6.6666850002898501E-3</v>
      </c>
      <c r="U2398" s="12">
        <v>5.0788E-2</v>
      </c>
      <c r="V2398" s="16">
        <v>4.8563000000000001</v>
      </c>
      <c r="W2398" s="17">
        <f t="shared" si="37"/>
        <v>1.3777842723837752E-2</v>
      </c>
    </row>
    <row r="2399" spans="1:23" x14ac:dyDescent="0.2">
      <c r="A2399" s="15">
        <v>45063</v>
      </c>
      <c r="B2399" s="5">
        <v>770181250598119</v>
      </c>
      <c r="C2399" s="5">
        <f>[1]!nefin_factors__1[[#This Row],[Rm_minus_Rf]]/B2398-1</f>
        <v>-10.799031491268588</v>
      </c>
      <c r="D2399" s="5">
        <v>13031092872482</v>
      </c>
      <c r="E2399" s="5">
        <f>[1]!nefin_factors__1[[#This Row],[SMB]]/D2398-1</f>
        <v>-1.0627637531454315</v>
      </c>
      <c r="F2399" s="5">
        <v>-246224300247878</v>
      </c>
      <c r="G2399" s="5">
        <f>[1]!nefin_factors__1[[#This Row],[HML]]/F2398-1</f>
        <v>4.0090176985099406</v>
      </c>
      <c r="H2399" s="5">
        <v>507531016169516</v>
      </c>
      <c r="I2399" s="6">
        <f>[1]!nefin_factors__1[[#This Row],[Risk_Free]]/H2398-1</f>
        <v>-6.8787279595439177E-4</v>
      </c>
      <c r="J2399">
        <v>120859</v>
      </c>
      <c r="K2399">
        <v>122619</v>
      </c>
      <c r="L2399">
        <v>120365</v>
      </c>
      <c r="M2399">
        <v>120586</v>
      </c>
      <c r="N2399">
        <v>13027300</v>
      </c>
      <c r="O2399">
        <v>120586</v>
      </c>
      <c r="P2399">
        <v>-2.25883053806497E-3</v>
      </c>
      <c r="Q2399">
        <v>-2.2613855440402901E-3</v>
      </c>
      <c r="R2399" s="8">
        <v>3.0299999713897701</v>
      </c>
      <c r="S2399" s="8">
        <v>1.33779136205503E-2</v>
      </c>
      <c r="T2399" s="9">
        <v>1.3289219486816399E-2</v>
      </c>
      <c r="U2399" s="12">
        <v>5.0788E-2</v>
      </c>
      <c r="V2399" s="16">
        <v>4.8583999999999996</v>
      </c>
      <c r="W2399" s="17">
        <f t="shared" si="37"/>
        <v>4.3242798014930806E-4</v>
      </c>
    </row>
    <row r="2400" spans="1:23" x14ac:dyDescent="0.2">
      <c r="A2400" s="14">
        <v>45064</v>
      </c>
      <c r="B2400" s="3">
        <v>700316705592607</v>
      </c>
      <c r="C2400" s="3">
        <f>[1]!nefin_factors__1[[#This Row],[Rm_minus_Rf]]/B2399-1</f>
        <v>-9.0711822640781703E-2</v>
      </c>
      <c r="D2400" s="3">
        <v>188149942337082</v>
      </c>
      <c r="E2400" s="3">
        <f>[1]!nefin_factors__1[[#This Row],[SMB]]/D2399-1</f>
        <v>13.438538975836916</v>
      </c>
      <c r="F2400" s="3">
        <v>433050948657443</v>
      </c>
      <c r="G2400" s="3">
        <f>[1]!nefin_factors__1[[#This Row],[HML]]/F2399-1</f>
        <v>-2.7587660853192943</v>
      </c>
      <c r="H2400" s="3">
        <v>507880373261882</v>
      </c>
      <c r="I2400" s="4">
        <f>[1]!nefin_factors__1[[#This Row],[Risk_Free]]/H2399-1</f>
        <v>6.8834629064196129E-4</v>
      </c>
      <c r="J2400">
        <v>120586</v>
      </c>
      <c r="K2400">
        <v>121442</v>
      </c>
      <c r="L2400">
        <v>119215</v>
      </c>
      <c r="M2400">
        <v>119508</v>
      </c>
      <c r="N2400">
        <v>15065200</v>
      </c>
      <c r="O2400">
        <v>119508</v>
      </c>
      <c r="P2400">
        <v>-8.9396779062246301E-3</v>
      </c>
      <c r="Q2400">
        <v>-8.9798765815645408E-3</v>
      </c>
      <c r="R2400" s="8">
        <v>3.0199999809265101</v>
      </c>
      <c r="S2400" s="8">
        <v>-3.3003269167261001E-3</v>
      </c>
      <c r="T2400" s="9">
        <v>-3.3057850079035102E-3</v>
      </c>
      <c r="U2400" s="12">
        <v>5.0788E-2</v>
      </c>
      <c r="V2400" s="16">
        <v>4.8192000000000004</v>
      </c>
      <c r="W2400" s="17">
        <f t="shared" si="37"/>
        <v>-8.0684999176682259E-3</v>
      </c>
    </row>
    <row r="2401" spans="1:23" x14ac:dyDescent="0.2">
      <c r="A2401" s="15">
        <v>45065</v>
      </c>
      <c r="B2401" s="5">
        <v>624128251774986</v>
      </c>
      <c r="C2401" s="5">
        <f>[1]!nefin_factors__1[[#This Row],[Rm_minus_Rf]]/B2400-1</f>
        <v>-0.10879142709176193</v>
      </c>
      <c r="D2401" s="5">
        <v>-380245514468165</v>
      </c>
      <c r="E2401" s="5">
        <f>[1]!nefin_factors__1[[#This Row],[SMB]]/D2400-1</f>
        <v>-3.0209706670381657</v>
      </c>
      <c r="F2401" s="5">
        <v>-164896983454646</v>
      </c>
      <c r="G2401" s="5">
        <f>[1]!nefin_factors__1[[#This Row],[HML]]/F2400-1</f>
        <v>-1.3807796379753108</v>
      </c>
      <c r="H2401" s="5">
        <v>507880373261882</v>
      </c>
      <c r="I2401" s="6">
        <f>[1]!nefin_factors__1[[#This Row],[Risk_Free]]/H2400-1</f>
        <v>0</v>
      </c>
      <c r="J2401">
        <v>119509</v>
      </c>
      <c r="K2401">
        <v>120104</v>
      </c>
      <c r="L2401">
        <v>118894</v>
      </c>
      <c r="M2401">
        <v>119380</v>
      </c>
      <c r="N2401">
        <v>8726500</v>
      </c>
      <c r="O2401">
        <v>119380</v>
      </c>
      <c r="P2401">
        <v>-1.0710580044850399E-3</v>
      </c>
      <c r="Q2401">
        <v>-1.0716319969989801E-3</v>
      </c>
      <c r="R2401" s="8">
        <v>2.9000000953674299</v>
      </c>
      <c r="S2401" s="8">
        <v>-3.9735061694360398E-2</v>
      </c>
      <c r="T2401" s="9">
        <v>-4.05460551933053E-2</v>
      </c>
      <c r="U2401" s="12">
        <v>5.0788E-2</v>
      </c>
      <c r="V2401" s="16">
        <v>4.7876000000000003</v>
      </c>
      <c r="W2401" s="17">
        <f t="shared" si="37"/>
        <v>-6.5571049136786685E-3</v>
      </c>
    </row>
    <row r="2402" spans="1:23" x14ac:dyDescent="0.2">
      <c r="A2402" s="14">
        <v>45068</v>
      </c>
      <c r="B2402" s="3">
        <v>-390683123985338</v>
      </c>
      <c r="C2402" s="3">
        <f>[1]!nefin_factors__1[[#This Row],[Rm_minus_Rf]]/B2401-1</f>
        <v>-1.6259660941068714</v>
      </c>
      <c r="D2402" s="3">
        <v>830615231894286</v>
      </c>
      <c r="E2402" s="3">
        <f>[1]!nefin_factors__1[[#This Row],[SMB]]/D2401-1</f>
        <v>-3.1844182253038174</v>
      </c>
      <c r="F2402" s="3">
        <v>598395114945936</v>
      </c>
      <c r="G2402" s="3">
        <f>[1]!nefin_factors__1[[#This Row],[HML]]/F2401-1</f>
        <v>-4.6289027392094244</v>
      </c>
      <c r="H2402" s="3">
        <v>507880373261882</v>
      </c>
      <c r="I2402" s="4">
        <f>[1]!nefin_factors__1[[#This Row],[Risk_Free]]/H2401-1</f>
        <v>0</v>
      </c>
      <c r="J2402">
        <v>119378</v>
      </c>
      <c r="K2402">
        <v>119553</v>
      </c>
      <c r="L2402">
        <v>117492</v>
      </c>
      <c r="M2402">
        <v>119090</v>
      </c>
      <c r="N2402">
        <v>10246000</v>
      </c>
      <c r="O2402">
        <v>119090</v>
      </c>
      <c r="P2402">
        <v>-2.4292176243927402E-3</v>
      </c>
      <c r="Q2402">
        <v>-2.4321729605994002E-3</v>
      </c>
      <c r="R2402" s="8">
        <v>2.8800001144409202</v>
      </c>
      <c r="S2402" s="8">
        <v>-6.89654492027858E-3</v>
      </c>
      <c r="T2402" s="9">
        <v>-6.9204359934654297E-3</v>
      </c>
      <c r="U2402" s="12">
        <v>5.0788E-2</v>
      </c>
      <c r="V2402" s="16">
        <v>4.8056000000000001</v>
      </c>
      <c r="W2402" s="17">
        <f t="shared" si="37"/>
        <v>3.7597125908597206E-3</v>
      </c>
    </row>
    <row r="2403" spans="1:23" x14ac:dyDescent="0.2">
      <c r="A2403" s="15">
        <v>45069</v>
      </c>
      <c r="B2403" s="5">
        <v>-179633622742472</v>
      </c>
      <c r="C2403" s="5">
        <f>[1]!nefin_factors__1[[#This Row],[Rm_minus_Rf]]/B2402-1</f>
        <v>-0.5402063418812697</v>
      </c>
      <c r="D2403" s="5">
        <v>-96951075255003</v>
      </c>
      <c r="E2403" s="5">
        <f>[1]!nefin_factors__1[[#This Row],[SMB]]/D2402-1</f>
        <v>-1.1167220050057332</v>
      </c>
      <c r="F2403" s="5">
        <v>28028700176953</v>
      </c>
      <c r="G2403" s="5">
        <f>[1]!nefin_factors__1[[#This Row],[HML]]/F2402-1</f>
        <v>-0.95316021224624248</v>
      </c>
      <c r="H2403" s="5">
        <v>507880373261882</v>
      </c>
      <c r="I2403" s="6">
        <f>[1]!nefin_factors__1[[#This Row],[Risk_Free]]/H2402-1</f>
        <v>0</v>
      </c>
      <c r="J2403">
        <v>119090</v>
      </c>
      <c r="K2403">
        <v>119090</v>
      </c>
      <c r="L2403">
        <v>117901</v>
      </c>
      <c r="M2403">
        <v>118409</v>
      </c>
      <c r="N2403">
        <v>11245600</v>
      </c>
      <c r="O2403">
        <v>118409</v>
      </c>
      <c r="P2403">
        <v>-5.7183642623226403E-3</v>
      </c>
      <c r="Q2403">
        <v>-5.7347767053663699E-3</v>
      </c>
      <c r="R2403" s="8">
        <v>2.6500000953674299</v>
      </c>
      <c r="S2403" s="8">
        <v>-7.9861114560453902E-2</v>
      </c>
      <c r="T2403" s="9">
        <v>-8.3230657898443403E-2</v>
      </c>
      <c r="U2403" s="12">
        <v>5.0788E-2</v>
      </c>
      <c r="V2403" s="16">
        <v>4.8577000000000004</v>
      </c>
      <c r="W2403" s="17">
        <f t="shared" si="37"/>
        <v>1.0841518228733138E-2</v>
      </c>
    </row>
    <row r="2404" spans="1:23" x14ac:dyDescent="0.2">
      <c r="A2404" s="14">
        <v>45070</v>
      </c>
      <c r="B2404" s="3">
        <v>-851722844617985</v>
      </c>
      <c r="C2404" s="3">
        <f>[1]!nefin_factors__1[[#This Row],[Rm_minus_Rf]]/B2403-1</f>
        <v>3.7414444557466826</v>
      </c>
      <c r="D2404" s="3">
        <v>679266066109401</v>
      </c>
      <c r="E2404" s="3">
        <f>[1]!nefin_factors__1[[#This Row],[SMB]]/D2403-1</f>
        <v>-8.0062767671506414</v>
      </c>
      <c r="F2404" s="3">
        <v>725305608126661</v>
      </c>
      <c r="G2404" s="3">
        <f>[1]!nefin_factors__1[[#This Row],[HML]]/F2403-1</f>
        <v>24.877247376710461</v>
      </c>
      <c r="H2404" s="3">
        <v>507880373261882</v>
      </c>
      <c r="I2404" s="4">
        <f>[1]!nefin_factors__1[[#This Row],[Risk_Free]]/H2403-1</f>
        <v>0</v>
      </c>
      <c r="J2404">
        <v>118412</v>
      </c>
      <c r="K2404">
        <v>119438</v>
      </c>
      <c r="L2404">
        <v>118113</v>
      </c>
      <c r="M2404">
        <v>118350</v>
      </c>
      <c r="N2404">
        <v>12689600</v>
      </c>
      <c r="O2404">
        <v>118350</v>
      </c>
      <c r="P2404">
        <v>-4.9827293533433203E-4</v>
      </c>
      <c r="Q2404">
        <v>-4.9839711454518197E-4</v>
      </c>
      <c r="R2404" s="8">
        <v>2.6900000572204599</v>
      </c>
      <c r="S2404" s="8">
        <v>1.50943246843473E-2</v>
      </c>
      <c r="T2404" s="9">
        <v>1.49815388994534E-2</v>
      </c>
      <c r="U2404" s="12">
        <v>5.0788E-2</v>
      </c>
      <c r="V2404" s="16">
        <v>4.8977000000000004</v>
      </c>
      <c r="W2404" s="17">
        <f t="shared" si="37"/>
        <v>8.2343495893117957E-3</v>
      </c>
    </row>
    <row r="2405" spans="1:23" x14ac:dyDescent="0.2">
      <c r="A2405" s="15">
        <v>45071</v>
      </c>
      <c r="B2405" s="5">
        <v>103741693666184</v>
      </c>
      <c r="C2405" s="5">
        <f>[1]!nefin_factors__1[[#This Row],[Rm_minus_Rf]]/B2404-1</f>
        <v>-1.1218021734672554</v>
      </c>
      <c r="D2405" s="5">
        <v>142567508332558</v>
      </c>
      <c r="E2405" s="5">
        <f>[1]!nefin_factors__1[[#This Row],[SMB]]/D2404-1</f>
        <v>-0.79011536797482762</v>
      </c>
      <c r="F2405" s="5">
        <v>759220242814676</v>
      </c>
      <c r="G2405" s="5">
        <f>[1]!nefin_factors__1[[#This Row],[HML]]/F2404-1</f>
        <v>4.6759096176866244E-2</v>
      </c>
      <c r="H2405" s="5">
        <v>507531016169516</v>
      </c>
      <c r="I2405" s="6">
        <f>[1]!nefin_factors__1[[#This Row],[Risk_Free]]/H2404-1</f>
        <v>-6.8787279595439177E-4</v>
      </c>
      <c r="J2405">
        <v>118350</v>
      </c>
      <c r="K2405">
        <v>119054</v>
      </c>
      <c r="L2405">
        <v>117415</v>
      </c>
      <c r="M2405">
        <v>118065</v>
      </c>
      <c r="N2405">
        <v>11867500</v>
      </c>
      <c r="O2405">
        <v>118065</v>
      </c>
      <c r="P2405">
        <v>-2.4081115335867799E-3</v>
      </c>
      <c r="Q2405">
        <v>-2.4110156974697298E-3</v>
      </c>
      <c r="R2405" s="8">
        <v>2.6700000762939502</v>
      </c>
      <c r="S2405" s="8">
        <v>-7.4349369892502404E-3</v>
      </c>
      <c r="T2405" s="9">
        <v>-7.4627138986244901E-3</v>
      </c>
      <c r="U2405" s="12">
        <v>5.0788E-2</v>
      </c>
      <c r="V2405" s="16">
        <v>4.8799000000000001</v>
      </c>
      <c r="W2405" s="17">
        <f t="shared" si="37"/>
        <v>-3.6343589848296665E-3</v>
      </c>
    </row>
    <row r="2406" spans="1:23" x14ac:dyDescent="0.2">
      <c r="A2406" s="14">
        <v>45072</v>
      </c>
      <c r="B2406" s="3">
        <v>614993228623643</v>
      </c>
      <c r="C2406" s="3">
        <f>[1]!nefin_factors__1[[#This Row],[Rm_minus_Rf]]/B2405-1</f>
        <v>4.9281201886152388</v>
      </c>
      <c r="D2406" s="3">
        <v>164144145267916</v>
      </c>
      <c r="E2406" s="3">
        <f>[1]!nefin_factors__1[[#This Row],[SMB]]/D2405-1</f>
        <v>0.15134329825718473</v>
      </c>
      <c r="F2406" s="3">
        <v>30306712909577</v>
      </c>
      <c r="G2406" s="3">
        <f>[1]!nefin_factors__1[[#This Row],[HML]]/F2405-1</f>
        <v>-0.96008179023622953</v>
      </c>
      <c r="H2406" s="3">
        <v>507531016169516</v>
      </c>
      <c r="I2406" s="4">
        <f>[1]!nefin_factors__1[[#This Row],[Risk_Free]]/H2405-1</f>
        <v>0</v>
      </c>
      <c r="J2406">
        <v>118067</v>
      </c>
      <c r="K2406">
        <v>118082</v>
      </c>
      <c r="L2406">
        <v>116530</v>
      </c>
      <c r="M2406">
        <v>116810</v>
      </c>
      <c r="N2406">
        <v>11203500</v>
      </c>
      <c r="O2406">
        <v>116810</v>
      </c>
      <c r="P2406">
        <v>-1.06297378562656E-2</v>
      </c>
      <c r="Q2406">
        <v>-1.06866370949184E-2</v>
      </c>
      <c r="R2406" s="8">
        <v>2.6099998950958301</v>
      </c>
      <c r="S2406" s="8">
        <v>-2.24719773346982E-2</v>
      </c>
      <c r="T2406" s="9">
        <v>-2.2728319845238199E-2</v>
      </c>
      <c r="U2406" s="12">
        <v>5.0788E-2</v>
      </c>
      <c r="V2406" s="16">
        <v>4.8734999999999999</v>
      </c>
      <c r="W2406" s="17">
        <f t="shared" si="37"/>
        <v>-1.3115022848829705E-3</v>
      </c>
    </row>
    <row r="2407" spans="1:23" x14ac:dyDescent="0.2">
      <c r="A2407" s="15">
        <v>45075</v>
      </c>
      <c r="B2407" s="5">
        <v>-391270545864692</v>
      </c>
      <c r="C2407" s="5">
        <f>[1]!nefin_factors__1[[#This Row],[Rm_minus_Rf]]/B2406-1</f>
        <v>-1.6362192747070676</v>
      </c>
      <c r="D2407" s="5">
        <v>583650526633487</v>
      </c>
      <c r="E2407" s="5">
        <f>[1]!nefin_factors__1[[#This Row],[SMB]]/D2406-1</f>
        <v>2.5557194299001824</v>
      </c>
      <c r="F2407" s="5">
        <v>685234278024342</v>
      </c>
      <c r="G2407" s="5">
        <f>[1]!nefin_factors__1[[#This Row],[HML]]/F2406-1</f>
        <v>21.609983473588986</v>
      </c>
      <c r="H2407" s="5">
        <v>507531016169516</v>
      </c>
      <c r="I2407" s="6">
        <f>[1]!nefin_factors__1[[#This Row],[Risk_Free]]/H2406-1</f>
        <v>0</v>
      </c>
      <c r="J2407">
        <v>116809</v>
      </c>
      <c r="K2407">
        <v>117697</v>
      </c>
      <c r="L2407">
        <v>116033</v>
      </c>
      <c r="M2407">
        <v>116171</v>
      </c>
      <c r="N2407">
        <v>14636000</v>
      </c>
      <c r="O2407">
        <v>116171</v>
      </c>
      <c r="P2407">
        <v>-5.4704220529063798E-3</v>
      </c>
      <c r="Q2407">
        <v>-5.4854396048967802E-3</v>
      </c>
      <c r="R2407" s="8">
        <v>2.5099999904632599</v>
      </c>
      <c r="S2407" s="8">
        <v>-3.8314141245931702E-2</v>
      </c>
      <c r="T2407" s="9">
        <v>-3.9067431797237602E-2</v>
      </c>
      <c r="U2407" s="12">
        <v>5.0788E-2</v>
      </c>
      <c r="V2407" s="16">
        <v>4.8948999999999998</v>
      </c>
      <c r="W2407" s="17">
        <f t="shared" si="37"/>
        <v>4.3910946958038988E-3</v>
      </c>
    </row>
    <row r="2408" spans="1:23" x14ac:dyDescent="0.2">
      <c r="A2408" s="14">
        <v>45076</v>
      </c>
      <c r="B2408" s="3">
        <v>-12521313122697</v>
      </c>
      <c r="C2408" s="3">
        <f>[1]!nefin_factors__1[[#This Row],[Rm_minus_Rf]]/B2407-1</f>
        <v>-0.96799832429240129</v>
      </c>
      <c r="D2408" s="3">
        <v>192192989482762</v>
      </c>
      <c r="E2408" s="3">
        <f>[1]!nefin_factors__1[[#This Row],[SMB]]/D2407-1</f>
        <v>-0.67070536097802114</v>
      </c>
      <c r="F2408" s="3">
        <v>75408072431947</v>
      </c>
      <c r="G2408" s="3">
        <f>[1]!nefin_factors__1[[#This Row],[HML]]/F2407-1</f>
        <v>-0.88995286013805019</v>
      </c>
      <c r="H2408" s="3">
        <v>507531016169516</v>
      </c>
      <c r="I2408" s="4">
        <f>[1]!nefin_factors__1[[#This Row],[Risk_Free]]/H2407-1</f>
        <v>0</v>
      </c>
      <c r="J2408">
        <v>116171</v>
      </c>
      <c r="K2408">
        <v>117338</v>
      </c>
      <c r="L2408">
        <v>115534</v>
      </c>
      <c r="M2408">
        <v>115592</v>
      </c>
      <c r="N2408">
        <v>18862600</v>
      </c>
      <c r="O2408">
        <v>115592</v>
      </c>
      <c r="P2408">
        <v>-4.9840321594890602E-3</v>
      </c>
      <c r="Q2408">
        <v>-4.9964938713978396E-3</v>
      </c>
      <c r="R2408" s="8">
        <v>2.5199999809265101</v>
      </c>
      <c r="S2408" s="8">
        <v>3.9840599606579801E-3</v>
      </c>
      <c r="T2408" s="9">
        <v>3.97614461029478E-3</v>
      </c>
      <c r="U2408" s="12">
        <v>5.0788E-2</v>
      </c>
      <c r="V2408" s="16">
        <v>4.8057999999999996</v>
      </c>
      <c r="W2408" s="17">
        <f t="shared" si="37"/>
        <v>-1.8202619052483215E-2</v>
      </c>
    </row>
    <row r="2409" spans="1:23" x14ac:dyDescent="0.2">
      <c r="A2409" s="15">
        <v>45077</v>
      </c>
      <c r="B2409" s="5">
        <v>-625837071156346</v>
      </c>
      <c r="C2409" s="5">
        <f>[1]!nefin_factors__1[[#This Row],[Rm_minus_Rf]]/B2408-1</f>
        <v>48.981744328548928</v>
      </c>
      <c r="D2409" s="5">
        <v>820621740659734</v>
      </c>
      <c r="E2409" s="5">
        <f>[1]!nefin_factors__1[[#This Row],[SMB]]/D2408-1</f>
        <v>3.2697797816050747</v>
      </c>
      <c r="F2409" s="5">
        <v>645510506193523</v>
      </c>
      <c r="G2409" s="5">
        <f>[1]!nefin_factors__1[[#This Row],[HML]]/F2408-1</f>
        <v>7.560230826428727</v>
      </c>
      <c r="H2409" s="5">
        <v>507531016169516</v>
      </c>
      <c r="I2409" s="6">
        <f>[1]!nefin_factors__1[[#This Row],[Risk_Free]]/H2408-1</f>
        <v>0</v>
      </c>
      <c r="J2409">
        <v>115592</v>
      </c>
      <c r="K2409">
        <v>116610</v>
      </c>
      <c r="L2409">
        <v>114859</v>
      </c>
      <c r="M2409">
        <v>114982</v>
      </c>
      <c r="N2409">
        <v>12747500</v>
      </c>
      <c r="O2409">
        <v>114982</v>
      </c>
      <c r="P2409">
        <v>-5.2771818118900696E-3</v>
      </c>
      <c r="Q2409">
        <v>-5.2911553179962496E-3</v>
      </c>
      <c r="R2409" s="8">
        <v>2.53999996185303</v>
      </c>
      <c r="S2409" s="8">
        <v>7.9365004277343002E-3</v>
      </c>
      <c r="T2409" s="9">
        <v>7.9051720574638204E-3</v>
      </c>
      <c r="U2409" s="12">
        <v>5.0788E-2</v>
      </c>
      <c r="V2409" s="16">
        <v>4.8037999999999998</v>
      </c>
      <c r="W2409" s="17">
        <f t="shared" si="37"/>
        <v>-4.1616380207243342E-4</v>
      </c>
    </row>
    <row r="2410" spans="1:23" x14ac:dyDescent="0.2">
      <c r="A2410" s="14">
        <v>45078</v>
      </c>
      <c r="B2410" s="3">
        <v>165058557596438</v>
      </c>
      <c r="C2410" s="3">
        <f>[1]!nefin_factors__1[[#This Row],[Rm_minus_Rf]]/B2409-1</f>
        <v>-1.2637404609021687</v>
      </c>
      <c r="D2410" s="3">
        <v>103394474081151</v>
      </c>
      <c r="E2410" s="3">
        <f>[1]!nefin_factors__1[[#This Row],[SMB]]/D2409-1</f>
        <v>-0.87400471013840353</v>
      </c>
      <c r="F2410" s="3">
        <v>318385627193711</v>
      </c>
      <c r="G2410" s="3">
        <f>[1]!nefin_factors__1[[#This Row],[HML]]/F2409-1</f>
        <v>-0.50676925605567213</v>
      </c>
      <c r="H2410" s="3">
        <v>507531016169516</v>
      </c>
      <c r="I2410" s="4">
        <f>[1]!nefin_factors__1[[#This Row],[Risk_Free]]/H2409-1</f>
        <v>0</v>
      </c>
      <c r="J2410">
        <v>114973</v>
      </c>
      <c r="K2410">
        <v>115729</v>
      </c>
      <c r="L2410">
        <v>114423</v>
      </c>
      <c r="M2410">
        <v>115409</v>
      </c>
      <c r="N2410">
        <v>10601000</v>
      </c>
      <c r="O2410">
        <v>115409</v>
      </c>
      <c r="P2410">
        <v>3.7136247412639101E-3</v>
      </c>
      <c r="Q2410">
        <v>3.7067462610410199E-3</v>
      </c>
      <c r="R2410" s="8">
        <v>2.5699999332428001</v>
      </c>
      <c r="S2410" s="8">
        <v>1.1811012535560999E-2</v>
      </c>
      <c r="T2410" s="9">
        <v>1.17418069196112E-2</v>
      </c>
      <c r="U2410" s="12">
        <v>5.0788E-2</v>
      </c>
      <c r="V2410" s="16">
        <v>4.7957000000000001</v>
      </c>
      <c r="W2410" s="17">
        <f t="shared" si="37"/>
        <v>-1.6861651192805471E-3</v>
      </c>
    </row>
    <row r="2411" spans="1:23" x14ac:dyDescent="0.2">
      <c r="A2411" s="15">
        <v>45079</v>
      </c>
      <c r="B2411" s="5">
        <v>14242259982829</v>
      </c>
      <c r="C2411" s="5">
        <f>[1]!nefin_factors__1[[#This Row],[Rm_minus_Rf]]/B2410-1</f>
        <v>-0.91371389529738412</v>
      </c>
      <c r="D2411" s="5">
        <v>-688239901435452</v>
      </c>
      <c r="E2411" s="5">
        <f>[1]!nefin_factors__1[[#This Row],[SMB]]/D2410-1</f>
        <v>-7.6564476249985525</v>
      </c>
      <c r="F2411" s="5">
        <v>16097818989276</v>
      </c>
      <c r="G2411" s="5">
        <f>[1]!nefin_factors__1[[#This Row],[HML]]/F2410-1</f>
        <v>-0.94943924092565324</v>
      </c>
      <c r="H2411" s="5">
        <v>507531016169516</v>
      </c>
      <c r="I2411" s="6">
        <f>[1]!nefin_factors__1[[#This Row],[Risk_Free]]/H2410-1</f>
        <v>0</v>
      </c>
      <c r="J2411">
        <v>115404</v>
      </c>
      <c r="K2411">
        <v>115425</v>
      </c>
      <c r="L2411">
        <v>114067</v>
      </c>
      <c r="M2411">
        <v>114429</v>
      </c>
      <c r="N2411">
        <v>9794400</v>
      </c>
      <c r="O2411">
        <v>114429</v>
      </c>
      <c r="P2411">
        <v>-8.4915387881361291E-3</v>
      </c>
      <c r="Q2411">
        <v>-8.5277973099705494E-3</v>
      </c>
      <c r="R2411" s="8">
        <v>2.5</v>
      </c>
      <c r="S2411" s="8">
        <v>-2.7237328817543E-2</v>
      </c>
      <c r="T2411" s="9">
        <v>-2.7615141057407901E-2</v>
      </c>
      <c r="U2411" s="12">
        <v>5.0788E-2</v>
      </c>
      <c r="V2411" s="16">
        <v>4.8301999999999996</v>
      </c>
      <c r="W2411" s="17">
        <f t="shared" si="37"/>
        <v>7.1939445753486098E-3</v>
      </c>
    </row>
    <row r="2412" spans="1:23" x14ac:dyDescent="0.2">
      <c r="A2412" s="14">
        <v>45082</v>
      </c>
      <c r="B2412" s="3">
        <v>184865306151659</v>
      </c>
      <c r="C2412" s="3">
        <f>[1]!nefin_factors__1[[#This Row],[Rm_minus_Rf]]/B2411-1</f>
        <v>11.980054175007304</v>
      </c>
      <c r="D2412" s="3">
        <v>16252563172483</v>
      </c>
      <c r="E2412" s="3">
        <f>[1]!nefin_factors__1[[#This Row],[SMB]]/D2411-1</f>
        <v>-1.0236146772928818</v>
      </c>
      <c r="F2412" s="3">
        <v>942927520723787</v>
      </c>
      <c r="G2412" s="3">
        <f>[1]!nefin_factors__1[[#This Row],[HML]]/F2411-1</f>
        <v>57.574861684799899</v>
      </c>
      <c r="H2412" s="3">
        <v>507531016169516</v>
      </c>
      <c r="I2412" s="4">
        <f>[1]!nefin_factors__1[[#This Row],[Risk_Free]]/H2411-1</f>
        <v>0</v>
      </c>
      <c r="J2412">
        <v>114433</v>
      </c>
      <c r="K2412">
        <v>116286</v>
      </c>
      <c r="L2412">
        <v>114433</v>
      </c>
      <c r="M2412">
        <v>116156</v>
      </c>
      <c r="N2412">
        <v>9828500</v>
      </c>
      <c r="O2412">
        <v>116156</v>
      </c>
      <c r="P2412">
        <v>1.5092327993777801E-2</v>
      </c>
      <c r="Q2412">
        <v>1.49795718974864E-2</v>
      </c>
      <c r="R2412" s="8">
        <v>2.53999996185303</v>
      </c>
      <c r="S2412" s="8">
        <v>1.59999847412109E-2</v>
      </c>
      <c r="T2412" s="9">
        <v>1.5873334137796801E-2</v>
      </c>
      <c r="U2412" s="12">
        <v>5.0788E-2</v>
      </c>
      <c r="V2412" s="16">
        <v>4.8040000000000003</v>
      </c>
      <c r="W2412" s="17">
        <f t="shared" si="37"/>
        <v>-5.4242060370169876E-3</v>
      </c>
    </row>
    <row r="2413" spans="1:23" x14ac:dyDescent="0.2">
      <c r="A2413" s="15">
        <v>45083</v>
      </c>
      <c r="B2413" s="5">
        <v>173742856337436</v>
      </c>
      <c r="C2413" s="5">
        <f>[1]!nefin_factors__1[[#This Row],[Rm_minus_Rf]]/B2412-1</f>
        <v>-6.0165155083768962E-2</v>
      </c>
      <c r="D2413" s="5">
        <v>512413608911802</v>
      </c>
      <c r="E2413" s="5">
        <f>[1]!nefin_factors__1[[#This Row],[SMB]]/D2412-1</f>
        <v>30.528172108837744</v>
      </c>
      <c r="F2413" s="5">
        <v>709337144967353</v>
      </c>
      <c r="G2413" s="5">
        <f>[1]!nefin_factors__1[[#This Row],[HML]]/F2412-1</f>
        <v>-0.24772887695242052</v>
      </c>
      <c r="H2413" s="5">
        <v>507531016169516</v>
      </c>
      <c r="I2413" s="6">
        <f>[1]!nefin_factors__1[[#This Row],[Risk_Free]]/H2412-1</f>
        <v>0</v>
      </c>
      <c r="J2413">
        <v>116160</v>
      </c>
      <c r="K2413">
        <v>118135</v>
      </c>
      <c r="L2413">
        <v>116159</v>
      </c>
      <c r="M2413">
        <v>118135</v>
      </c>
      <c r="N2413">
        <v>11542800</v>
      </c>
      <c r="O2413">
        <v>118135</v>
      </c>
      <c r="P2413">
        <v>1.70374324184717E-2</v>
      </c>
      <c r="Q2413">
        <v>1.6893923093567999E-2</v>
      </c>
      <c r="R2413" s="8">
        <v>2.5299999713897701</v>
      </c>
      <c r="S2413" s="8">
        <v>-3.9370041785202802E-3</v>
      </c>
      <c r="T2413" s="9">
        <v>-3.9447745809141803E-3</v>
      </c>
      <c r="U2413" s="12">
        <v>5.0788E-2</v>
      </c>
      <c r="V2413" s="16">
        <v>4.8</v>
      </c>
      <c r="W2413" s="17">
        <f t="shared" si="37"/>
        <v>-8.3263946711087389E-4</v>
      </c>
    </row>
    <row r="2414" spans="1:23" x14ac:dyDescent="0.2">
      <c r="A2414" s="14">
        <v>45084</v>
      </c>
      <c r="B2414" s="3">
        <v>636391939095027</v>
      </c>
      <c r="C2414" s="3">
        <f>[1]!nefin_factors__1[[#This Row],[Rm_minus_Rf]]/B2413-1</f>
        <v>2.6628380153889815</v>
      </c>
      <c r="D2414" s="3">
        <v>355784759535095</v>
      </c>
      <c r="E2414" s="3">
        <f>[1]!nefin_factors__1[[#This Row],[SMB]]/D2413-1</f>
        <v>-0.30566879304656869</v>
      </c>
      <c r="F2414" s="3">
        <v>588859005870631</v>
      </c>
      <c r="G2414" s="3">
        <f>[1]!nefin_factors__1[[#This Row],[HML]]/F2413-1</f>
        <v>-0.16984608793082023</v>
      </c>
      <c r="H2414" s="3">
        <v>507531016169516</v>
      </c>
      <c r="I2414" s="4">
        <f>[1]!nefin_factors__1[[#This Row],[Risk_Free]]/H2413-1</f>
        <v>0</v>
      </c>
      <c r="J2414">
        <v>118135</v>
      </c>
      <c r="K2414">
        <v>118136</v>
      </c>
      <c r="L2414">
        <v>116848</v>
      </c>
      <c r="M2414">
        <v>117026</v>
      </c>
      <c r="N2414">
        <v>9196200</v>
      </c>
      <c r="O2414">
        <v>117026</v>
      </c>
      <c r="P2414">
        <v>-9.3875650738561908E-3</v>
      </c>
      <c r="Q2414">
        <v>-9.4319059831611107E-3</v>
      </c>
      <c r="R2414" s="8">
        <v>2.4300000667571999</v>
      </c>
      <c r="S2414" s="8">
        <v>-3.9525654451939299E-2</v>
      </c>
      <c r="T2414" s="9">
        <v>-4.0328006606481399E-2</v>
      </c>
      <c r="U2414" s="12">
        <v>5.0788E-2</v>
      </c>
      <c r="V2414" s="16">
        <v>4.7888000000000002</v>
      </c>
      <c r="W2414" s="17">
        <f t="shared" si="37"/>
        <v>-2.3333333333332984E-3</v>
      </c>
    </row>
    <row r="2415" spans="1:23" x14ac:dyDescent="0.2">
      <c r="A2415" s="15">
        <v>45086</v>
      </c>
      <c r="B2415" s="5">
        <v>139698845229776</v>
      </c>
      <c r="C2415" s="5">
        <f>[1]!nefin_factors__1[[#This Row],[Rm_minus_Rf]]/B2414-1</f>
        <v>-0.7804830063868613</v>
      </c>
      <c r="D2415" s="5">
        <v>-405302393789191</v>
      </c>
      <c r="E2415" s="5">
        <f>[1]!nefin_factors__1[[#This Row],[SMB]]/D2414-1</f>
        <v>-2.1391786267596196</v>
      </c>
      <c r="F2415" s="5">
        <v>396156209390905</v>
      </c>
      <c r="G2415" s="5">
        <f>[1]!nefin_factors__1[[#This Row],[HML]]/F2414-1</f>
        <v>-0.3272477699391112</v>
      </c>
      <c r="H2415" s="5">
        <v>507181628455422</v>
      </c>
      <c r="I2415" s="6">
        <f>[1]!nefin_factors__1[[#This Row],[Risk_Free]]/H2414-1</f>
        <v>-6.8840662533475871E-4</v>
      </c>
      <c r="J2415">
        <v>117025</v>
      </c>
      <c r="K2415">
        <v>117252</v>
      </c>
      <c r="L2415">
        <v>115397</v>
      </c>
      <c r="M2415">
        <v>115837</v>
      </c>
      <c r="N2415">
        <v>9214100</v>
      </c>
      <c r="O2415">
        <v>115837</v>
      </c>
      <c r="P2415">
        <v>-1.01601353545366E-2</v>
      </c>
      <c r="Q2415">
        <v>-1.02121018202803E-2</v>
      </c>
      <c r="R2415" s="8">
        <v>2.2699999809265101</v>
      </c>
      <c r="S2415" s="8">
        <v>-6.5843654911584504E-2</v>
      </c>
      <c r="T2415" s="9">
        <v>-6.8111461733662004E-2</v>
      </c>
      <c r="U2415" s="12">
        <v>5.0788E-2</v>
      </c>
      <c r="V2415" s="16">
        <v>4.7732000000000001</v>
      </c>
      <c r="W2415" s="17">
        <f t="shared" si="37"/>
        <v>-3.2576010691613977E-3</v>
      </c>
    </row>
    <row r="2416" spans="1:23" x14ac:dyDescent="0.2">
      <c r="A2416" s="14">
        <v>45089</v>
      </c>
      <c r="B2416" s="3">
        <v>207519279783955</v>
      </c>
      <c r="C2416" s="3">
        <f>[1]!nefin_factors__1[[#This Row],[Rm_minus_Rf]]/B2415-1</f>
        <v>0.48547598545018955</v>
      </c>
      <c r="D2416" s="3">
        <v>-117283305745965</v>
      </c>
      <c r="E2416" s="3">
        <f>[1]!nefin_factors__1[[#This Row],[SMB]]/D2415-1</f>
        <v>-0.71062765100033609</v>
      </c>
      <c r="F2416" s="3">
        <v>168477193740868</v>
      </c>
      <c r="G2416" s="3">
        <f>[1]!nefin_factors__1[[#This Row],[HML]]/F2415-1</f>
        <v>-0.57472030035852839</v>
      </c>
      <c r="H2416" s="3">
        <v>507181628455422</v>
      </c>
      <c r="I2416" s="4">
        <f>[1]!nefin_factors__1[[#This Row],[Risk_Free]]/H2415-1</f>
        <v>0</v>
      </c>
      <c r="J2416">
        <v>115838</v>
      </c>
      <c r="K2416">
        <v>117253</v>
      </c>
      <c r="L2416">
        <v>115836</v>
      </c>
      <c r="M2416">
        <v>117121</v>
      </c>
      <c r="N2416">
        <v>9596900</v>
      </c>
      <c r="O2416">
        <v>117121</v>
      </c>
      <c r="P2416">
        <v>1.10845412087675E-2</v>
      </c>
      <c r="Q2416">
        <v>1.1023557915919399E-2</v>
      </c>
      <c r="R2416" s="8">
        <v>2.2000000476837198</v>
      </c>
      <c r="S2416" s="8">
        <v>-3.0836975255932299E-2</v>
      </c>
      <c r="T2416" s="9">
        <v>-3.1322441052208098E-2</v>
      </c>
      <c r="U2416" s="12">
        <v>5.0788E-2</v>
      </c>
      <c r="V2416" s="16">
        <v>4.7457000000000003</v>
      </c>
      <c r="W2416" s="17">
        <f t="shared" si="37"/>
        <v>-5.7613341154780784E-3</v>
      </c>
    </row>
    <row r="2417" spans="1:23" x14ac:dyDescent="0.2">
      <c r="A2417" s="15">
        <v>45090</v>
      </c>
      <c r="B2417" s="5">
        <v>-645954981879942</v>
      </c>
      <c r="C2417" s="5">
        <f>[1]!nefin_factors__1[[#This Row],[Rm_minus_Rf]]/B2416-1</f>
        <v>-4.1127468375585892</v>
      </c>
      <c r="D2417" s="5">
        <v>-222651249060846</v>
      </c>
      <c r="E2417" s="5">
        <f>[1]!nefin_factors__1[[#This Row],[SMB]]/D2416-1</f>
        <v>0.89840529856062723</v>
      </c>
      <c r="F2417" s="5">
        <v>-165426150120302</v>
      </c>
      <c r="G2417" s="5">
        <f>[1]!nefin_factors__1[[#This Row],[HML]]/F2416-1</f>
        <v>-1.9818904650960725</v>
      </c>
      <c r="H2417" s="5">
        <v>507531016169516</v>
      </c>
      <c r="I2417" s="6">
        <f>[1]!nefin_factors__1[[#This Row],[Risk_Free]]/H2416-1</f>
        <v>6.8888085547968991E-4</v>
      </c>
      <c r="J2417">
        <v>117124</v>
      </c>
      <c r="K2417">
        <v>118493</v>
      </c>
      <c r="L2417">
        <v>117124</v>
      </c>
      <c r="M2417">
        <v>118404</v>
      </c>
      <c r="N2417">
        <v>9631600</v>
      </c>
      <c r="O2417">
        <v>118404</v>
      </c>
      <c r="P2417">
        <v>1.0954482970603001E-2</v>
      </c>
      <c r="Q2417">
        <v>1.0894917235113001E-2</v>
      </c>
      <c r="R2417" s="8">
        <v>2.3399999141693102</v>
      </c>
      <c r="S2417" s="8">
        <v>6.3636301568718204E-2</v>
      </c>
      <c r="T2417" s="9">
        <v>6.1693510651141703E-2</v>
      </c>
      <c r="U2417" s="12">
        <v>5.0788E-2</v>
      </c>
      <c r="V2417" s="16">
        <v>4.7496</v>
      </c>
      <c r="W2417" s="17">
        <f t="shared" si="37"/>
        <v>8.2179657374048531E-4</v>
      </c>
    </row>
    <row r="2418" spans="1:23" x14ac:dyDescent="0.2">
      <c r="A2418" s="14">
        <v>45091</v>
      </c>
      <c r="B2418" s="3">
        <v>180956850548542</v>
      </c>
      <c r="C2418" s="3">
        <f>[1]!nefin_factors__1[[#This Row],[Rm_minus_Rf]]/B2417-1</f>
        <v>-1.2801384858460227</v>
      </c>
      <c r="D2418" s="3">
        <v>109757777266317</v>
      </c>
      <c r="E2418" s="3">
        <f>[1]!nefin_factors__1[[#This Row],[SMB]]/D2417-1</f>
        <v>-1.4929582821981944</v>
      </c>
      <c r="F2418" s="3">
        <v>207625855501349</v>
      </c>
      <c r="G2418" s="3">
        <f>[1]!nefin_factors__1[[#This Row],[HML]]/F2417-1</f>
        <v>-2.2550969441672812</v>
      </c>
      <c r="H2418" s="3">
        <v>507531016169516</v>
      </c>
      <c r="I2418" s="4">
        <f>[1]!nefin_factors__1[[#This Row],[Risk_Free]]/H2417-1</f>
        <v>0</v>
      </c>
      <c r="J2418">
        <v>118404</v>
      </c>
      <c r="K2418">
        <v>118841</v>
      </c>
      <c r="L2418">
        <v>117471</v>
      </c>
      <c r="M2418">
        <v>117535</v>
      </c>
      <c r="N2418">
        <v>8924000</v>
      </c>
      <c r="O2418">
        <v>117535</v>
      </c>
      <c r="P2418">
        <v>-7.3392790784094801E-3</v>
      </c>
      <c r="Q2418">
        <v>-7.3663440935484003E-3</v>
      </c>
      <c r="R2418" s="8">
        <v>2.7400000095367401</v>
      </c>
      <c r="S2418" s="8">
        <v>0.17094021796553299</v>
      </c>
      <c r="T2418" s="9">
        <v>0.15780703119071399</v>
      </c>
      <c r="U2418" s="12">
        <v>5.0788E-2</v>
      </c>
      <c r="V2418" s="16">
        <v>4.7367999999999997</v>
      </c>
      <c r="W2418" s="17">
        <f t="shared" si="37"/>
        <v>-2.6949637864241982E-3</v>
      </c>
    </row>
    <row r="2419" spans="1:23" x14ac:dyDescent="0.2">
      <c r="A2419" s="15">
        <v>45092</v>
      </c>
      <c r="B2419" s="5">
        <v>123644180277231</v>
      </c>
      <c r="C2419" s="5">
        <f>[1]!nefin_factors__1[[#This Row],[Rm_minus_Rf]]/B2418-1</f>
        <v>-0.31672009154434733</v>
      </c>
      <c r="D2419" s="5">
        <v>7400709842028</v>
      </c>
      <c r="E2419" s="5">
        <f>[1]!nefin_factors__1[[#This Row],[SMB]]/D2418-1</f>
        <v>-0.93257234223984997</v>
      </c>
      <c r="F2419" s="5">
        <v>192554275772503</v>
      </c>
      <c r="G2419" s="5">
        <f>[1]!nefin_factors__1[[#This Row],[HML]]/F2418-1</f>
        <v>-7.259009092318025E-2</v>
      </c>
      <c r="H2419" s="5">
        <v>507531016169516</v>
      </c>
      <c r="I2419" s="6">
        <f>[1]!nefin_factors__1[[#This Row],[Risk_Free]]/H2418-1</f>
        <v>0</v>
      </c>
      <c r="J2419">
        <v>117537</v>
      </c>
      <c r="K2419">
        <v>117637</v>
      </c>
      <c r="L2419">
        <v>115742</v>
      </c>
      <c r="M2419">
        <v>115742</v>
      </c>
      <c r="N2419">
        <v>12950000</v>
      </c>
      <c r="O2419">
        <v>115742</v>
      </c>
      <c r="P2419">
        <v>-1.52550304164717E-2</v>
      </c>
      <c r="Q2419">
        <v>-1.53725854624955E-2</v>
      </c>
      <c r="R2419" s="8">
        <v>2.4800000190734899</v>
      </c>
      <c r="S2419" s="8">
        <v>-9.4890507138069499E-2</v>
      </c>
      <c r="T2419" s="9">
        <v>-9.9699356012729307E-2</v>
      </c>
      <c r="U2419" s="12">
        <v>5.0788E-2</v>
      </c>
      <c r="V2419" s="16">
        <v>4.7202000000000002</v>
      </c>
      <c r="W2419" s="17">
        <f t="shared" si="37"/>
        <v>-3.5044755953385076E-3</v>
      </c>
    </row>
    <row r="2420" spans="1:23" x14ac:dyDescent="0.2">
      <c r="A2420" s="14">
        <v>45093</v>
      </c>
      <c r="B2420" s="3">
        <v>-454663269724176</v>
      </c>
      <c r="C2420" s="3">
        <f>[1]!nefin_factors__1[[#This Row],[Rm_minus_Rf]]/B2419-1</f>
        <v>-4.6771910226971025</v>
      </c>
      <c r="D2420" s="3">
        <v>106251723330362</v>
      </c>
      <c r="E2420" s="3">
        <f>[1]!nefin_factors__1[[#This Row],[SMB]]/D2419-1</f>
        <v>13.35696380460257</v>
      </c>
      <c r="F2420" s="3">
        <v>261394779686679</v>
      </c>
      <c r="G2420" s="3">
        <f>[1]!nefin_factors__1[[#This Row],[HML]]/F2419-1</f>
        <v>0.35751220604163025</v>
      </c>
      <c r="H2420" s="3">
        <v>507531016169516</v>
      </c>
      <c r="I2420" s="4">
        <f>[1]!nefin_factors__1[[#This Row],[Risk_Free]]/H2419-1</f>
        <v>0</v>
      </c>
      <c r="J2420">
        <v>115744</v>
      </c>
      <c r="K2420">
        <v>117991</v>
      </c>
      <c r="L2420">
        <v>115744</v>
      </c>
      <c r="M2420">
        <v>117893</v>
      </c>
      <c r="N2420">
        <v>11890700</v>
      </c>
      <c r="O2420">
        <v>117893</v>
      </c>
      <c r="P2420">
        <v>1.8584437801316699E-2</v>
      </c>
      <c r="Q2420">
        <v>1.8413857324282801E-2</v>
      </c>
      <c r="R2420" s="8">
        <v>2.5899999141693102</v>
      </c>
      <c r="S2420" s="8">
        <v>4.43547960684776E-2</v>
      </c>
      <c r="T2420" s="9">
        <v>4.3399274704371098E-2</v>
      </c>
      <c r="U2420" s="12">
        <v>5.0788E-2</v>
      </c>
      <c r="V2420" s="16">
        <v>4.7252999999999998</v>
      </c>
      <c r="W2420" s="17">
        <f t="shared" si="37"/>
        <v>1.0804626922586991E-3</v>
      </c>
    </row>
    <row r="2421" spans="1:23" x14ac:dyDescent="0.2">
      <c r="A2421" s="15">
        <v>45096</v>
      </c>
      <c r="B2421" s="5">
        <v>878732353061921</v>
      </c>
      <c r="C2421" s="5">
        <f>[1]!nefin_factors__1[[#This Row],[Rm_minus_Rf]]/B2420-1</f>
        <v>-2.9327102310134023</v>
      </c>
      <c r="D2421" s="5">
        <v>109108484218883</v>
      </c>
      <c r="E2421" s="5">
        <f>[1]!nefin_factors__1[[#This Row],[SMB]]/D2420-1</f>
        <v>2.6886725212339924E-2</v>
      </c>
      <c r="F2421" s="5">
        <v>982167190410707</v>
      </c>
      <c r="G2421" s="5">
        <f>[1]!nefin_factors__1[[#This Row],[HML]]/F2420-1</f>
        <v>2.7574093544943103</v>
      </c>
      <c r="H2421" s="5">
        <v>507531016169516</v>
      </c>
      <c r="I2421" s="6">
        <f>[1]!nefin_factors__1[[#This Row],[Risk_Free]]/H2420-1</f>
        <v>0</v>
      </c>
      <c r="J2421">
        <v>117893</v>
      </c>
      <c r="K2421">
        <v>118576</v>
      </c>
      <c r="L2421">
        <v>117590</v>
      </c>
      <c r="M2421">
        <v>117777</v>
      </c>
      <c r="N2421">
        <v>5529700</v>
      </c>
      <c r="O2421">
        <v>117777</v>
      </c>
      <c r="P2421">
        <v>-9.8394306701843305E-4</v>
      </c>
      <c r="Q2421">
        <v>-9.8442745676535597E-4</v>
      </c>
      <c r="R2421" s="8">
        <v>2.5799999237060498</v>
      </c>
      <c r="S2421" s="8">
        <v>-3.8610003068143598E-3</v>
      </c>
      <c r="T2421" s="9">
        <v>-3.8684732099549001E-3</v>
      </c>
      <c r="U2421" s="12">
        <v>5.0788E-2</v>
      </c>
      <c r="V2421" s="16">
        <v>4.7415000000000003</v>
      </c>
      <c r="W2421" s="17">
        <f t="shared" si="37"/>
        <v>3.4283537553172483E-3</v>
      </c>
    </row>
    <row r="2422" spans="1:23" x14ac:dyDescent="0.2">
      <c r="A2422" s="14">
        <v>45097</v>
      </c>
      <c r="B2422" s="3">
        <v>-490990607520324</v>
      </c>
      <c r="C2422" s="3">
        <f>[1]!nefin_factors__1[[#This Row],[Rm_minus_Rf]]/B2421-1</f>
        <v>-1.5587487541678413</v>
      </c>
      <c r="D2422" s="3">
        <v>183682814472392</v>
      </c>
      <c r="E2422" s="3">
        <f>[1]!nefin_factors__1[[#This Row],[SMB]]/D2421-1</f>
        <v>0.68348791377126195</v>
      </c>
      <c r="F2422" s="3">
        <v>165553393212865</v>
      </c>
      <c r="G2422" s="3">
        <f>[1]!nefin_factors__1[[#This Row],[HML]]/F2421-1</f>
        <v>-0.83144072126494417</v>
      </c>
      <c r="H2422" s="3">
        <v>507531016169516</v>
      </c>
      <c r="I2422" s="4">
        <f>[1]!nefin_factors__1[[#This Row],[Risk_Free]]/H2421-1</f>
        <v>0</v>
      </c>
      <c r="J2422">
        <v>117776</v>
      </c>
      <c r="K2422">
        <v>117957</v>
      </c>
      <c r="L2422">
        <v>116637</v>
      </c>
      <c r="M2422">
        <v>117331</v>
      </c>
      <c r="N2422">
        <v>10870700</v>
      </c>
      <c r="O2422">
        <v>117331</v>
      </c>
      <c r="P2422">
        <v>-3.78681746011533E-3</v>
      </c>
      <c r="Q2422">
        <v>-3.7940056058888799E-3</v>
      </c>
      <c r="R2422" s="8">
        <v>2.4300000667571999</v>
      </c>
      <c r="S2422" s="8">
        <v>-5.8139481156799601E-2</v>
      </c>
      <c r="T2422" s="9">
        <v>-5.9898084537672598E-2</v>
      </c>
      <c r="U2422" s="12">
        <v>5.0788E-2</v>
      </c>
      <c r="V2422" s="16">
        <v>4.7751999999999999</v>
      </c>
      <c r="W2422" s="17">
        <f t="shared" si="37"/>
        <v>7.1074554465886397E-3</v>
      </c>
    </row>
    <row r="2423" spans="1:23" x14ac:dyDescent="0.2">
      <c r="A2423" s="15">
        <v>45098</v>
      </c>
      <c r="B2423" s="5">
        <v>66804391588632</v>
      </c>
      <c r="C2423" s="5">
        <f>[1]!nefin_factors__1[[#This Row],[Rm_minus_Rf]]/B2422-1</f>
        <v>-1.1360604267483196</v>
      </c>
      <c r="D2423" s="5">
        <v>375107436288517</v>
      </c>
      <c r="E2423" s="5">
        <f>[1]!nefin_factors__1[[#This Row],[SMB]]/D2422-1</f>
        <v>1.0421476955586209</v>
      </c>
      <c r="F2423" s="5">
        <v>989674258516582</v>
      </c>
      <c r="G2423" s="5">
        <f>[1]!nefin_factors__1[[#This Row],[HML]]/F2422-1</f>
        <v>4.9779762849323186</v>
      </c>
      <c r="H2423" s="5">
        <v>507531016169516</v>
      </c>
      <c r="I2423" s="6">
        <f>[1]!nefin_factors__1[[#This Row],[Risk_Free]]/H2422-1</f>
        <v>0</v>
      </c>
      <c r="J2423">
        <v>117331</v>
      </c>
      <c r="K2423">
        <v>117971</v>
      </c>
      <c r="L2423">
        <v>115984</v>
      </c>
      <c r="M2423">
        <v>115985</v>
      </c>
      <c r="N2423">
        <v>9916100</v>
      </c>
      <c r="O2423">
        <v>115985</v>
      </c>
      <c r="P2423">
        <v>-1.14718190418559E-2</v>
      </c>
      <c r="Q2423">
        <v>-1.1538127968381001E-2</v>
      </c>
      <c r="R2423" s="8">
        <v>2.3099999427795401</v>
      </c>
      <c r="S2423" s="8">
        <v>-4.9382765712348099E-2</v>
      </c>
      <c r="T2423" s="9">
        <v>-5.0643785061616001E-2</v>
      </c>
      <c r="U2423" s="12">
        <v>5.0788E-2</v>
      </c>
      <c r="V2423" s="16">
        <v>4.8083</v>
      </c>
      <c r="W2423" s="17">
        <f t="shared" si="37"/>
        <v>6.9316468420170807E-3</v>
      </c>
    </row>
    <row r="2424" spans="1:23" x14ac:dyDescent="0.2">
      <c r="A2424" s="14">
        <v>45099</v>
      </c>
      <c r="B2424" s="3">
        <v>-115270563832552</v>
      </c>
      <c r="C2424" s="3">
        <f>[1]!nefin_factors__1[[#This Row],[Rm_minus_Rf]]/B2423-1</f>
        <v>-2.7254938049936142</v>
      </c>
      <c r="D2424" s="3">
        <v>-782994706431268</v>
      </c>
      <c r="E2424" s="3">
        <f>[1]!nefin_factors__1[[#This Row],[SMB]]/D2423-1</f>
        <v>-3.0873878539401205</v>
      </c>
      <c r="F2424" s="3">
        <v>-71214516283636</v>
      </c>
      <c r="G2424" s="3">
        <f>[1]!nefin_factors__1[[#This Row],[HML]]/F2423-1</f>
        <v>-1.0719575311480558</v>
      </c>
      <c r="H2424" s="3">
        <v>507880373261882</v>
      </c>
      <c r="I2424" s="4">
        <f>[1]!nefin_factors__1[[#This Row],[Risk_Free]]/H2423-1</f>
        <v>6.8834629064196129E-4</v>
      </c>
      <c r="J2424">
        <v>115979</v>
      </c>
      <c r="K2424">
        <v>115979</v>
      </c>
      <c r="L2424">
        <v>114839</v>
      </c>
      <c r="M2424">
        <v>115313</v>
      </c>
      <c r="N2424">
        <v>8360700</v>
      </c>
      <c r="O2424">
        <v>115313</v>
      </c>
      <c r="P2424">
        <v>-5.7938526533603003E-3</v>
      </c>
      <c r="Q2424">
        <v>-5.8107021314274098E-3</v>
      </c>
      <c r="R2424" s="8">
        <v>2.3399999141693102</v>
      </c>
      <c r="S2424" s="8">
        <v>1.2987000923330201E-2</v>
      </c>
      <c r="T2424" s="9">
        <v>1.2903392926887599E-2</v>
      </c>
      <c r="U2424" s="12">
        <v>4.9036999999999997E-2</v>
      </c>
      <c r="V2424" s="16">
        <v>4.8796999999999997</v>
      </c>
      <c r="W2424" s="17">
        <f t="shared" si="37"/>
        <v>1.4849323045567075E-2</v>
      </c>
    </row>
    <row r="2425" spans="1:23" x14ac:dyDescent="0.2">
      <c r="A2425" s="15">
        <v>45100</v>
      </c>
      <c r="B2425" s="5">
        <v>1130811632</v>
      </c>
      <c r="C2425" s="5">
        <f>[1]!nefin_factors__1[[#This Row],[Rm_minus_Rf]]/B2424-1</f>
        <v>-1.0000098100642036</v>
      </c>
      <c r="D2425" s="5">
        <v>-645585388718034</v>
      </c>
      <c r="E2425" s="5">
        <f>[1]!nefin_factors__1[[#This Row],[SMB]]/D2424-1</f>
        <v>-0.17549201365551748</v>
      </c>
      <c r="F2425" s="5">
        <v>954920657810345</v>
      </c>
      <c r="G2425" s="5">
        <f>[1]!nefin_factors__1[[#This Row],[HML]]/F2424-1</f>
        <v>-14.409073144680912</v>
      </c>
      <c r="H2425" s="5">
        <v>507880373261882</v>
      </c>
      <c r="I2425" s="6">
        <f>[1]!nefin_factors__1[[#This Row],[Risk_Free]]/H2424-1</f>
        <v>0</v>
      </c>
      <c r="J2425">
        <v>115316</v>
      </c>
      <c r="K2425">
        <v>117131</v>
      </c>
      <c r="L2425">
        <v>115316</v>
      </c>
      <c r="M2425">
        <v>116883</v>
      </c>
      <c r="N2425">
        <v>8789000</v>
      </c>
      <c r="O2425">
        <v>116883</v>
      </c>
      <c r="P2425">
        <v>1.36151171160233E-2</v>
      </c>
      <c r="Q2425">
        <v>1.35232641953663E-2</v>
      </c>
      <c r="R2425" s="8">
        <v>2.3699998855590798</v>
      </c>
      <c r="S2425" s="8">
        <v>1.28205010641722E-2</v>
      </c>
      <c r="T2425" s="9">
        <v>1.2739014169903499E-2</v>
      </c>
      <c r="U2425" s="12">
        <v>4.9036999999999997E-2</v>
      </c>
      <c r="V2425" s="16">
        <v>4.8609</v>
      </c>
      <c r="W2425" s="17">
        <f t="shared" si="37"/>
        <v>-3.852695862450517E-3</v>
      </c>
    </row>
    <row r="2426" spans="1:23" x14ac:dyDescent="0.2">
      <c r="A2426" s="14">
        <v>45103</v>
      </c>
      <c r="B2426" s="3">
        <v>-605272020889774</v>
      </c>
      <c r="C2426" s="3">
        <f>[1]!nefin_factors__1[[#This Row],[Rm_minus_Rf]]/B2425-1</f>
        <v>-535255.50549112679</v>
      </c>
      <c r="D2426" s="3">
        <v>-716394417787754</v>
      </c>
      <c r="E2426" s="3">
        <f>[1]!nefin_factors__1[[#This Row],[SMB]]/D2425-1</f>
        <v>0.10968189538850703</v>
      </c>
      <c r="F2426" s="3">
        <v>257366838008004</v>
      </c>
      <c r="G2426" s="3">
        <f>[1]!nefin_factors__1[[#This Row],[HML]]/F2425-1</f>
        <v>-0.73048353713684233</v>
      </c>
      <c r="H2426" s="3">
        <v>507880373261882</v>
      </c>
      <c r="I2426" s="4">
        <f>[1]!nefin_factors__1[[#This Row],[Risk_Free]]/H2425-1</f>
        <v>0</v>
      </c>
      <c r="J2426">
        <v>116885</v>
      </c>
      <c r="K2426">
        <v>118154</v>
      </c>
      <c r="L2426">
        <v>116885</v>
      </c>
      <c r="M2426">
        <v>117968</v>
      </c>
      <c r="N2426">
        <v>9192800</v>
      </c>
      <c r="O2426">
        <v>117968</v>
      </c>
      <c r="P2426">
        <v>9.2827870605647293E-3</v>
      </c>
      <c r="Q2426">
        <v>9.2399667831220798E-3</v>
      </c>
      <c r="R2426" s="8">
        <v>2.46000003814697</v>
      </c>
      <c r="S2426" s="8">
        <v>3.7974749761078501E-2</v>
      </c>
      <c r="T2426" s="9">
        <v>3.7271458591439398E-2</v>
      </c>
      <c r="U2426" s="12">
        <v>4.9036999999999997E-2</v>
      </c>
      <c r="V2426" s="16">
        <v>4.9009999999999998</v>
      </c>
      <c r="W2426" s="17">
        <f t="shared" si="37"/>
        <v>8.2495011211916047E-3</v>
      </c>
    </row>
    <row r="2427" spans="1:23" x14ac:dyDescent="0.2">
      <c r="A2427" s="15">
        <v>45104</v>
      </c>
      <c r="B2427" s="5">
        <v>-718754913291303</v>
      </c>
      <c r="C2427" s="5">
        <f>[1]!nefin_factors__1[[#This Row],[Rm_minus_Rf]]/B2426-1</f>
        <v>0.18749072893656082</v>
      </c>
      <c r="D2427" s="5">
        <v>-143769731905772</v>
      </c>
      <c r="E2427" s="5">
        <f>[1]!nefin_factors__1[[#This Row],[SMB]]/D2426-1</f>
        <v>-0.79931483504612311</v>
      </c>
      <c r="F2427" s="5">
        <v>-512415301147013</v>
      </c>
      <c r="G2427" s="5">
        <f>[1]!nefin_factors__1[[#This Row],[HML]]/F2426-1</f>
        <v>-2.990991944078969</v>
      </c>
      <c r="H2427" s="5">
        <v>507880373261882</v>
      </c>
      <c r="I2427" s="6">
        <f>[1]!nefin_factors__1[[#This Row],[Risk_Free]]/H2426-1</f>
        <v>0</v>
      </c>
      <c r="J2427">
        <v>117968</v>
      </c>
      <c r="K2427">
        <v>119318</v>
      </c>
      <c r="L2427">
        <v>117722</v>
      </c>
      <c r="M2427">
        <v>118176</v>
      </c>
      <c r="N2427">
        <v>12075300</v>
      </c>
      <c r="O2427">
        <v>118176</v>
      </c>
      <c r="P2427">
        <v>1.7631900176318101E-3</v>
      </c>
      <c r="Q2427">
        <v>1.76163742285784E-3</v>
      </c>
      <c r="R2427" s="8">
        <v>2.4400000572204599</v>
      </c>
      <c r="S2427" s="8">
        <v>-8.1300734212910192E-3</v>
      </c>
      <c r="T2427" s="9">
        <v>-8.1633026950527297E-3</v>
      </c>
      <c r="U2427" s="12">
        <v>4.9036999999999997E-2</v>
      </c>
      <c r="V2427" s="16">
        <v>4.9217000000000004</v>
      </c>
      <c r="W2427" s="17">
        <f t="shared" si="37"/>
        <v>4.2236278310550102E-3</v>
      </c>
    </row>
    <row r="2428" spans="1:23" x14ac:dyDescent="0.2">
      <c r="A2428" s="14">
        <v>45105</v>
      </c>
      <c r="B2428" s="3">
        <v>-697613169627849</v>
      </c>
      <c r="C2428" s="3">
        <f>[1]!nefin_factors__1[[#This Row],[Rm_minus_Rf]]/B2427-1</f>
        <v>-2.9414398806183129E-2</v>
      </c>
      <c r="D2428" s="3">
        <v>-634572986754469</v>
      </c>
      <c r="E2428" s="3">
        <f>[1]!nefin_factors__1[[#This Row],[SMB]]/D2427-1</f>
        <v>3.4138149132139572</v>
      </c>
      <c r="F2428" s="3">
        <v>-255117247300543</v>
      </c>
      <c r="G2428" s="3">
        <f>[1]!nefin_factors__1[[#This Row],[HML]]/F2427-1</f>
        <v>-0.50212796782321423</v>
      </c>
      <c r="H2428" s="3">
        <v>507880373261882</v>
      </c>
      <c r="I2428" s="4">
        <f>[1]!nefin_factors__1[[#This Row],[Risk_Free]]/H2427-1</f>
        <v>0</v>
      </c>
      <c r="J2428">
        <v>118181</v>
      </c>
      <c r="K2428">
        <v>119748</v>
      </c>
      <c r="L2428">
        <v>118181</v>
      </c>
      <c r="M2428">
        <v>119392</v>
      </c>
      <c r="N2428">
        <v>13279300</v>
      </c>
      <c r="O2428">
        <v>119392</v>
      </c>
      <c r="P2428">
        <v>1.0289737340915201E-2</v>
      </c>
      <c r="Q2428">
        <v>1.0237158368594601E-2</v>
      </c>
      <c r="R2428" s="8">
        <v>2.3900001049041699</v>
      </c>
      <c r="S2428" s="8">
        <v>-2.0491783255629101E-2</v>
      </c>
      <c r="T2428" s="9">
        <v>-2.07046529197395E-2</v>
      </c>
      <c r="U2428" s="12">
        <v>4.9036999999999997E-2</v>
      </c>
      <c r="V2428" s="16">
        <v>4.9015000000000004</v>
      </c>
      <c r="W2428" s="17">
        <f t="shared" si="37"/>
        <v>-4.1042729138305312E-3</v>
      </c>
    </row>
    <row r="2429" spans="1:23" x14ac:dyDescent="0.2">
      <c r="A2429" s="15">
        <v>45106</v>
      </c>
      <c r="B2429" s="5">
        <v>124916172057252</v>
      </c>
      <c r="C2429" s="5">
        <f>[1]!nefin_factors__1[[#This Row],[Rm_minus_Rf]]/B2428-1</f>
        <v>-1.1790622331913405</v>
      </c>
      <c r="D2429" s="5">
        <v>107587457261025</v>
      </c>
      <c r="E2429" s="5">
        <f>[1]!nefin_factors__1[[#This Row],[SMB]]/D2428-1</f>
        <v>-1.1695430777967437</v>
      </c>
      <c r="F2429" s="5">
        <v>568392137968662</v>
      </c>
      <c r="G2429" s="5">
        <f>[1]!nefin_factors__1[[#This Row],[HML]]/F2428-1</f>
        <v>-3.2279643731772589</v>
      </c>
      <c r="H2429" s="5">
        <v>507880373261882</v>
      </c>
      <c r="I2429" s="6">
        <f>[1]!nefin_factors__1[[#This Row],[Risk_Free]]/H2428-1</f>
        <v>0</v>
      </c>
      <c r="J2429">
        <v>119393</v>
      </c>
      <c r="K2429">
        <v>119780</v>
      </c>
      <c r="L2429">
        <v>118666</v>
      </c>
      <c r="M2429">
        <v>118758</v>
      </c>
      <c r="N2429">
        <v>16107600</v>
      </c>
      <c r="O2429">
        <v>118758</v>
      </c>
      <c r="P2429">
        <v>-5.3102385419458997E-3</v>
      </c>
      <c r="Q2429">
        <v>-5.3243879720943198E-3</v>
      </c>
      <c r="R2429" s="8">
        <v>2.2999999523162802</v>
      </c>
      <c r="S2429" s="8">
        <v>-3.7656965957120397E-2</v>
      </c>
      <c r="T2429" s="9">
        <v>-3.83843076333251E-2</v>
      </c>
      <c r="U2429" s="12">
        <v>4.9036999999999997E-2</v>
      </c>
      <c r="V2429" s="16">
        <v>4.8517999999999999</v>
      </c>
      <c r="W2429" s="17">
        <f t="shared" si="37"/>
        <v>-1.0139753136794938E-2</v>
      </c>
    </row>
    <row r="2430" spans="1:23" x14ac:dyDescent="0.2">
      <c r="A2430" s="14">
        <v>45107</v>
      </c>
      <c r="B2430" s="3">
        <v>-532557314232969</v>
      </c>
      <c r="C2430" s="3">
        <f>[1]!nefin_factors__1[[#This Row],[Rm_minus_Rf]]/B2429-1</f>
        <v>-5.2633175950099202</v>
      </c>
      <c r="D2430" s="3">
        <v>958873103711758</v>
      </c>
      <c r="E2430" s="3">
        <f>[1]!nefin_factors__1[[#This Row],[SMB]]/D2429-1</f>
        <v>7.9124989856891315</v>
      </c>
      <c r="F2430" s="3">
        <v>8292172682.9540701</v>
      </c>
      <c r="G2430" s="3">
        <f>[1]!nefin_factors__1[[#This Row],[HML]]/F2429-1</f>
        <v>-0.99998541117631823</v>
      </c>
      <c r="H2430" s="3">
        <v>507880373261882</v>
      </c>
      <c r="I2430" s="4">
        <f>[1]!nefin_factors__1[[#This Row],[Risk_Free]]/H2429-1</f>
        <v>0</v>
      </c>
      <c r="J2430">
        <v>118759</v>
      </c>
      <c r="K2430">
        <v>119486</v>
      </c>
      <c r="L2430">
        <v>118123</v>
      </c>
      <c r="M2430">
        <v>118288</v>
      </c>
      <c r="N2430">
        <v>11273100</v>
      </c>
      <c r="O2430">
        <v>118288</v>
      </c>
      <c r="P2430">
        <v>-3.9576281176847399E-3</v>
      </c>
      <c r="Q2430">
        <v>-3.9654802519088596E-3</v>
      </c>
      <c r="R2430" s="8">
        <v>2.2699999809265101</v>
      </c>
      <c r="S2430" s="8">
        <v>-1.30434660920572E-2</v>
      </c>
      <c r="T2430" s="9">
        <v>-1.31292791121591E-2</v>
      </c>
      <c r="U2430" s="12">
        <v>4.9036999999999997E-2</v>
      </c>
      <c r="V2430" s="16">
        <v>4.8917999999999999</v>
      </c>
      <c r="W2430" s="17">
        <f t="shared" si="37"/>
        <v>8.2443629168555965E-3</v>
      </c>
    </row>
    <row r="2431" spans="1:23" x14ac:dyDescent="0.2">
      <c r="A2431" s="15">
        <v>45110</v>
      </c>
      <c r="B2431" s="5">
        <v>107690866262412</v>
      </c>
      <c r="C2431" s="5">
        <f>[1]!nefin_factors__1[[#This Row],[Rm_minus_Rf]]/B2430-1</f>
        <v>-1.2022146037324017</v>
      </c>
      <c r="D2431" s="5">
        <v>90645051014564</v>
      </c>
      <c r="E2431" s="5">
        <f>[1]!nefin_factors__1[[#This Row],[SMB]]/D2430-1</f>
        <v>-0.9054671043919359</v>
      </c>
      <c r="F2431" s="5">
        <v>435140869825213</v>
      </c>
      <c r="G2431" s="5">
        <f>[1]!nefin_factors__1[[#This Row],[HML]]/F2430-1</f>
        <v>52475.098419864902</v>
      </c>
      <c r="H2431" s="5">
        <v>507531016169516</v>
      </c>
      <c r="I2431" s="6">
        <f>[1]!nefin_factors__1[[#This Row],[Risk_Free]]/H2430-1</f>
        <v>-6.8787279595439177E-4</v>
      </c>
      <c r="J2431">
        <v>118293</v>
      </c>
      <c r="K2431">
        <v>118458</v>
      </c>
      <c r="L2431">
        <v>117628</v>
      </c>
      <c r="M2431">
        <v>117846</v>
      </c>
      <c r="N2431">
        <v>11453800</v>
      </c>
      <c r="O2431">
        <v>117846</v>
      </c>
      <c r="P2431">
        <v>-3.7366427701880402E-3</v>
      </c>
      <c r="Q2431">
        <v>-3.74364145962525E-3</v>
      </c>
      <c r="R2431" s="8">
        <v>2.2300000190734899</v>
      </c>
      <c r="S2431" s="8">
        <v>-1.7621128717675599E-2</v>
      </c>
      <c r="T2431" s="9">
        <v>-1.7778229065734098E-2</v>
      </c>
      <c r="U2431" s="12">
        <v>4.9036999999999997E-2</v>
      </c>
      <c r="V2431" s="16">
        <v>4.9481000000000002</v>
      </c>
      <c r="W2431" s="17">
        <f t="shared" si="37"/>
        <v>1.1509055971217208E-2</v>
      </c>
    </row>
    <row r="2432" spans="1:23" x14ac:dyDescent="0.2">
      <c r="A2432" s="14">
        <v>45111</v>
      </c>
      <c r="B2432" s="3">
        <v>-590816800818256</v>
      </c>
      <c r="C2432" s="3">
        <f>[1]!nefin_factors__1[[#This Row],[Rm_minus_Rf]]/B2431-1</f>
        <v>-6.4862294391671398</v>
      </c>
      <c r="D2432" s="3">
        <v>647221651529332</v>
      </c>
      <c r="E2432" s="3">
        <f>[1]!nefin_factors__1[[#This Row],[SMB]]/D2431-1</f>
        <v>6.1401763724016494</v>
      </c>
      <c r="F2432" s="3">
        <v>255636606125273</v>
      </c>
      <c r="G2432" s="3">
        <f>[1]!nefin_factors__1[[#This Row],[HML]]/F2431-1</f>
        <v>-0.41251988987392318</v>
      </c>
      <c r="H2432" s="3">
        <v>50683221011405</v>
      </c>
      <c r="I2432" s="4">
        <f>[1]!nefin_factors__1[[#This Row],[Risk_Free]]/H2431-1</f>
        <v>-0.90013768735962973</v>
      </c>
      <c r="J2432">
        <v>117864</v>
      </c>
      <c r="K2432">
        <v>119616</v>
      </c>
      <c r="L2432">
        <v>117847</v>
      </c>
      <c r="M2432">
        <v>118695</v>
      </c>
      <c r="N2432">
        <v>9238800</v>
      </c>
      <c r="O2432">
        <v>118695</v>
      </c>
      <c r="P2432">
        <v>7.2043174991089903E-3</v>
      </c>
      <c r="Q2432">
        <v>7.1784903741473503E-3</v>
      </c>
      <c r="R2432" s="8">
        <v>2.4000000953674299</v>
      </c>
      <c r="S2432" s="8">
        <v>7.6233217417000801E-2</v>
      </c>
      <c r="T2432" s="9">
        <v>7.3467183065168695E-2</v>
      </c>
      <c r="U2432" s="12">
        <v>4.9036999999999997E-2</v>
      </c>
      <c r="V2432" s="16">
        <v>4.9812000000000003</v>
      </c>
      <c r="W2432" s="17">
        <f t="shared" si="37"/>
        <v>6.689436349305744E-3</v>
      </c>
    </row>
    <row r="2433" spans="1:23" x14ac:dyDescent="0.2">
      <c r="A2433" s="15">
        <v>45112</v>
      </c>
      <c r="B2433" s="5">
        <v>310531263646744</v>
      </c>
      <c r="C2433" s="5">
        <f>[1]!nefin_factors__1[[#This Row],[Rm_minus_Rf]]/B2432-1</f>
        <v>-1.5255965355363481</v>
      </c>
      <c r="D2433" s="5">
        <v>114374690047347</v>
      </c>
      <c r="E2433" s="5">
        <f>[1]!nefin_factors__1[[#This Row],[SMB]]/D2432-1</f>
        <v>-0.82328358487839681</v>
      </c>
      <c r="F2433" s="5">
        <v>115180398347069</v>
      </c>
      <c r="G2433" s="5">
        <f>[1]!nefin_factors__1[[#This Row],[HML]]/F2432-1</f>
        <v>-0.54943699146660707</v>
      </c>
      <c r="H2433" s="5">
        <v>506482761140292</v>
      </c>
      <c r="I2433" s="6">
        <f>[1]!nefin_factors__1[[#This Row],[Risk_Free]]/H2432-1</f>
        <v>8.993105233511514</v>
      </c>
      <c r="J2433">
        <v>118695</v>
      </c>
      <c r="K2433">
        <v>118695</v>
      </c>
      <c r="L2433">
        <v>116013</v>
      </c>
      <c r="M2433">
        <v>116145</v>
      </c>
      <c r="N2433">
        <v>12685800</v>
      </c>
      <c r="O2433">
        <v>116145</v>
      </c>
      <c r="P2433">
        <v>-2.1483634525464399E-2</v>
      </c>
      <c r="Q2433">
        <v>-2.1717767222469798E-2</v>
      </c>
      <c r="R2433" s="8">
        <v>2.2699999809265101</v>
      </c>
      <c r="S2433" s="8">
        <v>-5.4166712197990699E-2</v>
      </c>
      <c r="T2433" s="9">
        <v>-5.5688953999434597E-2</v>
      </c>
      <c r="U2433" s="12">
        <v>4.9036999999999997E-2</v>
      </c>
      <c r="V2433" s="16">
        <v>4.9771999999999998</v>
      </c>
      <c r="W2433" s="17">
        <f t="shared" si="37"/>
        <v>-8.0301935276649861E-4</v>
      </c>
    </row>
    <row r="2434" spans="1:23" x14ac:dyDescent="0.2">
      <c r="A2434" s="14">
        <v>45113</v>
      </c>
      <c r="B2434" s="3">
        <v>-175673600707429</v>
      </c>
      <c r="C2434" s="3">
        <f>[1]!nefin_factors__1[[#This Row],[Rm_minus_Rf]]/B2433-1</f>
        <v>-1.5657195306018297</v>
      </c>
      <c r="D2434" s="3">
        <v>-643095434313465</v>
      </c>
      <c r="E2434" s="3">
        <f>[1]!nefin_factors__1[[#This Row],[SMB]]/D2433-1</f>
        <v>-6.6227075592270168</v>
      </c>
      <c r="F2434" s="3">
        <v>-279310119921886</v>
      </c>
      <c r="G2434" s="3">
        <f>[1]!nefin_factors__1[[#This Row],[HML]]/F2433-1</f>
        <v>-3.4249796313453507</v>
      </c>
      <c r="H2434" s="3">
        <v>506133281528376</v>
      </c>
      <c r="I2434" s="4">
        <f>[1]!nefin_factors__1[[#This Row],[Risk_Free]]/H2433-1</f>
        <v>-6.9001284689174103E-4</v>
      </c>
      <c r="J2434">
        <v>116147</v>
      </c>
      <c r="K2434">
        <v>116968</v>
      </c>
      <c r="L2434">
        <v>115855</v>
      </c>
      <c r="M2434">
        <v>116009</v>
      </c>
      <c r="N2434">
        <v>9443500</v>
      </c>
      <c r="O2434">
        <v>116009</v>
      </c>
      <c r="P2434">
        <v>-1.1709501054716399E-3</v>
      </c>
      <c r="Q2434">
        <v>-1.17163620318948E-3</v>
      </c>
      <c r="R2434" s="8">
        <v>2.2599999904632599</v>
      </c>
      <c r="S2434" s="8">
        <v>-4.4052821794189302E-3</v>
      </c>
      <c r="T2434" s="9">
        <v>-4.4150140264977702E-3</v>
      </c>
      <c r="U2434" s="12">
        <v>4.9036999999999997E-2</v>
      </c>
      <c r="V2434" s="16">
        <v>4.9816000000000003</v>
      </c>
      <c r="W2434" s="17">
        <f t="shared" si="37"/>
        <v>8.8403118219093635E-4</v>
      </c>
    </row>
    <row r="2435" spans="1:23" x14ac:dyDescent="0.2">
      <c r="A2435" s="15">
        <v>45114</v>
      </c>
      <c r="B2435" s="5">
        <v>107792187625429</v>
      </c>
      <c r="C2435" s="5">
        <f>[1]!nefin_factors__1[[#This Row],[Rm_minus_Rf]]/B2434-1</f>
        <v>-1.6135935461637669</v>
      </c>
      <c r="D2435" s="5">
        <v>840525799755144</v>
      </c>
      <c r="E2435" s="5">
        <f>[1]!nefin_factors__1[[#This Row],[SMB]]/D2434-1</f>
        <v>-2.3070001043506787</v>
      </c>
      <c r="F2435" s="5">
        <v>68151024308701</v>
      </c>
      <c r="G2435" s="5">
        <f>[1]!nefin_factors__1[[#This Row],[HML]]/F2434-1</f>
        <v>-1.2439976909098769</v>
      </c>
      <c r="H2435" s="5">
        <v>506133281528376</v>
      </c>
      <c r="I2435" s="6">
        <f>[1]!nefin_factors__1[[#This Row],[Risk_Free]]/H2434-1</f>
        <v>0</v>
      </c>
      <c r="J2435">
        <v>116009</v>
      </c>
      <c r="K2435">
        <v>116031</v>
      </c>
      <c r="L2435">
        <v>115573</v>
      </c>
      <c r="M2435">
        <v>115925</v>
      </c>
      <c r="N2435">
        <v>9580000</v>
      </c>
      <c r="O2435">
        <v>115925</v>
      </c>
      <c r="P2435">
        <v>-7.2408175227789396E-4</v>
      </c>
      <c r="Q2435">
        <v>-7.2434402608264497E-4</v>
      </c>
      <c r="R2435" s="8">
        <v>2.3900001049041699</v>
      </c>
      <c r="S2435" s="8">
        <v>5.7522174774111499E-2</v>
      </c>
      <c r="T2435" s="9">
        <v>5.59286007719818E-2</v>
      </c>
      <c r="U2435" s="12">
        <v>4.9036999999999997E-2</v>
      </c>
      <c r="V2435" s="16">
        <v>4.9724000000000004</v>
      </c>
      <c r="W2435" s="17">
        <f t="shared" si="37"/>
        <v>-1.8467962100530144E-3</v>
      </c>
    </row>
    <row r="2436" spans="1:23" x14ac:dyDescent="0.2">
      <c r="A2436" s="14">
        <v>45117</v>
      </c>
      <c r="B2436" s="3">
        <v>-71030042496638</v>
      </c>
      <c r="C2436" s="3">
        <f>[1]!nefin_factors__1[[#This Row],[Rm_minus_Rf]]/B2435-1</f>
        <v>-1.6589535295773279</v>
      </c>
      <c r="D2436" s="3">
        <v>-382259468333927</v>
      </c>
      <c r="E2436" s="3">
        <f>[1]!nefin_factors__1[[#This Row],[SMB]]/D2435-1</f>
        <v>-1.4547861213127355</v>
      </c>
      <c r="F2436" s="3">
        <v>563924236973339</v>
      </c>
      <c r="G2436" s="3">
        <f>[1]!nefin_factors__1[[#This Row],[HML]]/F2435-1</f>
        <v>7.2746259897570091</v>
      </c>
      <c r="H2436" s="3">
        <v>504735056594319</v>
      </c>
      <c r="I2436" s="4">
        <f>[1]!nefin_factors__1[[#This Row],[Risk_Free]]/H2435-1</f>
        <v>-2.7625627183313073E-3</v>
      </c>
      <c r="J2436">
        <v>115922</v>
      </c>
      <c r="K2436">
        <v>115922</v>
      </c>
      <c r="L2436">
        <v>114162</v>
      </c>
      <c r="M2436">
        <v>114193</v>
      </c>
      <c r="N2436">
        <v>11241800</v>
      </c>
      <c r="O2436">
        <v>114193</v>
      </c>
      <c r="P2436">
        <v>-1.49406944144921E-2</v>
      </c>
      <c r="Q2436">
        <v>-1.5053430906268501E-2</v>
      </c>
      <c r="R2436" s="8">
        <v>2.4000000953674299</v>
      </c>
      <c r="S2436" s="8">
        <v>4.18409624448857E-3</v>
      </c>
      <c r="T2436" s="9">
        <v>4.1753672539504901E-3</v>
      </c>
      <c r="U2436" s="12">
        <v>4.9036999999999997E-2</v>
      </c>
      <c r="V2436" s="16">
        <v>4.9847000000000001</v>
      </c>
      <c r="W2436" s="17">
        <f t="shared" ref="W2436:W2499" si="38">V2436/V2435-1</f>
        <v>2.4736545732442217E-3</v>
      </c>
    </row>
    <row r="2437" spans="1:23" x14ac:dyDescent="0.2">
      <c r="A2437" s="15">
        <v>45118</v>
      </c>
      <c r="B2437" s="5">
        <v>-645015911837079</v>
      </c>
      <c r="C2437" s="5">
        <f>[1]!nefin_factors__1[[#This Row],[Rm_minus_Rf]]/B2436-1</f>
        <v>8.0808887220869803</v>
      </c>
      <c r="D2437" s="5">
        <v>-241544553564521</v>
      </c>
      <c r="E2437" s="5">
        <f>[1]!nefin_factors__1[[#This Row],[SMB]]/D2436-1</f>
        <v>-0.36811361503407658</v>
      </c>
      <c r="F2437" s="5">
        <v>324801982786653</v>
      </c>
      <c r="G2437" s="5">
        <f>[1]!nefin_factors__1[[#This Row],[HML]]/F2436-1</f>
        <v>-0.42403258896991003</v>
      </c>
      <c r="H2437" s="5">
        <v>504735056594319</v>
      </c>
      <c r="I2437" s="6">
        <f>[1]!nefin_factors__1[[#This Row],[Risk_Free]]/H2436-1</f>
        <v>0</v>
      </c>
      <c r="J2437">
        <v>114194</v>
      </c>
      <c r="K2437">
        <v>115340</v>
      </c>
      <c r="L2437">
        <v>113366</v>
      </c>
      <c r="M2437">
        <v>114327</v>
      </c>
      <c r="N2437">
        <v>13359300</v>
      </c>
      <c r="O2437">
        <v>114327</v>
      </c>
      <c r="P2437">
        <v>1.17345196290497E-3</v>
      </c>
      <c r="Q2437">
        <v>1.1727640062871099E-3</v>
      </c>
      <c r="R2437" s="8">
        <v>2.4700000286102299</v>
      </c>
      <c r="S2437" s="8">
        <v>2.9166637692187702E-2</v>
      </c>
      <c r="T2437" s="9">
        <v>2.8749385132645699E-2</v>
      </c>
      <c r="U2437" s="12">
        <v>4.9036999999999997E-2</v>
      </c>
      <c r="V2437" s="16">
        <v>4.9431000000000003</v>
      </c>
      <c r="W2437" s="17">
        <f t="shared" si="38"/>
        <v>-8.3455373442734571E-3</v>
      </c>
    </row>
    <row r="2438" spans="1:23" x14ac:dyDescent="0.2">
      <c r="A2438" s="14">
        <v>45119</v>
      </c>
      <c r="B2438" s="3">
        <v>-720818395111145</v>
      </c>
      <c r="C2438" s="3">
        <f>[1]!nefin_factors__1[[#This Row],[Rm_minus_Rf]]/B2437-1</f>
        <v>0.11752033071272905</v>
      </c>
      <c r="D2438" s="3">
        <v>-120654435167973</v>
      </c>
      <c r="E2438" s="3">
        <f>[1]!nefin_factors__1[[#This Row],[SMB]]/D2437-1</f>
        <v>-0.50048786698995484</v>
      </c>
      <c r="F2438" s="3">
        <v>-682554139879543</v>
      </c>
      <c r="G2438" s="3">
        <f>[1]!nefin_factors__1[[#This Row],[HML]]/F2437-1</f>
        <v>-3.1014469616950597</v>
      </c>
      <c r="H2438" s="3">
        <v>50403576015956</v>
      </c>
      <c r="I2438" s="4">
        <f>[1]!nefin_factors__1[[#This Row],[Risk_Free]]/H2437-1</f>
        <v>-0.9001385472290111</v>
      </c>
      <c r="J2438">
        <v>114875</v>
      </c>
      <c r="K2438">
        <v>115954</v>
      </c>
      <c r="L2438">
        <v>114811</v>
      </c>
      <c r="M2438">
        <v>115731</v>
      </c>
      <c r="N2438">
        <v>10387000</v>
      </c>
      <c r="O2438">
        <v>115731</v>
      </c>
      <c r="P2438">
        <v>1.22805636463827E-2</v>
      </c>
      <c r="Q2438">
        <v>1.22057692469782E-2</v>
      </c>
      <c r="R2438" s="8">
        <v>2.6500000953674299</v>
      </c>
      <c r="S2438" s="8">
        <v>7.2874520110220803E-2</v>
      </c>
      <c r="T2438" s="9">
        <v>7.0341513762865598E-2</v>
      </c>
      <c r="U2438" s="12">
        <v>4.9036999999999997E-2</v>
      </c>
      <c r="V2438" s="16">
        <v>4.8977000000000004</v>
      </c>
      <c r="W2438" s="17">
        <f t="shared" si="38"/>
        <v>-9.1845198357305424E-3</v>
      </c>
    </row>
    <row r="2439" spans="1:23" x14ac:dyDescent="0.2">
      <c r="A2439" s="15">
        <v>45120</v>
      </c>
      <c r="B2439" s="5">
        <v>976053620681428</v>
      </c>
      <c r="C2439" s="5">
        <f>[1]!nefin_factors__1[[#This Row],[Rm_minus_Rf]]/B2438-1</f>
        <v>-2.3540908879426246</v>
      </c>
      <c r="D2439" s="5">
        <v>-110819511106925</v>
      </c>
      <c r="E2439" s="5">
        <f>[1]!nefin_factors__1[[#This Row],[SMB]]/D2438-1</f>
        <v>-8.1513158197259683E-2</v>
      </c>
      <c r="F2439" s="5">
        <v>161871814672596</v>
      </c>
      <c r="G2439" s="5">
        <f>[1]!nefin_factors__1[[#This Row],[HML]]/F2438-1</f>
        <v>-1.237156007435781</v>
      </c>
      <c r="H2439" s="5">
        <v>503686065931541</v>
      </c>
      <c r="I2439" s="6">
        <f>[1]!nefin_factors__1[[#This Row],[Risk_Free]]/H2438-1</f>
        <v>8.9930621147216154</v>
      </c>
      <c r="J2439">
        <v>115742</v>
      </c>
      <c r="K2439">
        <v>116899</v>
      </c>
      <c r="L2439">
        <v>115742</v>
      </c>
      <c r="M2439">
        <v>116565</v>
      </c>
      <c r="N2439">
        <v>11143200</v>
      </c>
      <c r="O2439">
        <v>116565</v>
      </c>
      <c r="P2439">
        <v>7.2063664878037103E-3</v>
      </c>
      <c r="Q2439">
        <v>7.1805247047940198E-3</v>
      </c>
      <c r="R2439" s="8">
        <v>2.5699999332428001</v>
      </c>
      <c r="S2439" s="8">
        <v>-3.0188739337966501E-2</v>
      </c>
      <c r="T2439" s="9">
        <v>-3.0653803054277201E-2</v>
      </c>
      <c r="U2439" s="12">
        <v>4.9036999999999997E-2</v>
      </c>
      <c r="V2439" s="16">
        <v>4.8747999999999996</v>
      </c>
      <c r="W2439" s="17">
        <f t="shared" si="38"/>
        <v>-4.6756640872247512E-3</v>
      </c>
    </row>
    <row r="2440" spans="1:23" x14ac:dyDescent="0.2">
      <c r="A2440" s="14">
        <v>45121</v>
      </c>
      <c r="B2440" s="3">
        <v>-134984374517516</v>
      </c>
      <c r="C2440" s="3">
        <f>[1]!nefin_factors__1[[#This Row],[Rm_minus_Rf]]/B2439-1</f>
        <v>-1.1382960645371893</v>
      </c>
      <c r="D2440" s="3">
        <v>-643786384019598</v>
      </c>
      <c r="E2440" s="3">
        <f>[1]!nefin_factors__1[[#This Row],[SMB]]/D2439-1</f>
        <v>4.8093234448438968</v>
      </c>
      <c r="F2440" s="3">
        <v>-552681204509614</v>
      </c>
      <c r="G2440" s="3">
        <f>[1]!nefin_factors__1[[#This Row],[HML]]/F2439-1</f>
        <v>-4.4143140090662119</v>
      </c>
      <c r="H2440" s="3">
        <v>503686065931541</v>
      </c>
      <c r="I2440" s="4">
        <f>[1]!nefin_factors__1[[#This Row],[Risk_Free]]/H2439-1</f>
        <v>0</v>
      </c>
      <c r="J2440">
        <v>116565</v>
      </c>
      <c r="K2440">
        <v>116672</v>
      </c>
      <c r="L2440">
        <v>114761</v>
      </c>
      <c r="M2440">
        <v>115057</v>
      </c>
      <c r="N2440">
        <v>8524900</v>
      </c>
      <c r="O2440">
        <v>115057</v>
      </c>
      <c r="P2440">
        <v>-1.29369879466392E-2</v>
      </c>
      <c r="Q2440">
        <v>-1.3021399587116801E-2</v>
      </c>
      <c r="R2440" s="8">
        <v>2.4500000476837198</v>
      </c>
      <c r="S2440" s="8">
        <v>-4.66925636872167E-2</v>
      </c>
      <c r="T2440" s="9">
        <v>-4.78178289121865E-2</v>
      </c>
      <c r="U2440" s="12">
        <v>4.9036999999999997E-2</v>
      </c>
      <c r="V2440" s="16">
        <v>4.8772000000000002</v>
      </c>
      <c r="W2440" s="17">
        <f t="shared" si="38"/>
        <v>4.9232789037501057E-4</v>
      </c>
    </row>
    <row r="2441" spans="1:23" x14ac:dyDescent="0.2">
      <c r="A2441" s="15">
        <v>45124</v>
      </c>
      <c r="B2441" s="5">
        <v>48490798190061</v>
      </c>
      <c r="C2441" s="5">
        <f>[1]!nefin_factors__1[[#This Row],[Rm_minus_Rf]]/B2440-1</f>
        <v>-1.3592326768441534</v>
      </c>
      <c r="D2441" s="5">
        <v>548975687980698</v>
      </c>
      <c r="E2441" s="5">
        <f>[1]!nefin_factors__1[[#This Row],[SMB]]/D2440-1</f>
        <v>-1.8527295724290842</v>
      </c>
      <c r="F2441" s="5">
        <v>268927510631622</v>
      </c>
      <c r="G2441" s="5">
        <f>[1]!nefin_factors__1[[#This Row],[HML]]/F2440-1</f>
        <v>-1.4865870386713032</v>
      </c>
      <c r="H2441" s="5">
        <v>501937134467445</v>
      </c>
      <c r="I2441" s="6">
        <f>[1]!nefin_factors__1[[#This Row],[Risk_Free]]/H2440-1</f>
        <v>-3.4722649332405986E-3</v>
      </c>
      <c r="J2441">
        <v>115055</v>
      </c>
      <c r="K2441">
        <v>115056</v>
      </c>
      <c r="L2441">
        <v>113151</v>
      </c>
      <c r="M2441">
        <v>113419</v>
      </c>
      <c r="N2441">
        <v>11104800</v>
      </c>
      <c r="O2441">
        <v>113419</v>
      </c>
      <c r="P2441">
        <v>-1.42364219473826E-2</v>
      </c>
      <c r="Q2441">
        <v>-1.4338731982347299E-2</v>
      </c>
      <c r="R2441" s="8">
        <v>2.3900001049041699</v>
      </c>
      <c r="S2441" s="8">
        <v>-2.44897720864399E-2</v>
      </c>
      <c r="T2441" s="9">
        <v>-2.4794634182998099E-2</v>
      </c>
      <c r="U2441" s="12">
        <v>4.9036999999999997E-2</v>
      </c>
      <c r="V2441" s="16">
        <v>4.8937999999999997</v>
      </c>
      <c r="W2441" s="17">
        <f t="shared" si="38"/>
        <v>3.4035922250470474E-3</v>
      </c>
    </row>
    <row r="2442" spans="1:23" x14ac:dyDescent="0.2">
      <c r="A2442" s="14">
        <v>45125</v>
      </c>
      <c r="B2442" s="3">
        <v>-293174252447997</v>
      </c>
      <c r="C2442" s="3">
        <f>[1]!nefin_factors__1[[#This Row],[Rm_minus_Rf]]/B2441-1</f>
        <v>-7.0459770387547049</v>
      </c>
      <c r="D2442" s="3">
        <v>143364074520603</v>
      </c>
      <c r="E2442" s="3">
        <f>[1]!nefin_factors__1[[#This Row],[SMB]]/D2441-1</f>
        <v>-0.7388516874983293</v>
      </c>
      <c r="F2442" s="3">
        <v>125523845860694</v>
      </c>
      <c r="G2442" s="3">
        <f>[1]!nefin_factors__1[[#This Row],[HML]]/F2441-1</f>
        <v>-0.53324282232829257</v>
      </c>
      <c r="H2442" s="3">
        <v>501587256072078</v>
      </c>
      <c r="I2442" s="4">
        <f>[1]!nefin_factors__1[[#This Row],[Risk_Free]]/H2441-1</f>
        <v>-6.9705620752336106E-4</v>
      </c>
      <c r="J2442">
        <v>113430</v>
      </c>
      <c r="K2442">
        <v>114075</v>
      </c>
      <c r="L2442">
        <v>113036</v>
      </c>
      <c r="M2442">
        <v>113607</v>
      </c>
      <c r="N2442">
        <v>10813800</v>
      </c>
      <c r="O2442">
        <v>113607</v>
      </c>
      <c r="P2442">
        <v>1.6575706010457699E-3</v>
      </c>
      <c r="Q2442">
        <v>1.65619834709297E-3</v>
      </c>
      <c r="R2442" s="8">
        <v>2.5699999332428001</v>
      </c>
      <c r="S2442" s="8">
        <v>7.5313732400794198E-2</v>
      </c>
      <c r="T2442" s="9">
        <v>7.2612463095184598E-2</v>
      </c>
      <c r="U2442" s="12">
        <v>4.9036999999999997E-2</v>
      </c>
      <c r="V2442" s="16">
        <v>4.8705999999999996</v>
      </c>
      <c r="W2442" s="17">
        <f t="shared" si="38"/>
        <v>-4.7406923045486549E-3</v>
      </c>
    </row>
    <row r="2443" spans="1:23" x14ac:dyDescent="0.2">
      <c r="A2443" s="15">
        <v>45126</v>
      </c>
      <c r="B2443" s="5">
        <v>-238189432249307</v>
      </c>
      <c r="C2443" s="5">
        <f>[1]!nefin_factors__1[[#This Row],[Rm_minus_Rf]]/B2442-1</f>
        <v>-0.18754996299834736</v>
      </c>
      <c r="D2443" s="5">
        <v>-269647880205327</v>
      </c>
      <c r="E2443" s="5">
        <f>[1]!nefin_factors__1[[#This Row],[SMB]]/D2442-1</f>
        <v>-2.8808608858739966</v>
      </c>
      <c r="F2443" s="5">
        <v>-184022058294504</v>
      </c>
      <c r="G2443" s="5">
        <f>[1]!nefin_factors__1[[#This Row],[HML]]/F2442-1</f>
        <v>-2.4660326652095343</v>
      </c>
      <c r="H2443" s="5">
        <v>501237346963501</v>
      </c>
      <c r="I2443" s="6">
        <f>[1]!nefin_factors__1[[#This Row],[Risk_Free]]/H2442-1</f>
        <v>-6.9760366584492584E-4</v>
      </c>
      <c r="J2443">
        <v>113609</v>
      </c>
      <c r="K2443">
        <v>114359</v>
      </c>
      <c r="L2443">
        <v>112705</v>
      </c>
      <c r="M2443">
        <v>113284</v>
      </c>
      <c r="N2443">
        <v>9507200</v>
      </c>
      <c r="O2443">
        <v>113284</v>
      </c>
      <c r="P2443">
        <v>-2.8431346659977298E-3</v>
      </c>
      <c r="Q2443">
        <v>-2.8471840504804102E-3</v>
      </c>
      <c r="R2443" s="8">
        <v>2.6600000858306898</v>
      </c>
      <c r="S2443" s="8">
        <v>3.5019515535290098E-2</v>
      </c>
      <c r="T2443" s="9">
        <v>3.4420282129220298E-2</v>
      </c>
      <c r="U2443" s="12">
        <v>4.9036999999999997E-2</v>
      </c>
      <c r="V2443" s="16">
        <v>4.8653000000000004</v>
      </c>
      <c r="W2443" s="17">
        <f t="shared" si="38"/>
        <v>-1.0881616227979007E-3</v>
      </c>
    </row>
    <row r="2444" spans="1:23" x14ac:dyDescent="0.2">
      <c r="A2444" s="14">
        <v>45127</v>
      </c>
      <c r="B2444" s="3">
        <v>431392478213762</v>
      </c>
      <c r="C2444" s="3">
        <f>[1]!nefin_factors__1[[#This Row],[Rm_minus_Rf]]/B2443-1</f>
        <v>-2.8111318967427326</v>
      </c>
      <c r="D2444" s="3">
        <v>-198051826322381</v>
      </c>
      <c r="E2444" s="3">
        <f>[1]!nefin_factors__1[[#This Row],[SMB]]/D2443-1</f>
        <v>-0.26551684303406431</v>
      </c>
      <c r="F2444" s="3">
        <v>-402655096038812</v>
      </c>
      <c r="G2444" s="3">
        <f>[1]!nefin_factors__1[[#This Row],[HML]]/F2443-1</f>
        <v>1.1880806016983763</v>
      </c>
      <c r="H2444" s="3">
        <v>500887407135941</v>
      </c>
      <c r="I2444" s="4">
        <f>[1]!nefin_factors__1[[#This Row],[Risk_Free]]/H2443-1</f>
        <v>-6.9815194274713832E-4</v>
      </c>
      <c r="J2444">
        <v>113283</v>
      </c>
      <c r="K2444">
        <v>114491</v>
      </c>
      <c r="L2444">
        <v>111599</v>
      </c>
      <c r="M2444">
        <v>114170</v>
      </c>
      <c r="N2444">
        <v>13138200</v>
      </c>
      <c r="O2444">
        <v>114170</v>
      </c>
      <c r="P2444">
        <v>7.8210515165424398E-3</v>
      </c>
      <c r="Q2444">
        <v>7.7906256317721596E-3</v>
      </c>
      <c r="R2444" s="8">
        <v>2.5899999141693102</v>
      </c>
      <c r="S2444" s="8">
        <v>-2.63158531588982E-2</v>
      </c>
      <c r="T2444" s="9">
        <v>-2.66683124885994E-2</v>
      </c>
      <c r="U2444" s="12">
        <v>4.9036999999999997E-2</v>
      </c>
      <c r="V2444" s="16">
        <v>4.9218999999999999</v>
      </c>
      <c r="W2444" s="17">
        <f t="shared" si="38"/>
        <v>1.1633403901095463E-2</v>
      </c>
    </row>
    <row r="2445" spans="1:23" x14ac:dyDescent="0.2">
      <c r="A2445" s="15">
        <v>45128</v>
      </c>
      <c r="B2445" s="5">
        <v>169885317192595</v>
      </c>
      <c r="C2445" s="5">
        <f>[1]!nefin_factors__1[[#This Row],[Rm_minus_Rf]]/B2444-1</f>
        <v>-0.60619314018633852</v>
      </c>
      <c r="D2445" s="5">
        <v>-168615366743012</v>
      </c>
      <c r="E2445" s="5">
        <f>[1]!nefin_factors__1[[#This Row],[SMB]]/D2444-1</f>
        <v>-0.14863008398343924</v>
      </c>
      <c r="F2445" s="5">
        <v>-491597905054543</v>
      </c>
      <c r="G2445" s="5">
        <f>[1]!nefin_factors__1[[#This Row],[HML]]/F2444-1</f>
        <v>0.22089080677413753</v>
      </c>
      <c r="H2445" s="5">
        <v>499137247026438</v>
      </c>
      <c r="I2445" s="6">
        <f>[1]!nefin_factors__1[[#This Row],[Risk_Free]]/H2444-1</f>
        <v>-3.4941188070795048E-3</v>
      </c>
      <c r="J2445">
        <v>114169</v>
      </c>
      <c r="K2445">
        <v>115219</v>
      </c>
      <c r="L2445">
        <v>113448</v>
      </c>
      <c r="M2445">
        <v>115156</v>
      </c>
      <c r="N2445">
        <v>9474400</v>
      </c>
      <c r="O2445">
        <v>115156</v>
      </c>
      <c r="P2445">
        <v>8.6362441972496207E-3</v>
      </c>
      <c r="Q2445">
        <v>8.5991651697529901E-3</v>
      </c>
      <c r="R2445" s="8">
        <v>2.6700000762939502</v>
      </c>
      <c r="S2445" s="8">
        <v>3.0888094508023201E-2</v>
      </c>
      <c r="T2445" s="9">
        <v>3.0420658414485199E-2</v>
      </c>
      <c r="U2445" s="12">
        <v>4.9036999999999997E-2</v>
      </c>
      <c r="V2445" s="16">
        <v>4.9318</v>
      </c>
      <c r="W2445" s="17">
        <f t="shared" si="38"/>
        <v>2.0114183547004227E-3</v>
      </c>
    </row>
    <row r="2446" spans="1:23" x14ac:dyDescent="0.2">
      <c r="A2446" s="14">
        <v>45131</v>
      </c>
      <c r="B2446" s="3">
        <v>733989945618136</v>
      </c>
      <c r="C2446" s="3">
        <f>[1]!nefin_factors__1[[#This Row],[Rm_minus_Rf]]/B2445-1</f>
        <v>3.320502546938938</v>
      </c>
      <c r="D2446" s="3">
        <v>-659252903366573</v>
      </c>
      <c r="E2446" s="3">
        <f>[1]!nefin_factors__1[[#This Row],[SMB]]/D2445-1</f>
        <v>2.9098032172319472</v>
      </c>
      <c r="F2446" s="3">
        <v>-42192218511244</v>
      </c>
      <c r="G2446" s="3">
        <f>[1]!nefin_factors__1[[#This Row],[HML]]/F2445-1</f>
        <v>-0.91417331506617638</v>
      </c>
      <c r="H2446" s="3">
        <v>498787122772182</v>
      </c>
      <c r="I2446" s="4">
        <f>[1]!nefin_factors__1[[#This Row],[Risk_Free]]/H2445-1</f>
        <v>-7.0145887998107614E-4</v>
      </c>
      <c r="J2446">
        <v>115158</v>
      </c>
      <c r="K2446">
        <v>116900</v>
      </c>
      <c r="L2446">
        <v>115158</v>
      </c>
      <c r="M2446">
        <v>116737</v>
      </c>
      <c r="N2446">
        <v>11621500</v>
      </c>
      <c r="O2446">
        <v>116737</v>
      </c>
      <c r="P2446">
        <v>1.3729202125812001E-2</v>
      </c>
      <c r="Q2446">
        <v>1.3635810454851099E-2</v>
      </c>
      <c r="R2446" s="8">
        <v>3.1099998950958301</v>
      </c>
      <c r="S2446" s="8">
        <v>0.16479393491726599</v>
      </c>
      <c r="T2446" s="9">
        <v>0.15254419147322701</v>
      </c>
      <c r="U2446" s="12">
        <v>4.9036999999999997E-2</v>
      </c>
      <c r="V2446" s="16">
        <v>4.9176000000000002</v>
      </c>
      <c r="W2446" s="17">
        <f t="shared" si="38"/>
        <v>-2.8792732876433691E-3</v>
      </c>
    </row>
    <row r="2447" spans="1:23" x14ac:dyDescent="0.2">
      <c r="A2447" s="15">
        <v>45132</v>
      </c>
      <c r="B2447" s="5">
        <v>419445665954113</v>
      </c>
      <c r="C2447" s="5">
        <f>[1]!nefin_factors__1[[#This Row],[Rm_minus_Rf]]/B2446-1</f>
        <v>-0.42854031113345403</v>
      </c>
      <c r="D2447" s="5">
        <v>573570215837799</v>
      </c>
      <c r="E2447" s="5">
        <f>[1]!nefin_factors__1[[#This Row],[SMB]]/D2446-1</f>
        <v>-1.8700306254379426</v>
      </c>
      <c r="F2447" s="5">
        <v>879283522603409</v>
      </c>
      <c r="G2447" s="5">
        <f>[1]!nefin_factors__1[[#This Row],[HML]]/F2446-1</f>
        <v>-21.83994522281602</v>
      </c>
      <c r="H2447" s="5">
        <v>497736565448159</v>
      </c>
      <c r="I2447" s="6">
        <f>[1]!nefin_factors__1[[#This Row],[Risk_Free]]/H2446-1</f>
        <v>-2.1062238298859004E-3</v>
      </c>
      <c r="J2447">
        <v>116737</v>
      </c>
      <c r="K2447">
        <v>117099</v>
      </c>
      <c r="L2447">
        <v>116231</v>
      </c>
      <c r="M2447">
        <v>117051</v>
      </c>
      <c r="N2447">
        <v>9949800</v>
      </c>
      <c r="O2447">
        <v>117051</v>
      </c>
      <c r="P2447">
        <v>2.68980700206445E-3</v>
      </c>
      <c r="Q2447">
        <v>2.68619594512505E-3</v>
      </c>
      <c r="R2447" s="8">
        <v>3.0299999713897701</v>
      </c>
      <c r="S2447" s="8">
        <v>-2.5723449004678999E-2</v>
      </c>
      <c r="T2447" s="9">
        <v>-2.6060082380938501E-2</v>
      </c>
      <c r="U2447" s="12">
        <v>4.9036999999999997E-2</v>
      </c>
      <c r="V2447" s="16">
        <v>4.9705000000000004</v>
      </c>
      <c r="W2447" s="17">
        <f t="shared" si="38"/>
        <v>1.0757279973971023E-2</v>
      </c>
    </row>
    <row r="2448" spans="1:23" x14ac:dyDescent="0.2">
      <c r="A2448" s="14">
        <v>45133</v>
      </c>
      <c r="B2448" s="3">
        <v>360733404407126</v>
      </c>
      <c r="C2448" s="3">
        <f>[1]!nefin_factors__1[[#This Row],[Rm_minus_Rf]]/B2447-1</f>
        <v>-0.13997584505596028</v>
      </c>
      <c r="D2448" s="3">
        <v>-528101937123812</v>
      </c>
      <c r="E2448" s="3">
        <f>[1]!nefin_factors__1[[#This Row],[SMB]]/D2447-1</f>
        <v>-1.9207276154540684</v>
      </c>
      <c r="F2448" s="3">
        <v>-21945655544734</v>
      </c>
      <c r="G2448" s="3">
        <f>[1]!nefin_factors__1[[#This Row],[HML]]/F2447-1</f>
        <v>-1.0249585656737392</v>
      </c>
      <c r="H2448" s="3">
        <v>496685731167457</v>
      </c>
      <c r="I2448" s="4">
        <f>[1]!nefin_factors__1[[#This Row],[Risk_Free]]/H2447-1</f>
        <v>-2.1112258042682575E-3</v>
      </c>
      <c r="J2448">
        <v>117050</v>
      </c>
      <c r="K2448">
        <v>117070</v>
      </c>
      <c r="L2448">
        <v>115658</v>
      </c>
      <c r="M2448">
        <v>115754</v>
      </c>
      <c r="N2448">
        <v>10609300</v>
      </c>
      <c r="O2448">
        <v>115754</v>
      </c>
      <c r="P2448">
        <v>-1.1080640062878599E-2</v>
      </c>
      <c r="Q2448">
        <v>-1.1142487653287901E-2</v>
      </c>
      <c r="R2448" s="8">
        <v>2.9200000762939502</v>
      </c>
      <c r="S2448" s="8">
        <v>-3.6303596083986603E-2</v>
      </c>
      <c r="T2448" s="9">
        <v>-3.6978967670704299E-2</v>
      </c>
      <c r="U2448" s="12">
        <v>4.9036999999999997E-2</v>
      </c>
      <c r="V2448" s="16">
        <v>4.9762000000000004</v>
      </c>
      <c r="W2448" s="17">
        <f t="shared" si="38"/>
        <v>1.1467659189217105E-3</v>
      </c>
    </row>
    <row r="2449" spans="1:23" x14ac:dyDescent="0.2">
      <c r="A2449" s="15">
        <v>45134</v>
      </c>
      <c r="B2449" s="5">
        <v>-196494432273634</v>
      </c>
      <c r="C2449" s="5">
        <f>[1]!nefin_factors__1[[#This Row],[Rm_minus_Rf]]/B2448-1</f>
        <v>-1.5447081691715723</v>
      </c>
      <c r="D2449" s="5">
        <v>16157899002817</v>
      </c>
      <c r="E2449" s="5">
        <f>[1]!nefin_factors__1[[#This Row],[SMB]]/D2448-1</f>
        <v>-1.0305961744636223</v>
      </c>
      <c r="F2449" s="5">
        <v>-769804400058163</v>
      </c>
      <c r="G2449" s="5">
        <f>[1]!nefin_factors__1[[#This Row],[HML]]/F2448-1</f>
        <v>34.077758260125542</v>
      </c>
      <c r="H2449" s="5">
        <v>496335391502623</v>
      </c>
      <c r="I2449" s="6">
        <f>[1]!nefin_factors__1[[#This Row],[Risk_Free]]/H2448-1</f>
        <v>-7.0535480053057764E-4</v>
      </c>
      <c r="J2449">
        <v>115760</v>
      </c>
      <c r="K2449">
        <v>116905</v>
      </c>
      <c r="L2449">
        <v>115760</v>
      </c>
      <c r="M2449">
        <v>116534</v>
      </c>
      <c r="N2449">
        <v>8989900</v>
      </c>
      <c r="O2449">
        <v>116534</v>
      </c>
      <c r="P2449">
        <v>6.7384280456830297E-3</v>
      </c>
      <c r="Q2449">
        <v>6.7158263160283097E-3</v>
      </c>
      <c r="R2449" s="8">
        <v>2.9200000762939502</v>
      </c>
      <c r="S2449" s="8">
        <v>0</v>
      </c>
      <c r="T2449" s="9">
        <v>0</v>
      </c>
      <c r="U2449" s="12">
        <v>4.9036999999999997E-2</v>
      </c>
      <c r="V2449" s="16">
        <v>4.9835000000000003</v>
      </c>
      <c r="W2449" s="17">
        <f t="shared" si="38"/>
        <v>1.4669828383102601E-3</v>
      </c>
    </row>
    <row r="2450" spans="1:23" x14ac:dyDescent="0.2">
      <c r="A2450" s="14">
        <v>45135</v>
      </c>
      <c r="B2450" s="3">
        <v>366978741714089</v>
      </c>
      <c r="C2450" s="3">
        <f>[1]!nefin_factors__1[[#This Row],[Rm_minus_Rf]]/B2449-1</f>
        <v>-2.8676292120228739</v>
      </c>
      <c r="D2450" s="3">
        <v>634597468940089</v>
      </c>
      <c r="E2450" s="3">
        <f>[1]!nefin_factors__1[[#This Row],[SMB]]/D2449-1</f>
        <v>38.274751552132614</v>
      </c>
      <c r="F2450" s="3">
        <v>44772141371842</v>
      </c>
      <c r="G2450" s="3">
        <f>[1]!nefin_factors__1[[#This Row],[HML]]/F2449-1</f>
        <v>-1.0581604123962649</v>
      </c>
      <c r="H2450" s="3">
        <v>496685731167457</v>
      </c>
      <c r="I2450" s="4">
        <f>[1]!nefin_factors__1[[#This Row],[Risk_Free]]/H2449-1</f>
        <v>7.0585267710487898E-4</v>
      </c>
      <c r="J2450">
        <v>116526</v>
      </c>
      <c r="K2450">
        <v>116917</v>
      </c>
      <c r="L2450">
        <v>115564</v>
      </c>
      <c r="M2450">
        <v>115908</v>
      </c>
      <c r="N2450">
        <v>10371700</v>
      </c>
      <c r="O2450">
        <v>115908</v>
      </c>
      <c r="P2450">
        <v>-5.3718228156589597E-3</v>
      </c>
      <c r="Q2450">
        <v>-5.3863029355463296E-3</v>
      </c>
      <c r="R2450" s="8">
        <v>2.7999999523162802</v>
      </c>
      <c r="S2450" s="8">
        <v>-4.1095931795304901E-2</v>
      </c>
      <c r="T2450" s="9">
        <v>-4.1964242256993897E-2</v>
      </c>
      <c r="U2450" s="12">
        <v>4.9036999999999997E-2</v>
      </c>
      <c r="V2450" s="16">
        <v>4.9366000000000003</v>
      </c>
      <c r="W2450" s="17">
        <f t="shared" si="38"/>
        <v>-9.4110564864051671E-3</v>
      </c>
    </row>
    <row r="2451" spans="1:23" x14ac:dyDescent="0.2">
      <c r="A2451" s="15">
        <v>45138</v>
      </c>
      <c r="B2451" s="5">
        <v>115959398710105</v>
      </c>
      <c r="C2451" s="5">
        <f>[1]!nefin_factors__1[[#This Row],[Rm_minus_Rf]]/B2450-1</f>
        <v>-0.68401603273126843</v>
      </c>
      <c r="D2451" s="5">
        <v>-227190319228701</v>
      </c>
      <c r="E2451" s="5">
        <f>[1]!nefin_factors__1[[#This Row],[SMB]]/D2450-1</f>
        <v>-1.3580069734727378</v>
      </c>
      <c r="F2451" s="5">
        <v>589376066635513</v>
      </c>
      <c r="G2451" s="5">
        <f>[1]!nefin_factors__1[[#This Row],[HML]]/F2450-1</f>
        <v>12.163901671367949</v>
      </c>
      <c r="H2451" s="5">
        <v>495284187718825</v>
      </c>
      <c r="I2451" s="6">
        <f>[1]!nefin_factors__1[[#This Row],[Risk_Free]]/H2450-1</f>
        <v>-2.8217912468265771E-3</v>
      </c>
      <c r="J2451">
        <v>115907</v>
      </c>
      <c r="K2451">
        <v>115907</v>
      </c>
      <c r="L2451">
        <v>113952</v>
      </c>
      <c r="M2451">
        <v>114060</v>
      </c>
      <c r="N2451">
        <v>15492200</v>
      </c>
      <c r="O2451">
        <v>114060</v>
      </c>
      <c r="P2451">
        <v>-1.5943679469924501E-2</v>
      </c>
      <c r="Q2451">
        <v>-1.6072147256766402E-2</v>
      </c>
      <c r="R2451" s="8">
        <v>2.71000003814697</v>
      </c>
      <c r="S2451" s="8">
        <v>-3.21428270364289E-2</v>
      </c>
      <c r="T2451" s="9">
        <v>-3.2670751183276503E-2</v>
      </c>
      <c r="U2451" s="12">
        <v>4.9036999999999997E-2</v>
      </c>
      <c r="V2451" s="16">
        <v>4.9504999999999999</v>
      </c>
      <c r="W2451" s="17">
        <f t="shared" si="38"/>
        <v>2.8157031155044976E-3</v>
      </c>
    </row>
    <row r="2452" spans="1:23" x14ac:dyDescent="0.2">
      <c r="A2452" s="14">
        <v>45139</v>
      </c>
      <c r="B2452" s="3">
        <v>-41907294628217</v>
      </c>
      <c r="C2452" s="3">
        <f>[1]!nefin_factors__1[[#This Row],[Rm_minus_Rf]]/B2451-1</f>
        <v>-1.3613962739922787</v>
      </c>
      <c r="D2452" s="3">
        <v>653167045464584</v>
      </c>
      <c r="E2452" s="3">
        <f>[1]!nefin_factors__1[[#This Row],[SMB]]/D2451-1</f>
        <v>-3.8749774536258905</v>
      </c>
      <c r="F2452" s="3">
        <v>-171814925599027</v>
      </c>
      <c r="G2452" s="3">
        <f>[1]!nefin_factors__1[[#This Row],[HML]]/F2451-1</f>
        <v>-1.2915200248626353</v>
      </c>
      <c r="H2452" s="3">
        <v>495634619783747</v>
      </c>
      <c r="I2452" s="4">
        <f>[1]!nefin_factors__1[[#This Row],[Risk_Free]]/H2451-1</f>
        <v>7.0753735655482153E-4</v>
      </c>
      <c r="J2452">
        <v>114059</v>
      </c>
      <c r="K2452">
        <v>115063</v>
      </c>
      <c r="L2452">
        <v>113768</v>
      </c>
      <c r="M2452">
        <v>114004</v>
      </c>
      <c r="N2452">
        <v>11497600</v>
      </c>
      <c r="O2452">
        <v>114004</v>
      </c>
      <c r="P2452">
        <v>-4.9096966508854799E-4</v>
      </c>
      <c r="Q2452">
        <v>-4.9109023015870895E-4</v>
      </c>
      <c r="R2452" s="8">
        <v>2.5599999427795401</v>
      </c>
      <c r="S2452" s="8">
        <v>-5.5350587917333702E-2</v>
      </c>
      <c r="T2452" s="9">
        <v>-5.6941412828254101E-2</v>
      </c>
      <c r="U2452" s="12">
        <v>4.9036999999999997E-2</v>
      </c>
      <c r="V2452" s="16">
        <v>4.9170999999999996</v>
      </c>
      <c r="W2452" s="17">
        <f t="shared" si="38"/>
        <v>-6.7467932532068176E-3</v>
      </c>
    </row>
    <row r="2453" spans="1:23" x14ac:dyDescent="0.2">
      <c r="A2453" s="15">
        <v>45140</v>
      </c>
      <c r="B2453" s="5">
        <v>-202862267276</v>
      </c>
      <c r="C2453" s="5">
        <f>[1]!nefin_factors__1[[#This Row],[Rm_minus_Rf]]/B2452-1</f>
        <v>-0.99515926119603515</v>
      </c>
      <c r="D2453" s="5">
        <v>655187525836343</v>
      </c>
      <c r="E2453" s="5">
        <f>[1]!nefin_factors__1[[#This Row],[SMB]]/D2452-1</f>
        <v>3.0933593263602344E-3</v>
      </c>
      <c r="F2453" s="5">
        <v>344740441578026</v>
      </c>
      <c r="G2453" s="5">
        <f>[1]!nefin_factors__1[[#This Row],[HML]]/F2452-1</f>
        <v>-3.0064638760346343</v>
      </c>
      <c r="H2453" s="5">
        <v>49598502104331</v>
      </c>
      <c r="I2453" s="6">
        <f>[1]!nefin_factors__1[[#This Row],[Risk_Free]]/H2452-1</f>
        <v>-0.89992930250519709</v>
      </c>
      <c r="J2453">
        <v>113996</v>
      </c>
      <c r="K2453">
        <v>114090</v>
      </c>
      <c r="L2453">
        <v>112533</v>
      </c>
      <c r="M2453">
        <v>113155</v>
      </c>
      <c r="N2453">
        <v>11739200</v>
      </c>
      <c r="O2453">
        <v>113155</v>
      </c>
      <c r="P2453">
        <v>-7.4471071190484999E-3</v>
      </c>
      <c r="Q2453">
        <v>-7.4749752655244202E-3</v>
      </c>
      <c r="R2453" s="8">
        <v>2.5</v>
      </c>
      <c r="S2453" s="8">
        <v>-2.3437478172126699E-2</v>
      </c>
      <c r="T2453" s="9">
        <v>-2.3716504265574E-2</v>
      </c>
      <c r="U2453" s="12">
        <v>4.9036999999999997E-2</v>
      </c>
      <c r="V2453" s="16">
        <v>4.8750999999999998</v>
      </c>
      <c r="W2453" s="17">
        <f t="shared" si="38"/>
        <v>-8.541620060604771E-3</v>
      </c>
    </row>
    <row r="2454" spans="1:23" x14ac:dyDescent="0.2">
      <c r="A2454" s="14">
        <v>45141</v>
      </c>
      <c r="B2454" s="3">
        <v>-291021119066596</v>
      </c>
      <c r="C2454" s="3">
        <f>[1]!nefin_factors__1[[#This Row],[Rm_minus_Rf]]/B2453-1</f>
        <v>1433.5749112162555</v>
      </c>
      <c r="D2454" s="3">
        <v>987304403573995</v>
      </c>
      <c r="E2454" s="3">
        <f>[1]!nefin_factors__1[[#This Row],[SMB]]/D2453-1</f>
        <v>0.5069035423311925</v>
      </c>
      <c r="F2454" s="3">
        <v>-366022294306845</v>
      </c>
      <c r="G2454" s="3">
        <f>[1]!nefin_factors__1[[#This Row],[HML]]/F2453-1</f>
        <v>-2.0617329740351984</v>
      </c>
      <c r="H2454" s="3">
        <v>49037490119197</v>
      </c>
      <c r="I2454" s="4">
        <f>[1]!nefin_factors__1[[#This Row],[Risk_Free]]/H2453-1</f>
        <v>-1.131106709541152E-2</v>
      </c>
      <c r="J2454">
        <v>113145</v>
      </c>
      <c r="K2454">
        <v>113680</v>
      </c>
      <c r="L2454">
        <v>112164</v>
      </c>
      <c r="M2454">
        <v>112785</v>
      </c>
      <c r="N2454">
        <v>10701800</v>
      </c>
      <c r="O2454">
        <v>112785</v>
      </c>
      <c r="P2454">
        <v>-3.2698510892139598E-3</v>
      </c>
      <c r="Q2454">
        <v>-3.2752087346098499E-3</v>
      </c>
      <c r="R2454" s="8">
        <v>2.7300000190734899</v>
      </c>
      <c r="S2454" s="8">
        <v>9.2000007629394503E-2</v>
      </c>
      <c r="T2454" s="9">
        <v>8.8010884309338303E-2</v>
      </c>
      <c r="U2454" s="12">
        <v>4.9036999999999997E-2</v>
      </c>
      <c r="V2454" s="16">
        <v>4.8689</v>
      </c>
      <c r="W2454" s="17">
        <f t="shared" si="38"/>
        <v>-1.2717687842299652E-3</v>
      </c>
    </row>
    <row r="2455" spans="1:23" x14ac:dyDescent="0.2">
      <c r="A2455" s="15">
        <v>45142</v>
      </c>
      <c r="B2455" s="5">
        <v>-742091611052159</v>
      </c>
      <c r="C2455" s="5">
        <f>[1]!nefin_factors__1[[#This Row],[Rm_minus_Rf]]/B2454-1</f>
        <v>1.5499579323737738</v>
      </c>
      <c r="D2455" s="5">
        <v>105530478358835</v>
      </c>
      <c r="E2455" s="5">
        <f>[1]!nefin_factors__1[[#This Row],[SMB]]/D2454-1</f>
        <v>-0.89311252134922148</v>
      </c>
      <c r="F2455" s="5">
        <v>-845378724259384</v>
      </c>
      <c r="G2455" s="5">
        <f>[1]!nefin_factors__1[[#This Row],[HML]]/F2454-1</f>
        <v>1.3096372472620024</v>
      </c>
      <c r="H2455" s="5">
        <v>49037490119197</v>
      </c>
      <c r="I2455" s="6">
        <f>[1]!nefin_factors__1[[#This Row],[Risk_Free]]/H2454-1</f>
        <v>0</v>
      </c>
      <c r="J2455">
        <v>112814</v>
      </c>
      <c r="K2455">
        <v>114249</v>
      </c>
      <c r="L2455">
        <v>112814</v>
      </c>
      <c r="M2455">
        <v>113762</v>
      </c>
      <c r="N2455">
        <v>10711800</v>
      </c>
      <c r="O2455">
        <v>113762</v>
      </c>
      <c r="P2455">
        <v>8.6624994458484005E-3</v>
      </c>
      <c r="Q2455">
        <v>8.6251952743004699E-3</v>
      </c>
      <c r="R2455" s="8">
        <v>2.8800001144409202</v>
      </c>
      <c r="S2455" s="8">
        <v>5.4945089494299298E-2</v>
      </c>
      <c r="T2455" s="9">
        <v>5.3488717700790202E-2</v>
      </c>
      <c r="U2455" s="12">
        <v>4.9036999999999997E-2</v>
      </c>
      <c r="V2455" s="16">
        <v>4.8535000000000004</v>
      </c>
      <c r="W2455" s="17">
        <f t="shared" si="38"/>
        <v>-3.1629320791143334E-3</v>
      </c>
    </row>
    <row r="2456" spans="1:23" x14ac:dyDescent="0.2">
      <c r="A2456" s="14">
        <v>45145</v>
      </c>
      <c r="B2456" s="3">
        <v>-283096415495903</v>
      </c>
      <c r="C2456" s="3">
        <f>[1]!nefin_factors__1[[#This Row],[Rm_minus_Rf]]/B2455-1</f>
        <v>-0.6185155427178044</v>
      </c>
      <c r="D2456" s="3">
        <v>-1048397204752</v>
      </c>
      <c r="E2456" s="3">
        <f>[1]!nefin_factors__1[[#This Row],[SMB]]/D2455-1</f>
        <v>-1.0099345442288923</v>
      </c>
      <c r="F2456" s="3">
        <v>-241259447684338</v>
      </c>
      <c r="G2456" s="3">
        <f>[1]!nefin_factors__1[[#This Row],[HML]]/F2455-1</f>
        <v>-0.71461376923614961</v>
      </c>
      <c r="H2456" s="3">
        <v>489673080700914</v>
      </c>
      <c r="I2456" s="4">
        <f>[1]!nefin_factors__1[[#This Row],[Risk_Free]]/H2455-1</f>
        <v>8.9856880829473518</v>
      </c>
      <c r="J2456">
        <v>113762</v>
      </c>
      <c r="K2456">
        <v>114319</v>
      </c>
      <c r="L2456">
        <v>112680</v>
      </c>
      <c r="M2456">
        <v>112830</v>
      </c>
      <c r="N2456">
        <v>12306500</v>
      </c>
      <c r="O2456">
        <v>112830</v>
      </c>
      <c r="P2456">
        <v>-8.1925423252052799E-3</v>
      </c>
      <c r="Q2456">
        <v>-8.2262856220455902E-3</v>
      </c>
      <c r="R2456" s="8">
        <v>2.9000000953674299</v>
      </c>
      <c r="S2456" s="8">
        <v>6.9444375457590199E-3</v>
      </c>
      <c r="T2456" s="9">
        <v>6.9204359934654696E-3</v>
      </c>
      <c r="U2456" s="12">
        <v>4.9036999999999997E-2</v>
      </c>
      <c r="V2456" s="16">
        <v>4.8574999999999999</v>
      </c>
      <c r="W2456" s="17">
        <f t="shared" si="38"/>
        <v>8.2414752240644873E-4</v>
      </c>
    </row>
    <row r="2457" spans="1:23" x14ac:dyDescent="0.2">
      <c r="A2457" s="15">
        <v>45146</v>
      </c>
      <c r="B2457" s="5">
        <v>-336950766050956</v>
      </c>
      <c r="C2457" s="5">
        <f>[1]!nefin_factors__1[[#This Row],[Rm_minus_Rf]]/B2456-1</f>
        <v>0.19023324778138129</v>
      </c>
      <c r="D2457" s="5">
        <v>3450358896143</v>
      </c>
      <c r="E2457" s="5">
        <f>[1]!nefin_factors__1[[#This Row],[SMB]]/D2456-1</f>
        <v>-4.2910798316742822</v>
      </c>
      <c r="F2457" s="5">
        <v>422915967492247</v>
      </c>
      <c r="G2457" s="5">
        <f>[1]!nefin_factors__1[[#This Row],[HML]]/F2456-1</f>
        <v>-2.7529509063851751</v>
      </c>
      <c r="H2457" s="5">
        <v>489322124111125</v>
      </c>
      <c r="I2457" s="6">
        <f>[1]!nefin_factors__1[[#This Row],[Risk_Free]]/H2456-1</f>
        <v>-7.1671611861257034E-4</v>
      </c>
      <c r="J2457">
        <v>112840</v>
      </c>
      <c r="K2457">
        <v>114886</v>
      </c>
      <c r="L2457">
        <v>112840</v>
      </c>
      <c r="M2457">
        <v>114777</v>
      </c>
      <c r="N2457">
        <v>12770600</v>
      </c>
      <c r="O2457">
        <v>114777</v>
      </c>
      <c r="P2457">
        <v>1.7256048923158799E-2</v>
      </c>
      <c r="Q2457">
        <v>1.7108854230627499E-2</v>
      </c>
      <c r="R2457" s="8">
        <v>2.96000003814697</v>
      </c>
      <c r="S2457" s="8">
        <v>2.06896347608359E-2</v>
      </c>
      <c r="T2457" s="9">
        <v>2.0478511345710701E-2</v>
      </c>
      <c r="U2457" s="12">
        <v>4.9036999999999997E-2</v>
      </c>
      <c r="V2457" s="16">
        <v>4.8487</v>
      </c>
      <c r="W2457" s="17">
        <f t="shared" si="38"/>
        <v>-1.8116314976839298E-3</v>
      </c>
    </row>
    <row r="2458" spans="1:23" x14ac:dyDescent="0.2">
      <c r="A2458" s="14">
        <v>45147</v>
      </c>
      <c r="B2458" s="3">
        <v>-620365384340055</v>
      </c>
      <c r="C2458" s="3">
        <f>[1]!nefin_factors__1[[#This Row],[Rm_minus_Rf]]/B2457-1</f>
        <v>0.84111581525901347</v>
      </c>
      <c r="D2458" s="3">
        <v>-514896157680163</v>
      </c>
      <c r="E2458" s="3">
        <f>[1]!nefin_factors__1[[#This Row],[SMB]]/D2457-1</f>
        <v>-150.22973904417367</v>
      </c>
      <c r="F2458" s="3">
        <v>-446721073621202</v>
      </c>
      <c r="G2458" s="3">
        <f>[1]!nefin_factors__1[[#This Row],[HML]]/F2457-1</f>
        <v>-2.0562880287308882</v>
      </c>
      <c r="H2458" s="3">
        <v>488971136618055</v>
      </c>
      <c r="I2458" s="4">
        <f>[1]!nefin_factors__1[[#This Row],[Risk_Free]]/H2457-1</f>
        <v>-7.1729332432612924E-4</v>
      </c>
      <c r="J2458">
        <v>114777</v>
      </c>
      <c r="K2458">
        <v>115342</v>
      </c>
      <c r="L2458">
        <v>112953</v>
      </c>
      <c r="M2458">
        <v>113301</v>
      </c>
      <c r="N2458">
        <v>12289500</v>
      </c>
      <c r="O2458">
        <v>113301</v>
      </c>
      <c r="P2458">
        <v>-1.28597192817377E-2</v>
      </c>
      <c r="Q2458">
        <v>-1.29431212606406E-2</v>
      </c>
      <c r="R2458" s="8">
        <v>2.8499999046325701</v>
      </c>
      <c r="S2458" s="8">
        <v>-3.7162206789452298E-2</v>
      </c>
      <c r="T2458" s="9">
        <v>-3.7870320405157802E-2</v>
      </c>
      <c r="U2458" s="12">
        <v>4.7279000000000002E-2</v>
      </c>
      <c r="V2458" s="16">
        <v>4.9229000000000003</v>
      </c>
      <c r="W2458" s="17">
        <f t="shared" si="38"/>
        <v>1.5303070926227624E-2</v>
      </c>
    </row>
    <row r="2459" spans="1:23" x14ac:dyDescent="0.2">
      <c r="A2459" s="15">
        <v>45148</v>
      </c>
      <c r="B2459" s="5">
        <v>-261189591031292</v>
      </c>
      <c r="C2459" s="5">
        <f>[1]!nefin_factors__1[[#This Row],[Rm_minus_Rf]]/B2458-1</f>
        <v>-0.57897458880761765</v>
      </c>
      <c r="D2459" s="5">
        <v>243015230885023</v>
      </c>
      <c r="E2459" s="5">
        <f>[1]!nefin_factors__1[[#This Row],[SMB]]/D2458-1</f>
        <v>-1.4719694005484816</v>
      </c>
      <c r="F2459" s="5">
        <v>624703839045578</v>
      </c>
      <c r="G2459" s="5">
        <f>[1]!nefin_factors__1[[#This Row],[HML]]/F2458-1</f>
        <v>-2.3984203475820278</v>
      </c>
      <c r="H2459" s="5">
        <v>488971136618055</v>
      </c>
      <c r="I2459" s="6">
        <f>[1]!nefin_factors__1[[#This Row],[Risk_Free]]/H2458-1</f>
        <v>0</v>
      </c>
      <c r="J2459">
        <v>113303</v>
      </c>
      <c r="K2459">
        <v>114204</v>
      </c>
      <c r="L2459">
        <v>112309</v>
      </c>
      <c r="M2459">
        <v>112532</v>
      </c>
      <c r="N2459">
        <v>9741800</v>
      </c>
      <c r="O2459">
        <v>112532</v>
      </c>
      <c r="P2459">
        <v>-6.7872304745765196E-3</v>
      </c>
      <c r="Q2459">
        <v>-6.8103684780735701E-3</v>
      </c>
      <c r="R2459" s="8">
        <v>2.75</v>
      </c>
      <c r="S2459" s="8">
        <v>-3.5087687010102099E-2</v>
      </c>
      <c r="T2459" s="9">
        <v>-3.5718049139822003E-2</v>
      </c>
      <c r="U2459" s="12">
        <v>4.7279000000000002E-2</v>
      </c>
      <c r="V2459" s="16">
        <v>4.9131</v>
      </c>
      <c r="W2459" s="17">
        <f t="shared" si="38"/>
        <v>-1.9906965406569777E-3</v>
      </c>
    </row>
    <row r="2460" spans="1:23" x14ac:dyDescent="0.2">
      <c r="A2460" s="14">
        <v>45149</v>
      </c>
      <c r="B2460" s="3">
        <v>-260331527541048</v>
      </c>
      <c r="C2460" s="3">
        <f>[1]!nefin_factors__1[[#This Row],[Rm_minus_Rf]]/B2459-1</f>
        <v>-3.2852131926697226E-3</v>
      </c>
      <c r="D2460" s="3">
        <v>-365211603148933</v>
      </c>
      <c r="E2460" s="3">
        <f>[1]!nefin_factors__1[[#This Row],[SMB]]/D2459-1</f>
        <v>-2.5028342125672127</v>
      </c>
      <c r="F2460" s="3">
        <v>111316791620731</v>
      </c>
      <c r="G2460" s="3">
        <f>[1]!nefin_factors__1[[#This Row],[HML]]/F2459-1</f>
        <v>-0.82180869611622576</v>
      </c>
      <c r="H2460" s="3">
        <v>488620118215932</v>
      </c>
      <c r="I2460" s="4">
        <f>[1]!nefin_factors__1[[#This Row],[Risk_Free]]/H2459-1</f>
        <v>-7.1787141578705249E-4</v>
      </c>
      <c r="J2460">
        <v>112534</v>
      </c>
      <c r="K2460">
        <v>113597</v>
      </c>
      <c r="L2460">
        <v>112098</v>
      </c>
      <c r="M2460">
        <v>113144</v>
      </c>
      <c r="N2460">
        <v>10557400</v>
      </c>
      <c r="O2460">
        <v>113144</v>
      </c>
      <c r="P2460">
        <v>5.4384530622399998E-3</v>
      </c>
      <c r="Q2460">
        <v>5.4237180759306499E-3</v>
      </c>
      <c r="R2460" s="8">
        <v>2.75</v>
      </c>
      <c r="S2460" s="8">
        <v>0</v>
      </c>
      <c r="T2460" s="9">
        <v>0</v>
      </c>
      <c r="U2460" s="12">
        <v>4.7279000000000002E-2</v>
      </c>
      <c r="V2460" s="16">
        <v>4.9606000000000003</v>
      </c>
      <c r="W2460" s="17">
        <f t="shared" si="38"/>
        <v>9.6680303677922907E-3</v>
      </c>
    </row>
    <row r="2461" spans="1:23" x14ac:dyDescent="0.2">
      <c r="A2461" s="15">
        <v>45152</v>
      </c>
      <c r="B2461" s="5">
        <v>-986076375016314</v>
      </c>
      <c r="C2461" s="5">
        <f>[1]!nefin_factors__1[[#This Row],[Rm_minus_Rf]]/B2460-1</f>
        <v>2.7877716323115478</v>
      </c>
      <c r="D2461" s="5">
        <v>-804490277798023</v>
      </c>
      <c r="E2461" s="5">
        <f>[1]!nefin_factors__1[[#This Row],[SMB]]/D2460-1</f>
        <v>1.2028059099479171</v>
      </c>
      <c r="F2461" s="5">
        <v>-104114958987956</v>
      </c>
      <c r="G2461" s="5">
        <f>[1]!nefin_factors__1[[#This Row],[HML]]/F2460-1</f>
        <v>-1.9353032680162714</v>
      </c>
      <c r="H2461" s="5">
        <v>488269068899649</v>
      </c>
      <c r="I2461" s="6">
        <f>[1]!nefin_factors__1[[#This Row],[Risk_Free]]/H2460-1</f>
        <v>-7.1845039366114083E-4</v>
      </c>
      <c r="J2461">
        <v>113157</v>
      </c>
      <c r="K2461">
        <v>115433</v>
      </c>
      <c r="L2461">
        <v>113157</v>
      </c>
      <c r="M2461">
        <v>115053</v>
      </c>
      <c r="N2461">
        <v>13904100</v>
      </c>
      <c r="O2461">
        <v>115053</v>
      </c>
      <c r="P2461">
        <v>1.6872304320158401E-2</v>
      </c>
      <c r="Q2461">
        <v>1.6731548042509099E-2</v>
      </c>
      <c r="R2461" s="8">
        <v>2.9900000095367401</v>
      </c>
      <c r="S2461" s="8">
        <v>8.7272730740633797E-2</v>
      </c>
      <c r="T2461" s="9">
        <v>8.3672478913661294E-2</v>
      </c>
      <c r="U2461" s="12">
        <v>4.7279000000000002E-2</v>
      </c>
      <c r="V2461" s="16">
        <v>4.9717000000000002</v>
      </c>
      <c r="W2461" s="17">
        <f t="shared" si="38"/>
        <v>2.2376325444501965E-3</v>
      </c>
    </row>
    <row r="2462" spans="1:23" x14ac:dyDescent="0.2">
      <c r="A2462" s="14">
        <v>45153</v>
      </c>
      <c r="B2462" s="3">
        <v>-409614112581319</v>
      </c>
      <c r="C2462" s="3">
        <f>[1]!nefin_factors__1[[#This Row],[Rm_minus_Rf]]/B2461-1</f>
        <v>-0.58460204203295896</v>
      </c>
      <c r="D2462" s="3">
        <v>781849359834223</v>
      </c>
      <c r="E2462" s="3">
        <f>[1]!nefin_factors__1[[#This Row],[SMB]]/D2461-1</f>
        <v>-1.9718568159384466</v>
      </c>
      <c r="F2462" s="3">
        <v>21081810415502</v>
      </c>
      <c r="G2462" s="3">
        <f>[1]!nefin_factors__1[[#This Row],[HML]]/F2461-1</f>
        <v>-1.2024858927134643</v>
      </c>
      <c r="H2462" s="3">
        <v>487917988663433</v>
      </c>
      <c r="I2462" s="4">
        <f>[1]!nefin_factors__1[[#This Row],[Risk_Free]]/H2461-1</f>
        <v>-7.1903026134167991E-4</v>
      </c>
      <c r="J2462">
        <v>115062</v>
      </c>
      <c r="K2462">
        <v>118502</v>
      </c>
      <c r="L2462">
        <v>115062</v>
      </c>
      <c r="M2462">
        <v>118160</v>
      </c>
      <c r="N2462">
        <v>15714000</v>
      </c>
      <c r="O2462">
        <v>118160</v>
      </c>
      <c r="P2462">
        <v>2.7004945546834899E-2</v>
      </c>
      <c r="Q2462">
        <v>2.66467464624165E-2</v>
      </c>
      <c r="R2462" s="8">
        <v>3.25</v>
      </c>
      <c r="S2462" s="8">
        <v>8.6956518272232497E-2</v>
      </c>
      <c r="T2462" s="9">
        <v>8.3381605749504997E-2</v>
      </c>
      <c r="U2462" s="12">
        <v>4.7279000000000002E-2</v>
      </c>
      <c r="V2462" s="16">
        <v>5.0289000000000001</v>
      </c>
      <c r="W2462" s="17">
        <f t="shared" si="38"/>
        <v>1.1505118973389461E-2</v>
      </c>
    </row>
    <row r="2463" spans="1:23" x14ac:dyDescent="0.2">
      <c r="A2463" s="15">
        <v>45154</v>
      </c>
      <c r="B2463" s="5">
        <v>-563394279670046</v>
      </c>
      <c r="C2463" s="5">
        <f>[1]!nefin_factors__1[[#This Row],[Rm_minus_Rf]]/B2462-1</f>
        <v>0.37542692589283688</v>
      </c>
      <c r="D2463" s="5">
        <v>-262602956260416</v>
      </c>
      <c r="E2463" s="5">
        <f>[1]!nefin_factors__1[[#This Row],[SMB]]/D2462-1</f>
        <v>-1.3358741079177916</v>
      </c>
      <c r="F2463" s="5">
        <v>671529339981651</v>
      </c>
      <c r="G2463" s="5">
        <f>[1]!nefin_factors__1[[#This Row],[HML]]/F2462-1</f>
        <v>30.853494872900391</v>
      </c>
      <c r="H2463" s="5">
        <v>487566877502177</v>
      </c>
      <c r="I2463" s="6">
        <f>[1]!nefin_factors__1[[#This Row],[Risk_Free]]/H2462-1</f>
        <v>-7.1961101950313022E-4</v>
      </c>
      <c r="J2463">
        <v>118160</v>
      </c>
      <c r="K2463">
        <v>118758</v>
      </c>
      <c r="L2463">
        <v>118045</v>
      </c>
      <c r="M2463">
        <v>118487</v>
      </c>
      <c r="N2463">
        <v>10167700</v>
      </c>
      <c r="O2463">
        <v>118487</v>
      </c>
      <c r="P2463">
        <v>2.7674339878132098E-3</v>
      </c>
      <c r="Q2463">
        <v>2.7636116927170699E-3</v>
      </c>
      <c r="R2463" s="8">
        <v>2.9500000476837198</v>
      </c>
      <c r="S2463" s="8">
        <v>-9.2307677635779697E-2</v>
      </c>
      <c r="T2463" s="9">
        <v>-9.6849809825946306E-2</v>
      </c>
      <c r="U2463" s="12">
        <v>4.7279000000000002E-2</v>
      </c>
      <c r="V2463" s="16">
        <v>5.0475000000000003</v>
      </c>
      <c r="W2463" s="17">
        <f t="shared" si="38"/>
        <v>3.6986219650421148E-3</v>
      </c>
    </row>
    <row r="2464" spans="1:23" x14ac:dyDescent="0.2">
      <c r="A2464" s="14">
        <v>45155</v>
      </c>
      <c r="B2464" s="3">
        <v>-705184560696301</v>
      </c>
      <c r="C2464" s="3">
        <f>[1]!nefin_factors__1[[#This Row],[Rm_minus_Rf]]/B2463-1</f>
        <v>0.25167149568734537</v>
      </c>
      <c r="D2464" s="3">
        <v>-149556864716604</v>
      </c>
      <c r="E2464" s="3">
        <f>[1]!nefin_factors__1[[#This Row],[SMB]]/D2463-1</f>
        <v>-0.43048293573552676</v>
      </c>
      <c r="F2464" s="3">
        <v>-616350896152614</v>
      </c>
      <c r="G2464" s="3">
        <f>[1]!nefin_factors__1[[#This Row],[HML]]/F2463-1</f>
        <v>-1.917831670868551</v>
      </c>
      <c r="H2464" s="3">
        <v>487566877502177</v>
      </c>
      <c r="I2464" s="4">
        <f>[1]!nefin_factors__1[[#This Row],[Risk_Free]]/H2463-1</f>
        <v>0</v>
      </c>
      <c r="J2464">
        <v>118422</v>
      </c>
      <c r="K2464">
        <v>119577</v>
      </c>
      <c r="L2464">
        <v>118026</v>
      </c>
      <c r="M2464">
        <v>119268</v>
      </c>
      <c r="N2464">
        <v>16393100</v>
      </c>
      <c r="O2464">
        <v>119268</v>
      </c>
      <c r="P2464">
        <v>6.5914404111844203E-3</v>
      </c>
      <c r="Q2464">
        <v>6.5698118580275302E-3</v>
      </c>
      <c r="R2464" s="8">
        <v>3.1500000953674299</v>
      </c>
      <c r="S2464" s="8">
        <v>6.77966252376003E-2</v>
      </c>
      <c r="T2464" s="9">
        <v>6.5597296597216595E-2</v>
      </c>
      <c r="U2464" s="12">
        <v>4.7279000000000002E-2</v>
      </c>
      <c r="V2464" s="16">
        <v>5.0076000000000001</v>
      </c>
      <c r="W2464" s="17">
        <f t="shared" si="38"/>
        <v>-7.9049034175334709E-3</v>
      </c>
    </row>
    <row r="2465" spans="1:23" x14ac:dyDescent="0.2">
      <c r="A2465" s="15">
        <v>45156</v>
      </c>
      <c r="B2465" s="5">
        <v>316655082244136</v>
      </c>
      <c r="C2465" s="5">
        <f>[1]!nefin_factors__1[[#This Row],[Rm_minus_Rf]]/B2464-1</f>
        <v>-1.4490385920126641</v>
      </c>
      <c r="D2465" s="5">
        <v>152658518880136</v>
      </c>
      <c r="E2465" s="5">
        <f>[1]!nefin_factors__1[[#This Row],[SMB]]/D2464-1</f>
        <v>-2.0207389621961473</v>
      </c>
      <c r="F2465" s="5">
        <v>347636404856208</v>
      </c>
      <c r="G2465" s="5">
        <f>[1]!nefin_factors__1[[#This Row],[HML]]/F2464-1</f>
        <v>-1.564023524628948</v>
      </c>
      <c r="H2465" s="5">
        <v>487215735410107</v>
      </c>
      <c r="I2465" s="6">
        <f>[1]!nefin_factors__1[[#This Row],[Risk_Free]]/H2464-1</f>
        <v>-7.2019267155498667E-4</v>
      </c>
      <c r="J2465">
        <v>119268</v>
      </c>
      <c r="K2465">
        <v>119976</v>
      </c>
      <c r="L2465">
        <v>118464</v>
      </c>
      <c r="M2465">
        <v>119099</v>
      </c>
      <c r="N2465">
        <v>15193500</v>
      </c>
      <c r="O2465">
        <v>119099</v>
      </c>
      <c r="P2465">
        <v>-1.4169768923768501E-3</v>
      </c>
      <c r="Q2465">
        <v>-1.4179817534891101E-3</v>
      </c>
      <c r="R2465" s="8">
        <v>3.0999999046325701</v>
      </c>
      <c r="S2465" s="8">
        <v>-1.5873075943202801E-2</v>
      </c>
      <c r="T2465" s="9">
        <v>-1.60004023855039E-2</v>
      </c>
      <c r="U2465" s="12">
        <v>4.7279000000000002E-2</v>
      </c>
      <c r="V2465" s="16">
        <v>5.0678999999999998</v>
      </c>
      <c r="W2465" s="17">
        <f t="shared" si="38"/>
        <v>1.2041696621135856E-2</v>
      </c>
    </row>
    <row r="2466" spans="1:23" x14ac:dyDescent="0.2">
      <c r="A2466" s="14">
        <v>45159</v>
      </c>
      <c r="B2466" s="3">
        <v>-806721539065912</v>
      </c>
      <c r="C2466" s="3">
        <f>[1]!nefin_factors__1[[#This Row],[Rm_minus_Rf]]/B2465-1</f>
        <v>-3.5476349008791295</v>
      </c>
      <c r="D2466" s="3">
        <v>-26390014953484</v>
      </c>
      <c r="E2466" s="3">
        <f>[1]!nefin_factors__1[[#This Row],[SMB]]/D2465-1</f>
        <v>-1.1728695859692235</v>
      </c>
      <c r="F2466" s="3">
        <v>-508315534710354</v>
      </c>
      <c r="G2466" s="3">
        <f>[1]!nefin_factors__1[[#This Row],[HML]]/F2465-1</f>
        <v>-2.4622045551316969</v>
      </c>
      <c r="H2466" s="3">
        <v>486864562382117</v>
      </c>
      <c r="I2466" s="4">
        <f>[1]!nefin_factors__1[[#This Row],[Risk_Free]]/H2465-1</f>
        <v>-7.2077521817803802E-4</v>
      </c>
      <c r="J2466">
        <v>119180</v>
      </c>
      <c r="K2466">
        <v>120257</v>
      </c>
      <c r="L2466">
        <v>118446</v>
      </c>
      <c r="M2466">
        <v>119012</v>
      </c>
      <c r="N2466">
        <v>15568300</v>
      </c>
      <c r="O2466">
        <v>119012</v>
      </c>
      <c r="P2466">
        <v>-7.3048472279369002E-4</v>
      </c>
      <c r="Q2466">
        <v>-7.3075165676084696E-4</v>
      </c>
      <c r="R2466" s="8">
        <v>3.0099999904632599</v>
      </c>
      <c r="S2466" s="8">
        <v>-2.90322312703357E-2</v>
      </c>
      <c r="T2466" s="9">
        <v>-2.94620051349813E-2</v>
      </c>
      <c r="U2466" s="12">
        <v>4.7279000000000002E-2</v>
      </c>
      <c r="V2466" s="16">
        <v>5.1100000000000003</v>
      </c>
      <c r="W2466" s="17">
        <f t="shared" si="38"/>
        <v>8.3071883817755765E-3</v>
      </c>
    </row>
    <row r="2467" spans="1:23" x14ac:dyDescent="0.2">
      <c r="A2467" s="15">
        <v>45160</v>
      </c>
      <c r="B2467" s="5">
        <v>136568914283842</v>
      </c>
      <c r="C2467" s="5">
        <f>[1]!nefin_factors__1[[#This Row],[Rm_minus_Rf]]/B2466-1</f>
        <v>-1.1692887913244174</v>
      </c>
      <c r="D2467" s="5">
        <v>160174283439421</v>
      </c>
      <c r="E2467" s="5">
        <f>[1]!nefin_factors__1[[#This Row],[SMB]]/D2466-1</f>
        <v>-7.0695033224403252</v>
      </c>
      <c r="F2467" s="5">
        <v>597079438477195</v>
      </c>
      <c r="G2467" s="5">
        <f>[1]!nefin_factors__1[[#This Row],[HML]]/F2466-1</f>
        <v>-2.1746236298235901</v>
      </c>
      <c r="H2467" s="5">
        <v>486513358412211</v>
      </c>
      <c r="I2467" s="6">
        <f>[1]!nefin_factors__1[[#This Row],[Risk_Free]]/H2466-1</f>
        <v>-7.2135866325462317E-4</v>
      </c>
      <c r="J2467">
        <v>119036</v>
      </c>
      <c r="K2467">
        <v>120823</v>
      </c>
      <c r="L2467">
        <v>119036</v>
      </c>
      <c r="M2467">
        <v>120636</v>
      </c>
      <c r="N2467">
        <v>0</v>
      </c>
      <c r="O2467">
        <v>120636</v>
      </c>
      <c r="P2467">
        <v>1.36456827882903E-2</v>
      </c>
      <c r="Q2467">
        <v>1.35534188476644E-2</v>
      </c>
      <c r="R2467" s="8">
        <v>3.03999996185303</v>
      </c>
      <c r="S2467" s="8">
        <v>9.9667679351565005E-3</v>
      </c>
      <c r="T2467" s="9">
        <v>9.9174272773528502E-3</v>
      </c>
      <c r="U2467" s="12">
        <v>4.7279000000000002E-2</v>
      </c>
      <c r="V2467" s="16">
        <v>5.1525999999999996</v>
      </c>
      <c r="W2467" s="17">
        <f t="shared" si="38"/>
        <v>8.3365949119371674E-3</v>
      </c>
    </row>
    <row r="2468" spans="1:23" x14ac:dyDescent="0.2">
      <c r="A2468" s="14">
        <v>45161</v>
      </c>
      <c r="B2468" s="3">
        <v>136090486185728</v>
      </c>
      <c r="C2468" s="3">
        <f>[1]!nefin_factors__1[[#This Row],[Rm_minus_Rf]]/B2467-1</f>
        <v>-3.5031991037114407E-3</v>
      </c>
      <c r="D2468" s="3">
        <v>8995651347537</v>
      </c>
      <c r="E2468" s="3">
        <f>[1]!nefin_factors__1[[#This Row],[SMB]]/D2467-1</f>
        <v>-0.94383835435768182</v>
      </c>
      <c r="F2468" s="3">
        <v>329375092561051</v>
      </c>
      <c r="G2468" s="3">
        <f>[1]!nefin_factors__1[[#This Row],[HML]]/F2467-1</f>
        <v>-0.4483563302714012</v>
      </c>
      <c r="H2468" s="3">
        <v>486162123495504</v>
      </c>
      <c r="I2468" s="4">
        <f>[1]!nefin_factors__1[[#This Row],[Risk_Free]]/H2467-1</f>
        <v>-7.2194300656680532E-4</v>
      </c>
      <c r="J2468">
        <v>120561</v>
      </c>
      <c r="K2468">
        <v>120606</v>
      </c>
      <c r="L2468">
        <v>119878</v>
      </c>
      <c r="M2468">
        <v>120376</v>
      </c>
      <c r="N2468">
        <v>11198000</v>
      </c>
      <c r="O2468">
        <v>120376</v>
      </c>
      <c r="P2468">
        <v>-2.1552438741337899E-3</v>
      </c>
      <c r="Q2468">
        <v>-2.15756975470643E-3</v>
      </c>
      <c r="R2468" s="8">
        <v>2.9300000667571999</v>
      </c>
      <c r="S2468" s="8">
        <v>-3.6184176472415099E-2</v>
      </c>
      <c r="T2468" s="9">
        <v>-3.6855057056780299E-2</v>
      </c>
      <c r="U2468" s="12">
        <v>4.7279000000000002E-2</v>
      </c>
      <c r="V2468" s="16">
        <v>5.1712999999999996</v>
      </c>
      <c r="W2468" s="17">
        <f t="shared" si="38"/>
        <v>3.6292357256531016E-3</v>
      </c>
    </row>
    <row r="2469" spans="1:23" x14ac:dyDescent="0.2">
      <c r="A2469" s="15">
        <v>45162</v>
      </c>
      <c r="B2469" s="5">
        <v>-92792154804253</v>
      </c>
      <c r="C2469" s="5">
        <f>[1]!nefin_factors__1[[#This Row],[Rm_minus_Rf]]/B2468-1</f>
        <v>-1.6818415996957783</v>
      </c>
      <c r="D2469" s="5">
        <v>682349702506304</v>
      </c>
      <c r="E2469" s="5">
        <f>[1]!nefin_factors__1[[#This Row],[SMB]]/D2468-1</f>
        <v>74.853284675503858</v>
      </c>
      <c r="F2469" s="5">
        <v>700028588996465</v>
      </c>
      <c r="G2469" s="5">
        <f>[1]!nefin_factors__1[[#This Row],[HML]]/F2468-1</f>
        <v>1.1253233921041308</v>
      </c>
      <c r="H2469" s="5">
        <v>485810857626001</v>
      </c>
      <c r="I2469" s="6">
        <f>[1]!nefin_factors__1[[#This Row],[Risk_Free]]/H2468-1</f>
        <v>-7.2252825246321706E-4</v>
      </c>
      <c r="J2469">
        <v>120411</v>
      </c>
      <c r="K2469">
        <v>123370</v>
      </c>
      <c r="L2469">
        <v>120411</v>
      </c>
      <c r="M2469">
        <v>123328</v>
      </c>
      <c r="N2469">
        <v>19427900</v>
      </c>
      <c r="O2469">
        <v>123328</v>
      </c>
      <c r="P2469">
        <v>2.4523160762942801E-2</v>
      </c>
      <c r="Q2469">
        <v>2.4227295335324299E-2</v>
      </c>
      <c r="R2469" s="8">
        <v>3.1400001049041699</v>
      </c>
      <c r="S2469" s="8">
        <v>7.1672366335264706E-2</v>
      </c>
      <c r="T2469" s="9">
        <v>6.9220387516130494E-2</v>
      </c>
      <c r="U2469" s="12">
        <v>4.7279000000000002E-2</v>
      </c>
      <c r="V2469" s="16">
        <v>5.1917999999999997</v>
      </c>
      <c r="W2469" s="17">
        <f t="shared" si="38"/>
        <v>3.964186954924287E-3</v>
      </c>
    </row>
    <row r="2470" spans="1:23" x14ac:dyDescent="0.2">
      <c r="A2470" s="14">
        <v>45163</v>
      </c>
      <c r="B2470" s="3">
        <v>-102189254535331</v>
      </c>
      <c r="C2470" s="3">
        <f>[1]!nefin_factors__1[[#This Row],[Rm_minus_Rf]]/B2469-1</f>
        <v>0.10127041182416097</v>
      </c>
      <c r="D2470" s="3">
        <v>-135636642426033</v>
      </c>
      <c r="E2470" s="3">
        <f>[1]!nefin_factors__1[[#This Row],[SMB]]/D2469-1</f>
        <v>-1.1987787815072433</v>
      </c>
      <c r="F2470" s="3">
        <v>-394169180156185</v>
      </c>
      <c r="G2470" s="3">
        <f>[1]!nefin_factors__1[[#This Row],[HML]]/F2469-1</f>
        <v>-1.5630758319760216</v>
      </c>
      <c r="H2470" s="3">
        <v>485459560798596</v>
      </c>
      <c r="I2470" s="4">
        <f>[1]!nefin_factors__1[[#This Row],[Risk_Free]]/H2469-1</f>
        <v>-7.2311440119243731E-4</v>
      </c>
      <c r="J2470">
        <v>123165</v>
      </c>
      <c r="K2470">
        <v>124737</v>
      </c>
      <c r="L2470">
        <v>123165</v>
      </c>
      <c r="M2470">
        <v>124576</v>
      </c>
      <c r="N2470">
        <v>18355600</v>
      </c>
      <c r="O2470">
        <v>124576</v>
      </c>
      <c r="P2470">
        <v>1.0119356512713999E-2</v>
      </c>
      <c r="Q2470">
        <v>1.0068498636144001E-2</v>
      </c>
      <c r="R2470" s="8">
        <v>3.25</v>
      </c>
      <c r="S2470" s="8">
        <v>3.5031812554408202E-2</v>
      </c>
      <c r="T2470" s="9">
        <v>3.4432163012511799E-2</v>
      </c>
      <c r="U2470" s="12">
        <v>4.7279000000000002E-2</v>
      </c>
      <c r="V2470" s="16">
        <v>5.1665999999999999</v>
      </c>
      <c r="W2470" s="17">
        <f t="shared" si="38"/>
        <v>-4.8538079278862556E-3</v>
      </c>
    </row>
    <row r="2471" spans="1:23" x14ac:dyDescent="0.2">
      <c r="A2471" s="15">
        <v>45166</v>
      </c>
      <c r="B2471" s="5">
        <v>934088126481713</v>
      </c>
      <c r="C2471" s="5">
        <f>[1]!nefin_factors__1[[#This Row],[Rm_minus_Rf]]/B2470-1</f>
        <v>-10.140766617088499</v>
      </c>
      <c r="D2471" s="5">
        <v>-119487106716569</v>
      </c>
      <c r="E2471" s="5">
        <f>[1]!nefin_factors__1[[#This Row],[SMB]]/D2470-1</f>
        <v>-0.11906469682977339</v>
      </c>
      <c r="F2471" s="5">
        <v>-219067198261405</v>
      </c>
      <c r="G2471" s="5">
        <f>[1]!nefin_factors__1[[#This Row],[HML]]/F2470-1</f>
        <v>-0.44423052513998651</v>
      </c>
      <c r="H2471" s="5">
        <v>485108233007736</v>
      </c>
      <c r="I2471" s="6">
        <f>[1]!nefin_factors__1[[#This Row],[Risk_Free]]/H2470-1</f>
        <v>-7.2370145575473277E-4</v>
      </c>
      <c r="J2471">
        <v>124639</v>
      </c>
      <c r="K2471">
        <v>125431</v>
      </c>
      <c r="L2471">
        <v>124547</v>
      </c>
      <c r="M2471">
        <v>125062</v>
      </c>
      <c r="N2471">
        <v>15719100</v>
      </c>
      <c r="O2471">
        <v>125062</v>
      </c>
      <c r="P2471">
        <v>3.9012329822758502E-3</v>
      </c>
      <c r="Q2471">
        <v>3.8936429069153901E-3</v>
      </c>
      <c r="R2471" s="8">
        <v>3.1099998950958301</v>
      </c>
      <c r="S2471" s="8">
        <v>-4.3076955355130703E-2</v>
      </c>
      <c r="T2471" s="9">
        <v>-4.40323038817498E-2</v>
      </c>
      <c r="U2471" s="12">
        <v>4.7279000000000002E-2</v>
      </c>
      <c r="V2471" s="16">
        <v>5.0861999999999998</v>
      </c>
      <c r="W2471" s="17">
        <f t="shared" si="38"/>
        <v>-1.5561491116014459E-2</v>
      </c>
    </row>
    <row r="2472" spans="1:23" x14ac:dyDescent="0.2">
      <c r="A2472" s="14">
        <v>45167</v>
      </c>
      <c r="B2472" s="3">
        <v>100726234248329</v>
      </c>
      <c r="C2472" s="3">
        <f>[1]!nefin_factors__1[[#This Row],[Rm_minus_Rf]]/B2471-1</f>
        <v>-0.89216624064399674</v>
      </c>
      <c r="D2472" s="3">
        <v>57566843998469</v>
      </c>
      <c r="E2472" s="3">
        <f>[1]!nefin_factors__1[[#This Row],[SMB]]/D2471-1</f>
        <v>-1.4817828934047355</v>
      </c>
      <c r="F2472" s="3">
        <v>874506878678509</v>
      </c>
      <c r="G2472" s="3">
        <f>[1]!nefin_factors__1[[#This Row],[HML]]/F2471-1</f>
        <v>-4.9919571967821099</v>
      </c>
      <c r="H2472" s="3">
        <v>484756874248093</v>
      </c>
      <c r="I2472" s="4">
        <f>[1]!nefin_factors__1[[#This Row],[Risk_Free]]/H2471-1</f>
        <v>-7.2428941777491485E-4</v>
      </c>
      <c r="J2472">
        <v>124773</v>
      </c>
      <c r="K2472">
        <v>126162</v>
      </c>
      <c r="L2472">
        <v>124773</v>
      </c>
      <c r="M2472">
        <v>126095</v>
      </c>
      <c r="N2472">
        <v>11108500</v>
      </c>
      <c r="O2472">
        <v>126095</v>
      </c>
      <c r="P2472">
        <v>8.2599030880683398E-3</v>
      </c>
      <c r="Q2472">
        <v>8.2259767792098697E-3</v>
      </c>
      <c r="R2472" s="8">
        <v>3.0499999523162802</v>
      </c>
      <c r="S2472" s="8">
        <v>-1.9292586753509301E-2</v>
      </c>
      <c r="T2472" s="9">
        <v>-1.9481117474581301E-2</v>
      </c>
      <c r="U2472" s="12">
        <v>4.7279000000000002E-2</v>
      </c>
      <c r="V2472" s="16">
        <v>5.0495999999999999</v>
      </c>
      <c r="W2472" s="17">
        <f t="shared" si="38"/>
        <v>-7.1959419605992503E-3</v>
      </c>
    </row>
    <row r="2473" spans="1:23" x14ac:dyDescent="0.2">
      <c r="A2473" s="15">
        <v>45168</v>
      </c>
      <c r="B2473" s="5">
        <v>-757224547914324</v>
      </c>
      <c r="C2473" s="5">
        <f>[1]!nefin_factors__1[[#This Row],[Rm_minus_Rf]]/B2472-1</f>
        <v>-8.5176497321191782</v>
      </c>
      <c r="D2473" s="5">
        <v>565414886018269</v>
      </c>
      <c r="E2473" s="5">
        <f>[1]!nefin_factors__1[[#This Row],[SMB]]/D2472-1</f>
        <v>8.8218843824981317</v>
      </c>
      <c r="F2473" s="5">
        <v>-237553497788952</v>
      </c>
      <c r="G2473" s="5">
        <f>[1]!nefin_factors__1[[#This Row],[HML]]/F2472-1</f>
        <v>-1.2716428007380862</v>
      </c>
      <c r="H2473" s="5">
        <v>484405484513895</v>
      </c>
      <c r="I2473" s="6">
        <f>[1]!nefin_factors__1[[#This Row],[Risk_Free]]/H2472-1</f>
        <v>-7.2487829026257611E-4</v>
      </c>
      <c r="J2473">
        <v>125957</v>
      </c>
      <c r="K2473">
        <v>125957</v>
      </c>
      <c r="L2473">
        <v>125060</v>
      </c>
      <c r="M2473">
        <v>125607</v>
      </c>
      <c r="N2473">
        <v>10793500</v>
      </c>
      <c r="O2473">
        <v>125607</v>
      </c>
      <c r="P2473">
        <v>-3.8700979420278601E-3</v>
      </c>
      <c r="Q2473">
        <v>-3.8776061489929699E-3</v>
      </c>
      <c r="R2473" s="8">
        <v>3.0799999237060498</v>
      </c>
      <c r="S2473" s="8">
        <v>9.8360563471442397E-3</v>
      </c>
      <c r="T2473" s="9">
        <v>9.7879972294062905E-3</v>
      </c>
      <c r="U2473" s="12">
        <v>4.7279000000000002E-2</v>
      </c>
      <c r="V2473" s="16">
        <v>5.0625</v>
      </c>
      <c r="W2473" s="17">
        <f t="shared" si="38"/>
        <v>2.5546577946768956E-3</v>
      </c>
    </row>
    <row r="2474" spans="1:23" x14ac:dyDescent="0.2">
      <c r="A2474" s="14">
        <v>45169</v>
      </c>
      <c r="B2474" s="3">
        <v>-175353445889925</v>
      </c>
      <c r="C2474" s="3">
        <f>[1]!nefin_factors__1[[#This Row],[Rm_minus_Rf]]/B2473-1</f>
        <v>-0.76842609451461508</v>
      </c>
      <c r="D2474" s="3">
        <v>-914370043689291</v>
      </c>
      <c r="E2474" s="3">
        <f>[1]!nefin_factors__1[[#This Row],[SMB]]/D2473-1</f>
        <v>-2.6171665555684482</v>
      </c>
      <c r="F2474" s="3">
        <v>-528941577223461</v>
      </c>
      <c r="G2474" s="3">
        <f>[1]!nefin_factors__1[[#This Row],[HML]]/F2473-1</f>
        <v>1.2266208754938428</v>
      </c>
      <c r="H2474" s="3">
        <v>484405484513895</v>
      </c>
      <c r="I2474" s="4">
        <f>[1]!nefin_factors__1[[#This Row],[Risk_Free]]/H2473-1</f>
        <v>0</v>
      </c>
      <c r="J2474">
        <v>125626</v>
      </c>
      <c r="K2474">
        <v>126875</v>
      </c>
      <c r="L2474">
        <v>125439</v>
      </c>
      <c r="M2474">
        <v>126035</v>
      </c>
      <c r="N2474">
        <v>14058500</v>
      </c>
      <c r="O2474">
        <v>126035</v>
      </c>
      <c r="P2474">
        <v>3.40745340625914E-3</v>
      </c>
      <c r="Q2474">
        <v>3.4016611909742601E-3</v>
      </c>
      <c r="R2474" s="8">
        <v>3.0499999523162802</v>
      </c>
      <c r="S2474" s="8">
        <v>-9.7402506924976207E-3</v>
      </c>
      <c r="T2474" s="9">
        <v>-9.7879972294063894E-3</v>
      </c>
      <c r="U2474" s="12">
        <v>4.7279000000000002E-2</v>
      </c>
      <c r="V2474" s="16">
        <v>5.0617999999999999</v>
      </c>
      <c r="W2474" s="17">
        <f t="shared" si="38"/>
        <v>-1.3827160493828927E-4</v>
      </c>
    </row>
    <row r="2475" spans="1:23" x14ac:dyDescent="0.2">
      <c r="A2475" s="15">
        <v>45170</v>
      </c>
      <c r="B2475" s="5">
        <v>158463387306944</v>
      </c>
      <c r="C2475" s="5">
        <f>[1]!nefin_factors__1[[#This Row],[Rm_minus_Rf]]/B2474-1</f>
        <v>-1.9036799163126601</v>
      </c>
      <c r="D2475" s="5">
        <v>131217152386447</v>
      </c>
      <c r="E2475" s="5">
        <f>[1]!nefin_factors__1[[#This Row],[SMB]]/D2474-1</f>
        <v>-1.1435055241497341</v>
      </c>
      <c r="F2475" s="5">
        <v>425384344867743</v>
      </c>
      <c r="G2475" s="5">
        <f>[1]!nefin_factors__1[[#This Row],[HML]]/F2474-1</f>
        <v>-1.8042180142099733</v>
      </c>
      <c r="H2475" s="5">
        <v>484054063799588</v>
      </c>
      <c r="I2475" s="6">
        <f>[1]!nefin_factors__1[[#This Row],[Risk_Free]]/H2474-1</f>
        <v>-7.2546807487050557E-4</v>
      </c>
      <c r="J2475">
        <v>126035</v>
      </c>
      <c r="K2475">
        <v>126760</v>
      </c>
      <c r="L2475">
        <v>125764</v>
      </c>
      <c r="M2475">
        <v>126576</v>
      </c>
      <c r="N2475">
        <v>7816400</v>
      </c>
      <c r="O2475">
        <v>126576</v>
      </c>
      <c r="P2475">
        <v>4.2924584440831E-3</v>
      </c>
      <c r="Q2475">
        <v>4.2832721228888097E-3</v>
      </c>
      <c r="R2475" s="8">
        <v>3.25</v>
      </c>
      <c r="S2475" s="8">
        <v>6.5573787150989396E-2</v>
      </c>
      <c r="T2475" s="9">
        <v>6.3513421356331201E-2</v>
      </c>
      <c r="U2475" s="12">
        <v>4.7279000000000002E-2</v>
      </c>
      <c r="V2475" s="16">
        <v>5.0384000000000002</v>
      </c>
      <c r="W2475" s="17">
        <f t="shared" si="38"/>
        <v>-4.6228614326918605E-3</v>
      </c>
    </row>
    <row r="2476" spans="1:23" x14ac:dyDescent="0.2">
      <c r="A2476" s="14">
        <v>45173</v>
      </c>
      <c r="B2476" s="3">
        <v>-142459272836716</v>
      </c>
      <c r="C2476" s="3">
        <f>[1]!nefin_factors__1[[#This Row],[Rm_minus_Rf]]/B2475-1</f>
        <v>-1.8990043394741525</v>
      </c>
      <c r="D2476" s="3">
        <v>-309502231070938</v>
      </c>
      <c r="E2476" s="3">
        <f>[1]!nefin_factors__1[[#This Row],[SMB]]/D2475-1</f>
        <v>-3.3587025433948186</v>
      </c>
      <c r="F2476" s="3">
        <v>-666372542296357</v>
      </c>
      <c r="G2476" s="3">
        <f>[1]!nefin_factors__1[[#This Row],[HML]]/F2475-1</f>
        <v>-2.5665187267376757</v>
      </c>
      <c r="H2476" s="3">
        <v>48264807103493</v>
      </c>
      <c r="I2476" s="4">
        <f>[1]!nefin_factors__1[[#This Row],[Risk_Free]]/H2475-1</f>
        <v>-0.90029046192766604</v>
      </c>
      <c r="J2476">
        <v>126553</v>
      </c>
      <c r="K2476">
        <v>126553</v>
      </c>
      <c r="L2476">
        <v>125341</v>
      </c>
      <c r="M2476">
        <v>125542</v>
      </c>
      <c r="N2476">
        <v>9613100</v>
      </c>
      <c r="O2476">
        <v>125542</v>
      </c>
      <c r="P2476">
        <v>-8.1690051826570596E-3</v>
      </c>
      <c r="Q2476">
        <v>-8.2025543392407509E-3</v>
      </c>
      <c r="R2476" s="8">
        <v>3.3299999237060498</v>
      </c>
      <c r="S2476" s="8">
        <v>2.4615361140324601E-2</v>
      </c>
      <c r="T2476" s="9">
        <v>2.4317284739611499E-2</v>
      </c>
      <c r="U2476" s="12">
        <v>4.7279000000000002E-2</v>
      </c>
      <c r="V2476" s="16">
        <v>5.0568</v>
      </c>
      <c r="W2476" s="17">
        <f t="shared" si="38"/>
        <v>3.6519530009526679E-3</v>
      </c>
    </row>
    <row r="2477" spans="1:23" x14ac:dyDescent="0.2">
      <c r="A2477" s="15">
        <v>45174</v>
      </c>
      <c r="B2477" s="5">
        <v>-378591075447347</v>
      </c>
      <c r="C2477" s="5">
        <f>[1]!nefin_factors__1[[#This Row],[Rm_minus_Rf]]/B2476-1</f>
        <v>1.6575390138434907</v>
      </c>
      <c r="D2477" s="5">
        <v>-375702484753596</v>
      </c>
      <c r="E2477" s="5">
        <f>[1]!nefin_factors__1[[#This Row],[SMB]]/D2476-1</f>
        <v>0.21389265419377512</v>
      </c>
      <c r="F2477" s="5">
        <v>52226917565828</v>
      </c>
      <c r="G2477" s="5">
        <f>[1]!nefin_factors__1[[#This Row],[HML]]/F2476-1</f>
        <v>-1.0783749543248753</v>
      </c>
      <c r="H2477" s="5">
        <v>481944888630848</v>
      </c>
      <c r="I2477" s="6">
        <f>[1]!nefin_factors__1[[#This Row],[Risk_Free]]/H2476-1</f>
        <v>8.9854307424750672</v>
      </c>
      <c r="J2477">
        <v>125517</v>
      </c>
      <c r="K2477">
        <v>125826</v>
      </c>
      <c r="L2477">
        <v>124840</v>
      </c>
      <c r="M2477">
        <v>125683</v>
      </c>
      <c r="N2477">
        <v>11013800</v>
      </c>
      <c r="O2477">
        <v>125683</v>
      </c>
      <c r="P2477">
        <v>1.1231301078522501E-3</v>
      </c>
      <c r="Q2477">
        <v>1.1224998690819599E-3</v>
      </c>
      <c r="R2477" s="8">
        <v>3.25</v>
      </c>
      <c r="S2477" s="8">
        <v>-2.40240016633455E-2</v>
      </c>
      <c r="T2477" s="9">
        <v>-2.4317284739611401E-2</v>
      </c>
      <c r="U2477" s="12">
        <v>4.7279000000000002E-2</v>
      </c>
      <c r="V2477" s="16">
        <v>5.0540000000000003</v>
      </c>
      <c r="W2477" s="17">
        <f t="shared" si="38"/>
        <v>-5.5370985603542255E-4</v>
      </c>
    </row>
    <row r="2478" spans="1:23" x14ac:dyDescent="0.2">
      <c r="A2478" s="14">
        <v>45175</v>
      </c>
      <c r="B2478" s="3">
        <v>-10473276130919</v>
      </c>
      <c r="C2478" s="3">
        <f>[1]!nefin_factors__1[[#This Row],[Rm_minus_Rf]]/B2477-1</f>
        <v>-0.97233617797634642</v>
      </c>
      <c r="D2478" s="3">
        <v>-456747311018923</v>
      </c>
      <c r="E2478" s="3">
        <f>[1]!nefin_factors__1[[#This Row],[SMB]]/D2477-1</f>
        <v>0.21571543855633579</v>
      </c>
      <c r="F2478" s="3">
        <v>454033102934864</v>
      </c>
      <c r="G2478" s="3">
        <f>[1]!nefin_factors__1[[#This Row],[HML]]/F2477-1</f>
        <v>7.6934692701821881</v>
      </c>
      <c r="H2478" s="3">
        <v>480889882374269</v>
      </c>
      <c r="I2478" s="4">
        <f>[1]!nefin_factors__1[[#This Row],[Risk_Free]]/H2477-1</f>
        <v>-2.1890599557475854E-3</v>
      </c>
      <c r="J2478">
        <v>125726</v>
      </c>
      <c r="K2478">
        <v>126916</v>
      </c>
      <c r="L2478">
        <v>125388</v>
      </c>
      <c r="M2478">
        <v>126538</v>
      </c>
      <c r="N2478">
        <v>12394200</v>
      </c>
      <c r="O2478">
        <v>126538</v>
      </c>
      <c r="P2478">
        <v>6.8028293404836003E-3</v>
      </c>
      <c r="Q2478">
        <v>6.7797945059884504E-3</v>
      </c>
      <c r="R2478" s="8">
        <v>3.3199999332428001</v>
      </c>
      <c r="S2478" s="8">
        <v>2.15384409977839E-2</v>
      </c>
      <c r="T2478" s="9">
        <v>2.1309766479159799E-2</v>
      </c>
      <c r="U2478" s="12">
        <v>4.7279000000000002E-2</v>
      </c>
      <c r="V2478" s="16">
        <v>5.0528000000000004</v>
      </c>
      <c r="W2478" s="17">
        <f t="shared" si="38"/>
        <v>-2.3743569449941049E-4</v>
      </c>
    </row>
    <row r="2479" spans="1:23" x14ac:dyDescent="0.2">
      <c r="A2479" s="15">
        <v>45177</v>
      </c>
      <c r="B2479" s="5">
        <v>-504572540082375</v>
      </c>
      <c r="C2479" s="5">
        <f>[1]!nefin_factors__1[[#This Row],[Rm_minus_Rf]]/B2478-1</f>
        <v>47.177144742014953</v>
      </c>
      <c r="D2479" s="5">
        <v>932251260045101</v>
      </c>
      <c r="E2479" s="5">
        <f>[1]!nefin_factors__1[[#This Row],[SMB]]/D2478-1</f>
        <v>-3.04106567801223</v>
      </c>
      <c r="F2479" s="5">
        <v>-134168114903705</v>
      </c>
      <c r="G2479" s="5">
        <f>[1]!nefin_factors__1[[#This Row],[HML]]/F2478-1</f>
        <v>-1.2955029358794414</v>
      </c>
      <c r="H2479" s="5">
        <v>480538151559795</v>
      </c>
      <c r="I2479" s="6">
        <f>[1]!nefin_factors__1[[#This Row],[Risk_Free]]/H2478-1</f>
        <v>-7.3141654122022004E-4</v>
      </c>
      <c r="J2479">
        <v>126541</v>
      </c>
      <c r="K2479">
        <v>127388</v>
      </c>
      <c r="L2479">
        <v>126018</v>
      </c>
      <c r="M2479">
        <v>126101</v>
      </c>
      <c r="N2479">
        <v>12417500</v>
      </c>
      <c r="O2479">
        <v>126101</v>
      </c>
      <c r="P2479">
        <v>-3.4535080371114199E-3</v>
      </c>
      <c r="Q2479">
        <v>-3.4594851613246802E-3</v>
      </c>
      <c r="R2479" s="8">
        <v>3.2999999523162802</v>
      </c>
      <c r="S2479" s="8">
        <v>-6.0240907616461196E-3</v>
      </c>
      <c r="T2479" s="9">
        <v>-6.04230879798237E-3</v>
      </c>
      <c r="U2479" s="12">
        <v>4.7279000000000002E-2</v>
      </c>
      <c r="V2479" s="16">
        <v>5.0164</v>
      </c>
      <c r="W2479" s="17">
        <f t="shared" si="38"/>
        <v>-7.203926535782279E-3</v>
      </c>
    </row>
    <row r="2480" spans="1:23" x14ac:dyDescent="0.2">
      <c r="A2480" s="14">
        <v>45180</v>
      </c>
      <c r="B2480" s="3">
        <v>127153436181085</v>
      </c>
      <c r="C2480" s="3">
        <f>[1]!nefin_factors__1[[#This Row],[Rm_minus_Rf]]/B2479-1</f>
        <v>-1.2520022912073778</v>
      </c>
      <c r="D2480" s="3">
        <v>-653894076077519</v>
      </c>
      <c r="E2480" s="3">
        <f>[1]!nefin_factors__1[[#This Row],[SMB]]/D2479-1</f>
        <v>-1.7014139900930618</v>
      </c>
      <c r="F2480" s="3">
        <v>803664845359178</v>
      </c>
      <c r="G2480" s="3">
        <f>[1]!nefin_factors__1[[#This Row],[HML]]/F2479-1</f>
        <v>-6.9899838790757665</v>
      </c>
      <c r="H2480" s="3">
        <v>479130917846016</v>
      </c>
      <c r="I2480" s="4">
        <f>[1]!nefin_factors__1[[#This Row],[Risk_Free]]/H2479-1</f>
        <v>-2.9284536705591613E-3</v>
      </c>
      <c r="J2480">
        <v>126168</v>
      </c>
      <c r="K2480">
        <v>127399</v>
      </c>
      <c r="L2480">
        <v>126168</v>
      </c>
      <c r="M2480">
        <v>127331</v>
      </c>
      <c r="N2480">
        <v>19238400</v>
      </c>
      <c r="O2480">
        <v>127331</v>
      </c>
      <c r="P2480">
        <v>9.7540860104201599E-3</v>
      </c>
      <c r="Q2480">
        <v>9.7068220096922508E-3</v>
      </c>
      <c r="R2480" s="8">
        <v>3.3599998950958301</v>
      </c>
      <c r="S2480" s="8">
        <v>1.8181801105004999E-2</v>
      </c>
      <c r="T2480" s="9">
        <v>1.8018488730808101E-2</v>
      </c>
      <c r="U2480" s="12">
        <v>4.7279000000000002E-2</v>
      </c>
      <c r="V2480" s="16">
        <v>5.0065</v>
      </c>
      <c r="W2480" s="17">
        <f t="shared" si="38"/>
        <v>-1.9735268319910348E-3</v>
      </c>
    </row>
    <row r="2481" spans="1:23" x14ac:dyDescent="0.2">
      <c r="A2481" s="15">
        <v>45181</v>
      </c>
      <c r="B2481" s="5">
        <v>86861556743539</v>
      </c>
      <c r="C2481" s="5">
        <f>[1]!nefin_factors__1[[#This Row],[Rm_minus_Rf]]/B2480-1</f>
        <v>-0.316876056579112</v>
      </c>
      <c r="D2481" s="5">
        <v>117946159225894</v>
      </c>
      <c r="E2481" s="5">
        <f>[1]!nefin_factors__1[[#This Row],[SMB]]/D2480-1</f>
        <v>-1.1803750233270374</v>
      </c>
      <c r="F2481" s="5">
        <v>397619478820443</v>
      </c>
      <c r="G2481" s="5">
        <f>[1]!nefin_factors__1[[#This Row],[HML]]/F2480-1</f>
        <v>-0.50524216516807219</v>
      </c>
      <c r="H2481" s="5">
        <v>478075166427283</v>
      </c>
      <c r="I2481" s="6">
        <f>[1]!nefin_factors__1[[#This Row],[Risk_Free]]/H2480-1</f>
        <v>-2.2034717013864613E-3</v>
      </c>
      <c r="J2481">
        <v>127331</v>
      </c>
      <c r="K2481">
        <v>128165</v>
      </c>
      <c r="L2481">
        <v>126656</v>
      </c>
      <c r="M2481">
        <v>128103</v>
      </c>
      <c r="N2481">
        <v>13696500</v>
      </c>
      <c r="O2481">
        <v>128103</v>
      </c>
      <c r="P2481">
        <v>6.0629383260950602E-3</v>
      </c>
      <c r="Q2481">
        <v>6.0446326689724602E-3</v>
      </c>
      <c r="R2481" s="8">
        <v>3.5</v>
      </c>
      <c r="S2481" s="8">
        <v>4.1666699189043303E-2</v>
      </c>
      <c r="T2481" s="9">
        <v>4.0822025741736198E-2</v>
      </c>
      <c r="U2481" s="12">
        <v>4.7279000000000002E-2</v>
      </c>
      <c r="V2481" s="16">
        <v>4.9981</v>
      </c>
      <c r="W2481" s="17">
        <f t="shared" si="38"/>
        <v>-1.6778188355138779E-3</v>
      </c>
    </row>
    <row r="2482" spans="1:23" x14ac:dyDescent="0.2">
      <c r="A2482" s="14">
        <v>45182</v>
      </c>
      <c r="B2482" s="3">
        <v>10458128863858</v>
      </c>
      <c r="C2482" s="3">
        <f>[1]!nefin_factors__1[[#This Row],[Rm_minus_Rf]]/B2481-1</f>
        <v>-0.87960002956502503</v>
      </c>
      <c r="D2482" s="3">
        <v>223769936887823</v>
      </c>
      <c r="E2482" s="3">
        <f>[1]!nefin_factors__1[[#This Row],[SMB]]/D2481-1</f>
        <v>0.89722105710328504</v>
      </c>
      <c r="F2482" s="3">
        <v>-936635813619433</v>
      </c>
      <c r="G2482" s="3">
        <f>[1]!nefin_factors__1[[#This Row],[HML]]/F2481-1</f>
        <v>-3.3556084737045766</v>
      </c>
      <c r="H2482" s="3">
        <v>477723187137791</v>
      </c>
      <c r="I2482" s="4">
        <f>[1]!nefin_factors__1[[#This Row],[Risk_Free]]/H2481-1</f>
        <v>-7.362425706450848E-4</v>
      </c>
      <c r="J2482">
        <v>128183</v>
      </c>
      <c r="K2482">
        <v>128183</v>
      </c>
      <c r="L2482">
        <v>126643</v>
      </c>
      <c r="M2482">
        <v>126803</v>
      </c>
      <c r="N2482">
        <v>10270500</v>
      </c>
      <c r="O2482">
        <v>126803</v>
      </c>
      <c r="P2482">
        <v>-1.01480839636855E-2</v>
      </c>
      <c r="Q2482">
        <v>-1.01999268029681E-2</v>
      </c>
      <c r="R2482" s="8">
        <v>3.3299999237060498</v>
      </c>
      <c r="S2482" s="8">
        <v>-4.8571450369698697E-2</v>
      </c>
      <c r="T2482" s="9">
        <v>-4.9790687414110503E-2</v>
      </c>
      <c r="U2482" s="12">
        <v>4.7279000000000002E-2</v>
      </c>
      <c r="V2482" s="16">
        <v>5.0054999999999996</v>
      </c>
      <c r="W2482" s="17">
        <f t="shared" si="38"/>
        <v>1.480562613793257E-3</v>
      </c>
    </row>
    <row r="2483" spans="1:23" x14ac:dyDescent="0.2">
      <c r="A2483" s="15">
        <v>45183</v>
      </c>
      <c r="B2483" s="5">
        <v>592132962770276</v>
      </c>
      <c r="C2483" s="5">
        <f>[1]!nefin_factors__1[[#This Row],[Rm_minus_Rf]]/B2482-1</f>
        <v>55.619398219179942</v>
      </c>
      <c r="D2483" s="5">
        <v>-143020214708161</v>
      </c>
      <c r="E2483" s="5">
        <f>[1]!nefin_factors__1[[#This Row],[SMB]]/D2482-1</f>
        <v>-1.6391395408037219</v>
      </c>
      <c r="F2483" s="5">
        <v>-443120002985008</v>
      </c>
      <c r="G2483" s="5">
        <f>[1]!nefin_factors__1[[#This Row],[HML]]/F2482-1</f>
        <v>-0.52690256282998238</v>
      </c>
      <c r="H2483" s="5">
        <v>47701913530096</v>
      </c>
      <c r="I2483" s="6">
        <f>[1]!nefin_factors__1[[#This Row],[Risk_Free]]/H2482-1</f>
        <v>-0.90014737652594368</v>
      </c>
      <c r="J2483">
        <v>126802</v>
      </c>
      <c r="K2483">
        <v>127489</v>
      </c>
      <c r="L2483">
        <v>126491</v>
      </c>
      <c r="M2483">
        <v>126903</v>
      </c>
      <c r="N2483">
        <v>11960300</v>
      </c>
      <c r="O2483">
        <v>126903</v>
      </c>
      <c r="P2483">
        <v>7.8862487480591003E-4</v>
      </c>
      <c r="Q2483">
        <v>7.8831407360230104E-4</v>
      </c>
      <c r="R2483" s="8">
        <v>3.5899999141693102</v>
      </c>
      <c r="S2483" s="8">
        <v>7.8078077003045407E-2</v>
      </c>
      <c r="T2483" s="9">
        <v>7.5179897510659899E-2</v>
      </c>
      <c r="U2483" s="12">
        <v>4.7279000000000002E-2</v>
      </c>
      <c r="V2483" s="16">
        <v>4.9480000000000004</v>
      </c>
      <c r="W2483" s="17">
        <f t="shared" si="38"/>
        <v>-1.1487363899710168E-2</v>
      </c>
    </row>
    <row r="2484" spans="1:23" x14ac:dyDescent="0.2">
      <c r="A2484" s="14">
        <v>45184</v>
      </c>
      <c r="B2484" s="3">
        <v>-465536623235321</v>
      </c>
      <c r="C2484" s="3">
        <f>[1]!nefin_factors__1[[#This Row],[Rm_minus_Rf]]/B2483-1</f>
        <v>-1.786202850551204</v>
      </c>
      <c r="D2484" s="3">
        <v>-960591662443521</v>
      </c>
      <c r="E2484" s="3">
        <f>[1]!nefin_factors__1[[#This Row],[SMB]]/D2483-1</f>
        <v>5.716474761303151</v>
      </c>
      <c r="F2484" s="3">
        <v>109117873424248</v>
      </c>
      <c r="G2484" s="3">
        <f>[1]!nefin_factors__1[[#This Row],[HML]]/F2483-1</f>
        <v>-1.2462490356770008</v>
      </c>
      <c r="H2484" s="3">
        <v>476314959083401</v>
      </c>
      <c r="I2484" s="4">
        <f>[1]!nefin_factors__1[[#This Row],[Risk_Free]]/H2483-1</f>
        <v>8.985237988050212</v>
      </c>
      <c r="J2484">
        <v>126907</v>
      </c>
      <c r="K2484">
        <v>127538</v>
      </c>
      <c r="L2484">
        <v>125614</v>
      </c>
      <c r="M2484">
        <v>125623</v>
      </c>
      <c r="N2484">
        <v>10837300</v>
      </c>
      <c r="O2484">
        <v>125623</v>
      </c>
      <c r="P2484">
        <v>-1.00864439768957E-2</v>
      </c>
      <c r="Q2484">
        <v>-1.01376568142451E-2</v>
      </c>
      <c r="R2484" s="8">
        <v>3.6900000572204599</v>
      </c>
      <c r="S2484" s="8">
        <v>2.78551937164284E-2</v>
      </c>
      <c r="T2484" s="9">
        <v>2.7474294967417701E-2</v>
      </c>
      <c r="U2484" s="12">
        <v>4.7279000000000002E-2</v>
      </c>
      <c r="V2484" s="16">
        <v>5.0073999999999996</v>
      </c>
      <c r="W2484" s="17">
        <f t="shared" si="38"/>
        <v>1.200485044462396E-2</v>
      </c>
    </row>
    <row r="2485" spans="1:23" x14ac:dyDescent="0.2">
      <c r="A2485" s="15">
        <v>45187</v>
      </c>
      <c r="B2485" s="5">
        <v>-36085561127778</v>
      </c>
      <c r="C2485" s="5">
        <f>[1]!nefin_factors__1[[#This Row],[Rm_minus_Rf]]/B2484-1</f>
        <v>-0.92248609598747433</v>
      </c>
      <c r="D2485" s="5">
        <v>312980940707168</v>
      </c>
      <c r="E2485" s="5">
        <f>[1]!nefin_factors__1[[#This Row],[SMB]]/D2484-1</f>
        <v>-1.3258210048492587</v>
      </c>
      <c r="F2485" s="5">
        <v>273143828467497</v>
      </c>
      <c r="G2485" s="5">
        <f>[1]!nefin_factors__1[[#This Row],[HML]]/F2484-1</f>
        <v>1.5031997040990666</v>
      </c>
      <c r="H2485" s="5">
        <v>475258461447137</v>
      </c>
      <c r="I2485" s="6">
        <f>[1]!nefin_factors__1[[#This Row],[Risk_Free]]/H2484-1</f>
        <v>-2.2180652026908554E-3</v>
      </c>
      <c r="J2485">
        <v>125623</v>
      </c>
      <c r="K2485">
        <v>126581</v>
      </c>
      <c r="L2485">
        <v>125566</v>
      </c>
      <c r="M2485">
        <v>126010</v>
      </c>
      <c r="N2485">
        <v>10505300</v>
      </c>
      <c r="O2485">
        <v>126010</v>
      </c>
      <c r="P2485">
        <v>3.0806460600367701E-3</v>
      </c>
      <c r="Q2485">
        <v>3.07591059300242E-3</v>
      </c>
      <c r="R2485" s="8">
        <v>3.7400000095367401</v>
      </c>
      <c r="S2485" s="8">
        <v>1.3550122368818401E-2</v>
      </c>
      <c r="T2485" s="9">
        <v>1.34591404170367E-2</v>
      </c>
      <c r="U2485" s="12">
        <v>4.7279000000000002E-2</v>
      </c>
      <c r="V2485" s="16">
        <v>5.0575000000000001</v>
      </c>
      <c r="W2485" s="17">
        <f t="shared" si="38"/>
        <v>1.0005192315373446E-2</v>
      </c>
    </row>
    <row r="2486" spans="1:23" x14ac:dyDescent="0.2">
      <c r="A2486" s="14">
        <v>45188</v>
      </c>
      <c r="B2486" s="3">
        <v>-337944939750343</v>
      </c>
      <c r="C2486" s="3">
        <f>[1]!nefin_factors__1[[#This Row],[Rm_minus_Rf]]/B2485-1</f>
        <v>8.3651014197531541</v>
      </c>
      <c r="D2486" s="3">
        <v>-236935014811785</v>
      </c>
      <c r="E2486" s="3">
        <f>[1]!nefin_factors__1[[#This Row],[SMB]]/D2485-1</f>
        <v>-1.7570269751136913</v>
      </c>
      <c r="F2486" s="3">
        <v>-98418089274043</v>
      </c>
      <c r="G2486" s="3">
        <f>[1]!nefin_factors__1[[#This Row],[HML]]/F2485-1</f>
        <v>-1.3603159911253655</v>
      </c>
      <c r="H2486" s="3">
        <v>474553974085357</v>
      </c>
      <c r="I2486" s="4">
        <f>[1]!nefin_factors__1[[#This Row],[Risk_Free]]/H2485-1</f>
        <v>-1.4823247115577365E-3</v>
      </c>
      <c r="J2486">
        <v>126010</v>
      </c>
      <c r="K2486">
        <v>127289</v>
      </c>
      <c r="L2486">
        <v>125562</v>
      </c>
      <c r="M2486">
        <v>127094</v>
      </c>
      <c r="N2486">
        <v>10745300</v>
      </c>
      <c r="O2486">
        <v>127094</v>
      </c>
      <c r="P2486">
        <v>8.6024918657250406E-3</v>
      </c>
      <c r="Q2486">
        <v>8.5657012758426406E-3</v>
      </c>
      <c r="R2486" s="8">
        <v>3.5999999046325701</v>
      </c>
      <c r="S2486" s="8">
        <v>-3.7433183034006397E-2</v>
      </c>
      <c r="T2486" s="9">
        <v>-3.8151795005261099E-2</v>
      </c>
      <c r="U2486" s="12">
        <v>4.7279000000000002E-2</v>
      </c>
      <c r="V2486" s="16">
        <v>5.0194000000000001</v>
      </c>
      <c r="W2486" s="17">
        <f t="shared" si="38"/>
        <v>-7.5333662876915231E-3</v>
      </c>
    </row>
    <row r="2487" spans="1:23" x14ac:dyDescent="0.2">
      <c r="A2487" s="15">
        <v>45189</v>
      </c>
      <c r="B2487" s="5">
        <v>588682945637309</v>
      </c>
      <c r="C2487" s="5">
        <f>[1]!nefin_factors__1[[#This Row],[Rm_minus_Rf]]/B2486-1</f>
        <v>-2.7419492834311967</v>
      </c>
      <c r="D2487" s="5">
        <v>328433798665021</v>
      </c>
      <c r="E2487" s="5">
        <f>[1]!nefin_factors__1[[#This Row],[SMB]]/D2486-1</f>
        <v>-2.3861767072541822</v>
      </c>
      <c r="F2487" s="5">
        <v>222019515417351</v>
      </c>
      <c r="G2487" s="5">
        <f>[1]!nefin_factors__1[[#This Row],[HML]]/F2486-1</f>
        <v>-3.2558811805332102</v>
      </c>
      <c r="H2487" s="5">
        <v>473497009526147</v>
      </c>
      <c r="I2487" s="6">
        <f>[1]!nefin_factors__1[[#This Row],[Risk_Free]]/H2486-1</f>
        <v>-2.2272799658820119E-3</v>
      </c>
      <c r="J2487">
        <v>127093</v>
      </c>
      <c r="K2487">
        <v>127154</v>
      </c>
      <c r="L2487">
        <v>126526</v>
      </c>
      <c r="M2487">
        <v>126916</v>
      </c>
      <c r="N2487">
        <v>7091900</v>
      </c>
      <c r="O2487">
        <v>126916</v>
      </c>
      <c r="P2487">
        <v>-1.4005381843360499E-3</v>
      </c>
      <c r="Q2487">
        <v>-1.40151985462382E-3</v>
      </c>
      <c r="R2487" s="8">
        <v>3.6099998950958301</v>
      </c>
      <c r="S2487" s="8">
        <v>2.77777520226841E-3</v>
      </c>
      <c r="T2487" s="9">
        <v>2.77392431435023E-3</v>
      </c>
      <c r="U2487" s="12">
        <v>4.5512999999999998E-2</v>
      </c>
      <c r="V2487" s="16">
        <v>4.891</v>
      </c>
      <c r="W2487" s="17">
        <f t="shared" si="38"/>
        <v>-2.55807467027932E-2</v>
      </c>
    </row>
    <row r="2488" spans="1:23" x14ac:dyDescent="0.2">
      <c r="A2488" s="14">
        <v>45190</v>
      </c>
      <c r="B2488" s="3">
        <v>-201821182924521</v>
      </c>
      <c r="C2488" s="3">
        <f>[1]!nefin_factors__1[[#This Row],[Rm_minus_Rf]]/B2487-1</f>
        <v>-1.3428351108524625</v>
      </c>
      <c r="D2488" s="3">
        <v>-832382830282422</v>
      </c>
      <c r="E2488" s="3">
        <f>[1]!nefin_factors__1[[#This Row],[SMB]]/D2487-1</f>
        <v>-3.5344006422779679</v>
      </c>
      <c r="F2488" s="3">
        <v>-496355204709778</v>
      </c>
      <c r="G2488" s="3">
        <f>[1]!nefin_factors__1[[#This Row],[HML]]/F2487-1</f>
        <v>-3.2356377266058454</v>
      </c>
      <c r="H2488" s="3">
        <v>472792210744588</v>
      </c>
      <c r="I2488" s="4">
        <f>[1]!nefin_factors__1[[#This Row],[Risk_Free]]/H2487-1</f>
        <v>-1.4884967959234441E-3</v>
      </c>
      <c r="J2488">
        <v>126923</v>
      </c>
      <c r="K2488">
        <v>127359</v>
      </c>
      <c r="L2488">
        <v>126013</v>
      </c>
      <c r="M2488">
        <v>126403</v>
      </c>
      <c r="N2488">
        <v>10266500</v>
      </c>
      <c r="O2488">
        <v>126403</v>
      </c>
      <c r="P2488">
        <v>-4.0420435563679503E-3</v>
      </c>
      <c r="Q2488">
        <v>-4.0502346944994204E-3</v>
      </c>
      <c r="R2488" s="8">
        <v>3.71000003814697</v>
      </c>
      <c r="S2488" s="8">
        <v>2.7700871456256101E-2</v>
      </c>
      <c r="T2488" s="9">
        <v>2.7324143616085698E-2</v>
      </c>
      <c r="U2488" s="12">
        <v>4.5512999999999998E-2</v>
      </c>
      <c r="V2488" s="16">
        <v>4.8998999999999997</v>
      </c>
      <c r="W2488" s="17">
        <f t="shared" si="38"/>
        <v>1.8196687793905486E-3</v>
      </c>
    </row>
    <row r="2489" spans="1:23" x14ac:dyDescent="0.2">
      <c r="A2489" s="15">
        <v>45191</v>
      </c>
      <c r="B2489" s="5">
        <v>-281501574562985</v>
      </c>
      <c r="C2489" s="5">
        <f>[1]!nefin_factors__1[[#This Row],[Rm_minus_Rf]]/B2488-1</f>
        <v>0.39480688044655654</v>
      </c>
      <c r="D2489" s="5">
        <v>-623576284130108</v>
      </c>
      <c r="E2489" s="5">
        <f>[1]!nefin_factors__1[[#This Row],[SMB]]/D2488-1</f>
        <v>-0.25085398035116524</v>
      </c>
      <c r="F2489" s="5">
        <v>-50743128735182</v>
      </c>
      <c r="G2489" s="5">
        <f>[1]!nefin_factors__1[[#This Row],[HML]]/F2488-1</f>
        <v>-0.89776851687321013</v>
      </c>
      <c r="H2489" s="5">
        <v>472792210744588</v>
      </c>
      <c r="I2489" s="6">
        <f>[1]!nefin_factors__1[[#This Row],[Risk_Free]]/H2488-1</f>
        <v>0</v>
      </c>
      <c r="J2489">
        <v>126406</v>
      </c>
      <c r="K2489">
        <v>129793</v>
      </c>
      <c r="L2489">
        <v>126299</v>
      </c>
      <c r="M2489">
        <v>129465</v>
      </c>
      <c r="N2489">
        <v>15066200</v>
      </c>
      <c r="O2489">
        <v>129465</v>
      </c>
      <c r="P2489">
        <v>2.4224108605017201E-2</v>
      </c>
      <c r="Q2489">
        <v>2.3935358731409399E-2</v>
      </c>
      <c r="R2489" s="8">
        <v>3.9100000858306898</v>
      </c>
      <c r="S2489" s="8">
        <v>5.3908368093604997E-2</v>
      </c>
      <c r="T2489" s="9">
        <v>5.2505509047310203E-2</v>
      </c>
      <c r="U2489" s="12">
        <v>4.5512999999999998E-2</v>
      </c>
      <c r="V2489" s="16">
        <v>4.867</v>
      </c>
      <c r="W2489" s="17">
        <f t="shared" si="38"/>
        <v>-6.7144227433212356E-3</v>
      </c>
    </row>
    <row r="2490" spans="1:23" x14ac:dyDescent="0.2">
      <c r="A2490" s="14">
        <v>45194</v>
      </c>
      <c r="B2490" s="3">
        <v>-6879867436</v>
      </c>
      <c r="C2490" s="3">
        <f>[1]!nefin_factors__1[[#This Row],[Rm_minus_Rf]]/B2489-1</f>
        <v>-0.99997556011028821</v>
      </c>
      <c r="D2490" s="3">
        <v>-656305575315509</v>
      </c>
      <c r="E2490" s="3">
        <f>[1]!nefin_factors__1[[#This Row],[SMB]]/D2489-1</f>
        <v>5.2486427111413603E-2</v>
      </c>
      <c r="F2490" s="3">
        <v>-882383478430791</v>
      </c>
      <c r="G2490" s="3">
        <f>[1]!nefin_factors__1[[#This Row],[HML]]/F2489-1</f>
        <v>16.389220972868458</v>
      </c>
      <c r="H2490" s="3">
        <v>472792210744588</v>
      </c>
      <c r="I2490" s="4">
        <f>[1]!nefin_factors__1[[#This Row],[Risk_Free]]/H2489-1</f>
        <v>0</v>
      </c>
      <c r="J2490">
        <v>129469</v>
      </c>
      <c r="K2490">
        <v>131260</v>
      </c>
      <c r="L2490">
        <v>129469</v>
      </c>
      <c r="M2490">
        <v>130842</v>
      </c>
      <c r="N2490">
        <v>15822800</v>
      </c>
      <c r="O2490">
        <v>130842</v>
      </c>
      <c r="P2490">
        <v>1.0636079249217899E-2</v>
      </c>
      <c r="Q2490">
        <v>1.0579914058932501E-2</v>
      </c>
      <c r="R2490" s="8">
        <v>3.8199999332428001</v>
      </c>
      <c r="S2490" s="8">
        <v>-2.30179413330549E-2</v>
      </c>
      <c r="T2490" s="9">
        <v>-2.3286990806080501E-2</v>
      </c>
      <c r="U2490" s="12">
        <v>4.5512999999999998E-2</v>
      </c>
      <c r="V2490" s="16">
        <v>4.8855000000000004</v>
      </c>
      <c r="W2490" s="17">
        <f t="shared" si="38"/>
        <v>3.8011095130472405E-3</v>
      </c>
    </row>
    <row r="2491" spans="1:23" x14ac:dyDescent="0.2">
      <c r="A2491" s="15">
        <v>45195</v>
      </c>
      <c r="B2491" s="5">
        <v>-152354535530191</v>
      </c>
      <c r="C2491" s="5">
        <f>[1]!nefin_factors__1[[#This Row],[Rm_minus_Rf]]/B2490-1</f>
        <v>22143.981272890764</v>
      </c>
      <c r="D2491" s="5">
        <v>933821502108721</v>
      </c>
      <c r="E2491" s="5">
        <f>[1]!nefin_factors__1[[#This Row],[SMB]]/D2490-1</f>
        <v>-2.4228456030711003</v>
      </c>
      <c r="F2491" s="5">
        <v>-87241067145449</v>
      </c>
      <c r="G2491" s="5">
        <f>[1]!nefin_factors__1[[#This Row],[HML]]/F2490-1</f>
        <v>-0.90113021234192148</v>
      </c>
      <c r="H2491" s="5">
        <v>472792210744588</v>
      </c>
      <c r="I2491" s="6">
        <f>[1]!nefin_factors__1[[#This Row],[Risk_Free]]/H2490-1</f>
        <v>0</v>
      </c>
      <c r="J2491">
        <v>130842</v>
      </c>
      <c r="K2491">
        <v>131661</v>
      </c>
      <c r="L2491">
        <v>129884</v>
      </c>
      <c r="M2491">
        <v>130197</v>
      </c>
      <c r="N2491">
        <v>15141000</v>
      </c>
      <c r="O2491">
        <v>130197</v>
      </c>
      <c r="P2491">
        <v>-4.9296097583344496E-3</v>
      </c>
      <c r="Q2491">
        <v>-4.9418003643073999E-3</v>
      </c>
      <c r="R2491" s="8">
        <v>3.8099999427795401</v>
      </c>
      <c r="S2491" s="8">
        <v>-2.6177985963386999E-3</v>
      </c>
      <c r="T2491" s="9">
        <v>-2.6212310226600101E-3</v>
      </c>
      <c r="U2491" s="12">
        <v>4.5512999999999998E-2</v>
      </c>
      <c r="V2491" s="16">
        <v>4.9006999999999996</v>
      </c>
      <c r="W2491" s="17">
        <f t="shared" si="38"/>
        <v>3.1112475693377828E-3</v>
      </c>
    </row>
    <row r="2492" spans="1:23" x14ac:dyDescent="0.2">
      <c r="A2492" s="14">
        <v>45196</v>
      </c>
      <c r="B2492" s="3">
        <v>-758146559623951</v>
      </c>
      <c r="C2492" s="3">
        <f>[1]!nefin_factors__1[[#This Row],[Rm_minus_Rf]]/B2491-1</f>
        <v>3.976199474374785</v>
      </c>
      <c r="D2492" s="3">
        <v>-434452966796295</v>
      </c>
      <c r="E2492" s="3">
        <f>[1]!nefin_factors__1[[#This Row],[SMB]]/D2491-1</f>
        <v>-1.4652419823437663</v>
      </c>
      <c r="F2492" s="3">
        <v>-502834050567263</v>
      </c>
      <c r="G2492" s="3">
        <f>[1]!nefin_factors__1[[#This Row],[HML]]/F2491-1</f>
        <v>4.7637310846843963</v>
      </c>
      <c r="H2492" s="3">
        <v>472792210744588</v>
      </c>
      <c r="I2492" s="4">
        <f>[1]!nefin_factors__1[[#This Row],[Risk_Free]]/H2491-1</f>
        <v>0</v>
      </c>
      <c r="J2492">
        <v>130202</v>
      </c>
      <c r="K2492">
        <v>131447</v>
      </c>
      <c r="L2492">
        <v>130198</v>
      </c>
      <c r="M2492">
        <v>131084</v>
      </c>
      <c r="N2492">
        <v>9604400</v>
      </c>
      <c r="O2492">
        <v>131084</v>
      </c>
      <c r="P2492">
        <v>6.8127529820196696E-3</v>
      </c>
      <c r="Q2492">
        <v>6.7896510462568697E-3</v>
      </c>
      <c r="R2492" s="8">
        <v>3.8199999332428001</v>
      </c>
      <c r="S2492" s="8">
        <v>2.6246694523468501E-3</v>
      </c>
      <c r="T2492" s="9">
        <v>2.6212310226599502E-3</v>
      </c>
      <c r="U2492" s="12">
        <v>4.5512999999999998E-2</v>
      </c>
      <c r="V2492" s="16">
        <v>4.9218999999999999</v>
      </c>
      <c r="W2492" s="17">
        <f t="shared" si="38"/>
        <v>4.3259126247272572E-3</v>
      </c>
    </row>
    <row r="2493" spans="1:23" x14ac:dyDescent="0.2">
      <c r="A2493" s="15">
        <v>45197</v>
      </c>
      <c r="B2493" s="5">
        <v>111482648501385</v>
      </c>
      <c r="C2493" s="5">
        <f>[1]!nefin_factors__1[[#This Row],[Rm_minus_Rf]]/B2492-1</f>
        <v>-1.1470463027052205</v>
      </c>
      <c r="D2493" s="5">
        <v>131185243703651</v>
      </c>
      <c r="E2493" s="5">
        <f>[1]!nefin_factors__1[[#This Row],[SMB]]/D2492-1</f>
        <v>-1.3019549956604641</v>
      </c>
      <c r="F2493" s="5">
        <v>29865853773831</v>
      </c>
      <c r="G2493" s="5">
        <f>[1]!nefin_factors__1[[#This Row],[HML]]/F2492-1</f>
        <v>-1.0593950503951322</v>
      </c>
      <c r="H2493" s="5">
        <v>472792210744588</v>
      </c>
      <c r="I2493" s="6">
        <f>[1]!nefin_factors__1[[#This Row],[Risk_Free]]/H2492-1</f>
        <v>0</v>
      </c>
      <c r="J2493">
        <v>131088</v>
      </c>
      <c r="K2493">
        <v>132047</v>
      </c>
      <c r="L2493">
        <v>131086</v>
      </c>
      <c r="M2493">
        <v>131851</v>
      </c>
      <c r="N2493">
        <v>9429700</v>
      </c>
      <c r="O2493">
        <v>131851</v>
      </c>
      <c r="P2493">
        <v>5.8512099112020301E-3</v>
      </c>
      <c r="Q2493">
        <v>5.83415806610717E-3</v>
      </c>
      <c r="R2493" s="8">
        <v>3.9000000953674299</v>
      </c>
      <c r="S2493" s="8">
        <v>2.0942451183951102E-2</v>
      </c>
      <c r="T2493" s="9">
        <v>2.0726172446011701E-2</v>
      </c>
      <c r="U2493" s="12">
        <v>4.5512999999999998E-2</v>
      </c>
      <c r="V2493" s="16">
        <v>4.9246999999999996</v>
      </c>
      <c r="W2493" s="17">
        <f t="shared" si="38"/>
        <v>5.688859993091544E-4</v>
      </c>
    </row>
    <row r="2494" spans="1:23" x14ac:dyDescent="0.2">
      <c r="A2494" s="14">
        <v>45198</v>
      </c>
      <c r="B2494" s="3">
        <v>571391265008042</v>
      </c>
      <c r="C2494" s="3">
        <f>[1]!nefin_factors__1[[#This Row],[Rm_minus_Rf]]/B2493-1</f>
        <v>4.1253829424490513</v>
      </c>
      <c r="D2494" s="3">
        <v>10578156447025</v>
      </c>
      <c r="E2494" s="3">
        <f>[1]!nefin_factors__1[[#This Row],[SMB]]/D2493-1</f>
        <v>-0.91936473837773114</v>
      </c>
      <c r="F2494" s="3">
        <v>741002300612371</v>
      </c>
      <c r="G2494" s="3">
        <f>[1]!nefin_factors__1[[#This Row],[HML]]/F2493-1</f>
        <v>23.811020177887919</v>
      </c>
      <c r="H2494" s="3">
        <v>472792210744588</v>
      </c>
      <c r="I2494" s="4">
        <f>[1]!nefin_factors__1[[#This Row],[Risk_Free]]/H2493-1</f>
        <v>0</v>
      </c>
      <c r="J2494">
        <v>131851</v>
      </c>
      <c r="K2494">
        <v>132341</v>
      </c>
      <c r="L2494">
        <v>130710</v>
      </c>
      <c r="M2494">
        <v>130804</v>
      </c>
      <c r="N2494">
        <v>10335800</v>
      </c>
      <c r="O2494">
        <v>130804</v>
      </c>
      <c r="P2494">
        <v>-7.94078163988143E-3</v>
      </c>
      <c r="Q2494">
        <v>-7.9724775514563601E-3</v>
      </c>
      <c r="R2494" s="8">
        <v>3.8399999141693102</v>
      </c>
      <c r="S2494" s="8">
        <v>-1.5384661469467801E-2</v>
      </c>
      <c r="T2494" s="9">
        <v>-1.55042333408946E-2</v>
      </c>
      <c r="U2494" s="12">
        <v>4.5512999999999998E-2</v>
      </c>
      <c r="V2494" s="16">
        <v>4.8681999999999999</v>
      </c>
      <c r="W2494" s="17">
        <f t="shared" si="38"/>
        <v>-1.1472780067821375E-2</v>
      </c>
    </row>
    <row r="2495" spans="1:23" x14ac:dyDescent="0.2">
      <c r="A2495" s="15">
        <v>45201</v>
      </c>
      <c r="B2495" s="5">
        <v>-118299107578598</v>
      </c>
      <c r="C2495" s="5">
        <f>[1]!nefin_factors__1[[#This Row],[Rm_minus_Rf]]/B2494-1</f>
        <v>-1.2070369549260314</v>
      </c>
      <c r="D2495" s="5">
        <v>-115603984940249</v>
      </c>
      <c r="E2495" s="5">
        <f>[1]!nefin_factors__1[[#This Row],[SMB]]/D2494-1</f>
        <v>-11.928556929479093</v>
      </c>
      <c r="F2495" s="5">
        <v>-997058335370458</v>
      </c>
      <c r="G2495" s="5">
        <f>[1]!nefin_factors__1[[#This Row],[HML]]/F2494-1</f>
        <v>-2.3455536299232538</v>
      </c>
      <c r="H2495" s="5">
        <v>473144625713129</v>
      </c>
      <c r="I2495" s="6">
        <f>[1]!nefin_factors__1[[#This Row],[Risk_Free]]/H2494-1</f>
        <v>7.4539080918012424E-4</v>
      </c>
      <c r="J2495">
        <v>130826</v>
      </c>
      <c r="K2495">
        <v>132277</v>
      </c>
      <c r="L2495">
        <v>130822</v>
      </c>
      <c r="M2495">
        <v>132182</v>
      </c>
      <c r="N2495">
        <v>8681000</v>
      </c>
      <c r="O2495">
        <v>132182</v>
      </c>
      <c r="P2495">
        <v>1.05348460291734E-2</v>
      </c>
      <c r="Q2495">
        <v>1.0479741214703299E-2</v>
      </c>
      <c r="R2495" s="8">
        <v>3.96000003814697</v>
      </c>
      <c r="S2495" s="8">
        <v>3.1250032984341897E-2</v>
      </c>
      <c r="T2495" s="9">
        <v>3.0771690651569601E-2</v>
      </c>
      <c r="U2495" s="12">
        <v>4.5512999999999998E-2</v>
      </c>
      <c r="V2495" s="16">
        <v>4.8574999999999999</v>
      </c>
      <c r="W2495" s="17">
        <f t="shared" si="38"/>
        <v>-2.1979376360872216E-3</v>
      </c>
    </row>
    <row r="2496" spans="1:23" x14ac:dyDescent="0.2">
      <c r="A2496" s="14">
        <v>45202</v>
      </c>
      <c r="B2496" s="3">
        <v>-137934151007789</v>
      </c>
      <c r="C2496" s="3">
        <f>[1]!nefin_factors__1[[#This Row],[Rm_minus_Rf]]/B2495-1</f>
        <v>0.16597795056184572</v>
      </c>
      <c r="D2496" s="3">
        <v>-692239348058912</v>
      </c>
      <c r="E2496" s="3">
        <f>[1]!nefin_factors__1[[#This Row],[SMB]]/D2495-1</f>
        <v>4.9880232365406982</v>
      </c>
      <c r="F2496" s="3">
        <v>-546799322668133</v>
      </c>
      <c r="G2496" s="3">
        <f>[1]!nefin_factors__1[[#This Row],[HML]]/F2495-1</f>
        <v>-0.4515874314766456</v>
      </c>
      <c r="H2496" s="3">
        <v>47243976461453</v>
      </c>
      <c r="I2496" s="4">
        <f>[1]!nefin_factors__1[[#This Row],[Risk_Free]]/H2495-1</f>
        <v>-0.90014897370915636</v>
      </c>
      <c r="J2496">
        <v>132553</v>
      </c>
      <c r="K2496">
        <v>133035</v>
      </c>
      <c r="L2496">
        <v>132094</v>
      </c>
      <c r="M2496">
        <v>132753</v>
      </c>
      <c r="N2496">
        <v>8231100</v>
      </c>
      <c r="O2496">
        <v>132753</v>
      </c>
      <c r="P2496">
        <v>4.3198014858301104E-3</v>
      </c>
      <c r="Q2496">
        <v>4.3104979267875199E-3</v>
      </c>
      <c r="R2496" s="8">
        <v>3.96000003814697</v>
      </c>
      <c r="S2496" s="8">
        <v>0</v>
      </c>
      <c r="T2496" s="9">
        <v>0</v>
      </c>
      <c r="U2496" s="12">
        <v>4.5512999999999998E-2</v>
      </c>
      <c r="V2496" s="16">
        <v>4.8849</v>
      </c>
      <c r="W2496" s="17">
        <f t="shared" si="38"/>
        <v>5.6407617086979833E-3</v>
      </c>
    </row>
    <row r="2497" spans="1:23" x14ac:dyDescent="0.2">
      <c r="A2497" s="15">
        <v>45203</v>
      </c>
      <c r="B2497" s="5">
        <v>142633219172089</v>
      </c>
      <c r="C2497" s="5">
        <f>[1]!nefin_factors__1[[#This Row],[Rm_minus_Rf]]/B2496-1</f>
        <v>-2.0340674744431828</v>
      </c>
      <c r="D2497" s="5">
        <v>904435881868489</v>
      </c>
      <c r="E2497" s="5">
        <f>[1]!nefin_factors__1[[#This Row],[SMB]]/D2496-1</f>
        <v>-2.3065363654992899</v>
      </c>
      <c r="F2497" s="5">
        <v>-8750089402654</v>
      </c>
      <c r="G2497" s="5">
        <f>[1]!nefin_factors__1[[#This Row],[HML]]/F2496-1</f>
        <v>-0.9839976220892932</v>
      </c>
      <c r="H2497" s="5">
        <v>472087287317624</v>
      </c>
      <c r="I2497" s="6">
        <f>[1]!nefin_factors__1[[#This Row],[Risk_Free]]/H2496-1</f>
        <v>8.9925392119100387</v>
      </c>
      <c r="J2497">
        <v>132753</v>
      </c>
      <c r="K2497">
        <v>133645</v>
      </c>
      <c r="L2497">
        <v>132753</v>
      </c>
      <c r="M2497">
        <v>133533</v>
      </c>
      <c r="N2497">
        <v>0</v>
      </c>
      <c r="O2497">
        <v>133533</v>
      </c>
      <c r="P2497">
        <v>5.8755734333686398E-3</v>
      </c>
      <c r="Q2497">
        <v>5.8583795681217696E-3</v>
      </c>
      <c r="R2497" s="8">
        <v>3.9800000190734899</v>
      </c>
      <c r="S2497" s="8">
        <v>5.05050018531628E-3</v>
      </c>
      <c r="T2497" s="9">
        <v>5.0377891892165599E-3</v>
      </c>
      <c r="U2497" s="12">
        <v>4.5512999999999998E-2</v>
      </c>
      <c r="V2497" s="16">
        <v>4.8723000000000001</v>
      </c>
      <c r="W2497" s="17">
        <f t="shared" si="38"/>
        <v>-2.5793772646318658E-3</v>
      </c>
    </row>
    <row r="2498" spans="1:23" x14ac:dyDescent="0.2">
      <c r="A2498" s="14">
        <v>45204</v>
      </c>
      <c r="B2498" s="3">
        <v>-331204920002864</v>
      </c>
      <c r="C2498" s="3">
        <f>[1]!nefin_factors__1[[#This Row],[Rm_minus_Rf]]/B2497-1</f>
        <v>-3.3220742119215623</v>
      </c>
      <c r="D2498" s="3">
        <v>-32967997735624</v>
      </c>
      <c r="E2498" s="3">
        <f>[1]!nefin_factors__1[[#This Row],[SMB]]/D2497-1</f>
        <v>-1.0364514482414329</v>
      </c>
      <c r="F2498" s="3">
        <v>-105409871085053</v>
      </c>
      <c r="G2498" s="3">
        <f>[1]!nefin_factors__1[[#This Row],[HML]]/F2497-1</f>
        <v>11.046719323014118</v>
      </c>
      <c r="H2498" s="3">
        <v>472087287317624</v>
      </c>
      <c r="I2498" s="4">
        <f>[1]!nefin_factors__1[[#This Row],[Risk_Free]]/H2497-1</f>
        <v>0</v>
      </c>
      <c r="J2498">
        <v>133523</v>
      </c>
      <c r="K2498">
        <v>134195</v>
      </c>
      <c r="L2498">
        <v>133328</v>
      </c>
      <c r="M2498">
        <v>134194</v>
      </c>
      <c r="N2498">
        <v>6168200</v>
      </c>
      <c r="O2498">
        <v>134194</v>
      </c>
      <c r="P2498">
        <v>4.95008724435153E-3</v>
      </c>
      <c r="Q2498">
        <v>4.9378758442391998E-3</v>
      </c>
      <c r="R2498" s="8">
        <v>4.0100002288818404</v>
      </c>
      <c r="S2498" s="8">
        <v>7.53774112175343E-3</v>
      </c>
      <c r="T2498" s="9">
        <v>7.5094743075612E-3</v>
      </c>
      <c r="U2498" s="12">
        <v>4.5512999999999998E-2</v>
      </c>
      <c r="V2498" s="16">
        <v>4.8806000000000003</v>
      </c>
      <c r="W2498" s="17">
        <f t="shared" si="38"/>
        <v>1.7035075836873137E-3</v>
      </c>
    </row>
    <row r="2499" spans="1:23" x14ac:dyDescent="0.2">
      <c r="A2499" s="15">
        <v>45205</v>
      </c>
      <c r="B2499" s="5">
        <v>617869404550839</v>
      </c>
      <c r="C2499" s="5">
        <f>[1]!nefin_factors__1[[#This Row],[Rm_minus_Rf]]/B2498-1</f>
        <v>-2.865520006603453</v>
      </c>
      <c r="D2499" s="5">
        <v>-788773083199896</v>
      </c>
      <c r="E2499" s="5">
        <f>[1]!nefin_factors__1[[#This Row],[SMB]]/D2498-1</f>
        <v>22.925416688183553</v>
      </c>
      <c r="F2499" s="5">
        <v>23207200686714</v>
      </c>
      <c r="G2499" s="5">
        <f>[1]!nefin_factors__1[[#This Row],[HML]]/F2498-1</f>
        <v>-1.2201615507905195</v>
      </c>
      <c r="H2499" s="5">
        <v>471382239201512</v>
      </c>
      <c r="I2499" s="6">
        <f>[1]!nefin_factors__1[[#This Row],[Risk_Free]]/H2498-1</f>
        <v>-1.4934698202064833E-3</v>
      </c>
      <c r="J2499">
        <v>134194</v>
      </c>
      <c r="K2499">
        <v>134392</v>
      </c>
      <c r="L2499">
        <v>133832</v>
      </c>
      <c r="M2499">
        <v>134185</v>
      </c>
      <c r="N2499">
        <v>7812700</v>
      </c>
      <c r="O2499">
        <v>134185</v>
      </c>
      <c r="P2499">
        <v>-6.7067081985783302E-5</v>
      </c>
      <c r="Q2499">
        <v>-6.7069331083087098E-5</v>
      </c>
      <c r="R2499" s="8">
        <v>3.5</v>
      </c>
      <c r="S2499" s="8">
        <v>-0.12718209470627601</v>
      </c>
      <c r="T2499" s="9">
        <v>-0.13602832990087299</v>
      </c>
      <c r="U2499" s="12">
        <v>4.5512999999999998E-2</v>
      </c>
      <c r="V2499" s="16">
        <v>4.8967999999999998</v>
      </c>
      <c r="W2499" s="17">
        <f t="shared" si="38"/>
        <v>3.3192640249148919E-3</v>
      </c>
    </row>
    <row r="2500" spans="1:23" x14ac:dyDescent="0.2">
      <c r="A2500" s="14">
        <v>45208</v>
      </c>
      <c r="B2500" s="3">
        <v>803703658495548</v>
      </c>
      <c r="C2500" s="3">
        <f>[1]!nefin_factors__1[[#This Row],[Rm_minus_Rf]]/B2499-1</f>
        <v>0.30076623405523928</v>
      </c>
      <c r="D2500" s="3">
        <v>-726226912827124</v>
      </c>
      <c r="E2500" s="3">
        <f>[1]!nefin_factors__1[[#This Row],[SMB]]/D2499-1</f>
        <v>-7.9295518197749049E-2</v>
      </c>
      <c r="F2500" s="3">
        <v>-575396051167454</v>
      </c>
      <c r="G2500" s="3">
        <f>[1]!nefin_factors__1[[#This Row],[HML]]/F2499-1</f>
        <v>-25.793858549982946</v>
      </c>
      <c r="H2500" s="3">
        <v>469619073105054</v>
      </c>
      <c r="I2500" s="4">
        <f>[1]!nefin_factors__1[[#This Row],[Risk_Free]]/H2499-1</f>
        <v>-3.7404169054919834E-3</v>
      </c>
      <c r="J2500">
        <v>134186</v>
      </c>
      <c r="K2500">
        <v>134195</v>
      </c>
      <c r="L2500">
        <v>132095</v>
      </c>
      <c r="M2500">
        <v>132697</v>
      </c>
      <c r="N2500">
        <v>8437800</v>
      </c>
      <c r="O2500">
        <v>132697</v>
      </c>
      <c r="P2500">
        <v>-1.10891679397846E-2</v>
      </c>
      <c r="Q2500">
        <v>-1.11511111205002E-2</v>
      </c>
      <c r="R2500" s="8">
        <v>3.2799999713897701</v>
      </c>
      <c r="S2500" s="8">
        <v>-6.2857151031494099E-2</v>
      </c>
      <c r="T2500" s="9">
        <v>-6.4919554821946598E-2</v>
      </c>
      <c r="U2500" s="12">
        <v>4.5512999999999998E-2</v>
      </c>
      <c r="V2500" s="16">
        <v>4.8930999999999996</v>
      </c>
      <c r="W2500" s="17">
        <f t="shared" ref="W2500:W2563" si="39">V2500/V2499-1</f>
        <v>-7.5559549093295875E-4</v>
      </c>
    </row>
    <row r="2501" spans="1:23" x14ac:dyDescent="0.2">
      <c r="A2501" s="15">
        <v>45209</v>
      </c>
      <c r="B2501" s="5">
        <v>129457554474863</v>
      </c>
      <c r="C2501" s="5">
        <f>[1]!nefin_factors__1[[#This Row],[Rm_minus_Rf]]/B2500-1</f>
        <v>-0.8389237710859816</v>
      </c>
      <c r="D2501" s="5">
        <v>141724266324064</v>
      </c>
      <c r="E2501" s="5">
        <f>[1]!nefin_factors__1[[#This Row],[SMB]]/D2500-1</f>
        <v>-1.1951514930400287</v>
      </c>
      <c r="F2501" s="5">
        <v>375227474556322</v>
      </c>
      <c r="G2501" s="5">
        <f>[1]!nefin_factors__1[[#This Row],[HML]]/F2500-1</f>
        <v>-1.6521203504872886</v>
      </c>
      <c r="H2501" s="5">
        <v>468913588227871</v>
      </c>
      <c r="I2501" s="6">
        <f>[1]!nefin_factors__1[[#This Row],[Risk_Free]]/H2500-1</f>
        <v>-1.5022492006520061E-3</v>
      </c>
      <c r="J2501">
        <v>132697</v>
      </c>
      <c r="K2501">
        <v>133576</v>
      </c>
      <c r="L2501">
        <v>132250</v>
      </c>
      <c r="M2501">
        <v>132834</v>
      </c>
      <c r="N2501">
        <v>8702400</v>
      </c>
      <c r="O2501">
        <v>132834</v>
      </c>
      <c r="P2501">
        <v>1.0324272590940299E-3</v>
      </c>
      <c r="Q2501">
        <v>1.03189467261105E-3</v>
      </c>
      <c r="R2501" s="8">
        <v>3.2599999904632599</v>
      </c>
      <c r="S2501" s="8">
        <v>-6.09755521370914E-3</v>
      </c>
      <c r="T2501" s="9">
        <v>-6.1162212201864002E-3</v>
      </c>
      <c r="U2501" s="12">
        <v>4.5512999999999998E-2</v>
      </c>
      <c r="V2501" s="16">
        <v>4.8926999999999996</v>
      </c>
      <c r="W2501" s="17">
        <f t="shared" si="39"/>
        <v>-8.1747767264106486E-5</v>
      </c>
    </row>
    <row r="2502" spans="1:23" x14ac:dyDescent="0.2">
      <c r="A2502" s="14">
        <v>45210</v>
      </c>
      <c r="B2502" s="3">
        <v>671660827878409</v>
      </c>
      <c r="C2502" s="3">
        <f>[1]!nefin_factors__1[[#This Row],[Rm_minus_Rf]]/B2501-1</f>
        <v>4.1882706312734079</v>
      </c>
      <c r="D2502" s="3">
        <v>-825587767422733</v>
      </c>
      <c r="E2502" s="3">
        <f>[1]!nefin_factors__1[[#This Row],[SMB]]/D2501-1</f>
        <v>-6.8253098699058334</v>
      </c>
      <c r="F2502" s="3">
        <v>669860577127981</v>
      </c>
      <c r="G2502" s="3">
        <f>[1]!nefin_factors__1[[#This Row],[HML]]/F2501-1</f>
        <v>0.78521196487554712</v>
      </c>
      <c r="H2502" s="3">
        <v>468207978462143</v>
      </c>
      <c r="I2502" s="4">
        <f>[1]!nefin_factors__1[[#This Row],[Risk_Free]]/H2501-1</f>
        <v>-1.5047756845661953E-3</v>
      </c>
      <c r="J2502">
        <v>132831</v>
      </c>
      <c r="K2502">
        <v>132885</v>
      </c>
      <c r="L2502">
        <v>131024</v>
      </c>
      <c r="M2502">
        <v>131226</v>
      </c>
      <c r="N2502">
        <v>8972300</v>
      </c>
      <c r="O2502">
        <v>131226</v>
      </c>
      <c r="P2502">
        <v>-1.21053344776186E-2</v>
      </c>
      <c r="Q2502">
        <v>-1.2179200761672599E-2</v>
      </c>
      <c r="R2502" s="8">
        <v>3.1900000572204599</v>
      </c>
      <c r="S2502" s="8">
        <v>-2.1472372223182299E-2</v>
      </c>
      <c r="T2502" s="9">
        <v>-2.1706257719033901E-2</v>
      </c>
      <c r="U2502" s="12">
        <v>4.5512999999999998E-2</v>
      </c>
      <c r="V2502" s="16">
        <v>4.8951000000000002</v>
      </c>
      <c r="W2502" s="17">
        <f t="shared" si="39"/>
        <v>4.9052670304750023E-4</v>
      </c>
    </row>
    <row r="2503" spans="1:23" x14ac:dyDescent="0.2">
      <c r="A2503" s="15">
        <v>45212</v>
      </c>
      <c r="B2503" s="5">
        <v>-115049861431065</v>
      </c>
      <c r="C2503" s="5">
        <f>[1]!nefin_factors__1[[#This Row],[Rm_minus_Rf]]/B2502-1</f>
        <v>-1.1712916053098938</v>
      </c>
      <c r="D2503" s="5">
        <v>-750577919410742</v>
      </c>
      <c r="E2503" s="5">
        <f>[1]!nefin_factors__1[[#This Row],[SMB]]/D2502-1</f>
        <v>-9.0856297745486203E-2</v>
      </c>
      <c r="F2503" s="5">
        <v>-130095499605259</v>
      </c>
      <c r="G2503" s="5">
        <f>[1]!nefin_factors__1[[#This Row],[HML]]/F2502-1</f>
        <v>-1.194212801958046</v>
      </c>
      <c r="H2503" s="5">
        <v>467149329550498</v>
      </c>
      <c r="I2503" s="6">
        <f>[1]!nefin_factors__1[[#This Row],[Risk_Free]]/H2502-1</f>
        <v>-2.2610655100799848E-3</v>
      </c>
      <c r="J2503">
        <v>131218</v>
      </c>
      <c r="K2503">
        <v>132635</v>
      </c>
      <c r="L2503">
        <v>130579</v>
      </c>
      <c r="M2503">
        <v>132023</v>
      </c>
      <c r="N2503">
        <v>9199700</v>
      </c>
      <c r="O2503">
        <v>132023</v>
      </c>
      <c r="P2503">
        <v>6.0734915336899701E-3</v>
      </c>
      <c r="Q2503">
        <v>6.0551222236948903E-3</v>
      </c>
      <c r="R2503" s="8">
        <v>3.1800000667571999</v>
      </c>
      <c r="S2503" s="8">
        <v>-3.1347931924396999E-3</v>
      </c>
      <c r="T2503" s="9">
        <v>-3.1397169492849201E-3</v>
      </c>
      <c r="U2503" s="12">
        <v>4.5512999999999998E-2</v>
      </c>
      <c r="V2503" s="16">
        <v>4.8867000000000003</v>
      </c>
      <c r="W2503" s="17">
        <f t="shared" si="39"/>
        <v>-1.7160017160017249E-3</v>
      </c>
    </row>
    <row r="2504" spans="1:23" x14ac:dyDescent="0.2">
      <c r="A2504" s="14">
        <v>45215</v>
      </c>
      <c r="B2504" s="3">
        <v>562701160485469</v>
      </c>
      <c r="C2504" s="3">
        <f>[1]!nefin_factors__1[[#This Row],[Rm_minus_Rf]]/B2503-1</f>
        <v>-5.8909329701594251</v>
      </c>
      <c r="D2504" s="3">
        <v>-362896533606608</v>
      </c>
      <c r="E2504" s="3">
        <f>[1]!nefin_factors__1[[#This Row],[SMB]]/D2503-1</f>
        <v>-0.51651051247083313</v>
      </c>
      <c r="F2504" s="3">
        <v>208816926844433</v>
      </c>
      <c r="G2504" s="3">
        <f>[1]!nefin_factors__1[[#This Row],[HML]]/F2503-1</f>
        <v>-2.60510492275316</v>
      </c>
      <c r="H2504" s="3">
        <v>466090399390717</v>
      </c>
      <c r="I2504" s="4">
        <f>[1]!nefin_factors__1[[#This Row],[Risk_Free]]/H2503-1</f>
        <v>-2.2667915649154935E-3</v>
      </c>
      <c r="J2504">
        <v>132023</v>
      </c>
      <c r="K2504">
        <v>132498</v>
      </c>
      <c r="L2504">
        <v>131015</v>
      </c>
      <c r="M2504">
        <v>132427</v>
      </c>
      <c r="N2504">
        <v>8497500</v>
      </c>
      <c r="O2504">
        <v>132427</v>
      </c>
      <c r="P2504">
        <v>3.0600728660914499E-3</v>
      </c>
      <c r="Q2504">
        <v>3.0554003728050501E-3</v>
      </c>
      <c r="R2504" s="8">
        <v>3.3199999332428001</v>
      </c>
      <c r="S2504" s="8">
        <v>4.4025114322831002E-2</v>
      </c>
      <c r="T2504" s="9">
        <v>4.3083545035889903E-2</v>
      </c>
      <c r="U2504" s="12">
        <v>4.5512999999999998E-2</v>
      </c>
      <c r="V2504" s="16">
        <v>4.8933</v>
      </c>
      <c r="W2504" s="17">
        <f t="shared" si="39"/>
        <v>1.3506047025599877E-3</v>
      </c>
    </row>
    <row r="2505" spans="1:23" x14ac:dyDescent="0.2">
      <c r="A2505" s="15">
        <v>45216</v>
      </c>
      <c r="B2505" s="5">
        <v>-734953908663831</v>
      </c>
      <c r="C2505" s="5">
        <f>[1]!nefin_factors__1[[#This Row],[Rm_minus_Rf]]/B2504-1</f>
        <v>-2.3061176345002581</v>
      </c>
      <c r="D2505" s="5">
        <v>364324047270428</v>
      </c>
      <c r="E2505" s="5">
        <f>[1]!nefin_factors__1[[#This Row],[SMB]]/D2504-1</f>
        <v>-2.0039336657466325</v>
      </c>
      <c r="F2505" s="5">
        <v>-41766388816128</v>
      </c>
      <c r="G2505" s="5">
        <f>[1]!nefin_factors__1[[#This Row],[HML]]/F2504-1</f>
        <v>-1.2000143831598653</v>
      </c>
      <c r="H2505" s="5">
        <v>465737360145102</v>
      </c>
      <c r="I2505" s="6">
        <f>[1]!nefin_factors__1[[#This Row],[Risk_Free]]/H2504-1</f>
        <v>-7.5744801024968389E-4</v>
      </c>
      <c r="J2505">
        <v>132424</v>
      </c>
      <c r="K2505">
        <v>132426</v>
      </c>
      <c r="L2505">
        <v>131203</v>
      </c>
      <c r="M2505">
        <v>131447</v>
      </c>
      <c r="N2505">
        <v>9287500</v>
      </c>
      <c r="O2505">
        <v>131447</v>
      </c>
      <c r="P2505">
        <v>-7.4003035634726501E-3</v>
      </c>
      <c r="Q2505">
        <v>-7.4278216554328003E-3</v>
      </c>
      <c r="R2505" s="8">
        <v>3.4000000953674299</v>
      </c>
      <c r="S2505" s="8">
        <v>2.4096434859411001E-2</v>
      </c>
      <c r="T2505" s="9">
        <v>2.3810696850554001E-2</v>
      </c>
      <c r="U2505" s="12">
        <v>4.5512999999999998E-2</v>
      </c>
      <c r="V2505" s="16">
        <v>4.9355000000000002</v>
      </c>
      <c r="W2505" s="17">
        <f t="shared" si="39"/>
        <v>8.6240369484806845E-3</v>
      </c>
    </row>
    <row r="2506" spans="1:23" x14ac:dyDescent="0.2">
      <c r="A2506" s="14">
        <v>45217</v>
      </c>
      <c r="B2506" s="3">
        <v>-14430648621216</v>
      </c>
      <c r="C2506" s="3">
        <f>[1]!nefin_factors__1[[#This Row],[Rm_minus_Rf]]/B2505-1</f>
        <v>-0.98036523317842972</v>
      </c>
      <c r="D2506" s="3">
        <v>-423778377623153</v>
      </c>
      <c r="E2506" s="3">
        <f>[1]!nefin_factors__1[[#This Row],[SMB]]/D2505-1</f>
        <v>-2.1631907934657786</v>
      </c>
      <c r="F2506" s="3">
        <v>-406803330124092</v>
      </c>
      <c r="G2506" s="3">
        <f>[1]!nefin_factors__1[[#This Row],[HML]]/F2505-1</f>
        <v>8.7399689476387241</v>
      </c>
      <c r="H2506" s="3">
        <v>464678054754142</v>
      </c>
      <c r="I2506" s="4">
        <f>[1]!nefin_factors__1[[#This Row],[Risk_Free]]/H2505-1</f>
        <v>-2.2744694362289986E-3</v>
      </c>
      <c r="J2506">
        <v>131447</v>
      </c>
      <c r="K2506">
        <v>131628</v>
      </c>
      <c r="L2506">
        <v>130438</v>
      </c>
      <c r="M2506">
        <v>130841</v>
      </c>
      <c r="N2506">
        <v>8958400</v>
      </c>
      <c r="O2506">
        <v>130841</v>
      </c>
      <c r="P2506">
        <v>-4.6102231317565199E-3</v>
      </c>
      <c r="Q2506">
        <v>-4.62088298590766E-3</v>
      </c>
      <c r="R2506" s="8">
        <v>3.25</v>
      </c>
      <c r="S2506" s="8">
        <v>-4.4117673870600699E-2</v>
      </c>
      <c r="T2506" s="9">
        <v>-4.5120463329713797E-2</v>
      </c>
      <c r="U2506" s="12">
        <v>4.5512999999999998E-2</v>
      </c>
      <c r="V2506" s="16">
        <v>4.9191000000000003</v>
      </c>
      <c r="W2506" s="17">
        <f t="shared" si="39"/>
        <v>-3.3228649579576386E-3</v>
      </c>
    </row>
    <row r="2507" spans="1:23" x14ac:dyDescent="0.2">
      <c r="A2507" s="15">
        <v>45218</v>
      </c>
      <c r="B2507" s="5">
        <v>760112472226101</v>
      </c>
      <c r="C2507" s="5">
        <f>[1]!nefin_factors__1[[#This Row],[Rm_minus_Rf]]/B2506-1</f>
        <v>-53.673479354807412</v>
      </c>
      <c r="D2507" s="5">
        <v>-217888315927343</v>
      </c>
      <c r="E2507" s="5">
        <f>[1]!nefin_factors__1[[#This Row],[SMB]]/D2506-1</f>
        <v>-0.48584371588419917</v>
      </c>
      <c r="F2507" s="5">
        <v>454596310747757</v>
      </c>
      <c r="G2507" s="5">
        <f>[1]!nefin_factors__1[[#This Row],[HML]]/F2506-1</f>
        <v>-2.1174842413632309</v>
      </c>
      <c r="H2507" s="5">
        <v>463971694726117</v>
      </c>
      <c r="I2507" s="6">
        <f>[1]!nefin_factors__1[[#This Row],[Risk_Free]]/H2506-1</f>
        <v>-1.5201062774499174E-3</v>
      </c>
      <c r="J2507">
        <v>130841</v>
      </c>
      <c r="K2507">
        <v>131308</v>
      </c>
      <c r="L2507">
        <v>129898</v>
      </c>
      <c r="M2507">
        <v>130649</v>
      </c>
      <c r="N2507">
        <v>9761700</v>
      </c>
      <c r="O2507">
        <v>130649</v>
      </c>
      <c r="P2507">
        <v>-1.46742993404203E-3</v>
      </c>
      <c r="Q2507">
        <v>-1.4685076638053299E-3</v>
      </c>
      <c r="R2507" s="8">
        <v>3.2200000286102299</v>
      </c>
      <c r="S2507" s="8">
        <v>-9.2307604276217203E-3</v>
      </c>
      <c r="T2507" s="9">
        <v>-9.2736279001648103E-3</v>
      </c>
      <c r="U2507" s="12">
        <v>4.5512999999999998E-2</v>
      </c>
      <c r="V2507" s="16">
        <v>4.9090999999999996</v>
      </c>
      <c r="W2507" s="17">
        <f t="shared" si="39"/>
        <v>-2.0328921957269985E-3</v>
      </c>
    </row>
    <row r="2508" spans="1:23" x14ac:dyDescent="0.2">
      <c r="A2508" s="14">
        <v>45219</v>
      </c>
      <c r="B2508" s="3">
        <v>-681559018502367</v>
      </c>
      <c r="C2508" s="3">
        <f>[1]!nefin_factors__1[[#This Row],[Rm_minus_Rf]]/B2507-1</f>
        <v>-1.8966554863996921</v>
      </c>
      <c r="D2508" s="3">
        <v>510240637022742</v>
      </c>
      <c r="E2508" s="3">
        <f>[1]!nefin_factors__1[[#This Row],[SMB]]/D2507-1</f>
        <v>-3.3417530896557426</v>
      </c>
      <c r="F2508" s="3">
        <v>-516862546801695</v>
      </c>
      <c r="G2508" s="3">
        <f>[1]!nefin_factors__1[[#This Row],[HML]]/F2507-1</f>
        <v>-2.1369703945716529</v>
      </c>
      <c r="H2508" s="3">
        <v>463265209498909</v>
      </c>
      <c r="I2508" s="4">
        <f>[1]!nefin_factors__1[[#This Row],[Risk_Free]]/H2507-1</f>
        <v>-1.5226903607234998E-3</v>
      </c>
      <c r="J2508">
        <v>130652</v>
      </c>
      <c r="K2508">
        <v>131927</v>
      </c>
      <c r="L2508">
        <v>130410</v>
      </c>
      <c r="M2508">
        <v>130988</v>
      </c>
      <c r="N2508">
        <v>10661900</v>
      </c>
      <c r="O2508">
        <v>130988</v>
      </c>
      <c r="P2508">
        <v>2.5947385743481099E-3</v>
      </c>
      <c r="Q2508">
        <v>2.59137805207613E-3</v>
      </c>
      <c r="R2508" s="8">
        <v>3.3099999427795401</v>
      </c>
      <c r="S2508" s="8">
        <v>2.79502836551699E-2</v>
      </c>
      <c r="T2508" s="9">
        <v>2.7566803660342198E-2</v>
      </c>
      <c r="U2508" s="12">
        <v>4.5512999999999998E-2</v>
      </c>
      <c r="V2508" s="16">
        <v>4.9522000000000004</v>
      </c>
      <c r="W2508" s="17">
        <f t="shared" si="39"/>
        <v>8.7796133710864588E-3</v>
      </c>
    </row>
    <row r="2509" spans="1:23" x14ac:dyDescent="0.2">
      <c r="A2509" s="15">
        <v>45222</v>
      </c>
      <c r="B2509" s="5">
        <v>-361760794103784</v>
      </c>
      <c r="C2509" s="5">
        <f>[1]!nefin_factors__1[[#This Row],[Rm_minus_Rf]]/B2508-1</f>
        <v>-0.46921574759775897</v>
      </c>
      <c r="D2509" s="5">
        <v>870704365679547</v>
      </c>
      <c r="E2509" s="5">
        <f>[1]!nefin_factors__1[[#This Row],[SMB]]/D2508-1</f>
        <v>0.70645829144482408</v>
      </c>
      <c r="F2509" s="5">
        <v>-463412990169139</v>
      </c>
      <c r="G2509" s="5">
        <f>[1]!nefin_factors__1[[#This Row],[HML]]/F2508-1</f>
        <v>-0.10341154909230255</v>
      </c>
      <c r="H2509" s="5">
        <v>462205246812397</v>
      </c>
      <c r="I2509" s="6">
        <f>[1]!nefin_factors__1[[#This Row],[Risk_Free]]/H2508-1</f>
        <v>-2.2880256595536608E-3</v>
      </c>
      <c r="J2509">
        <v>130988</v>
      </c>
      <c r="K2509">
        <v>131606</v>
      </c>
      <c r="L2509">
        <v>130253</v>
      </c>
      <c r="M2509">
        <v>131521</v>
      </c>
      <c r="N2509">
        <v>5746600</v>
      </c>
      <c r="O2509">
        <v>131521</v>
      </c>
      <c r="P2509">
        <v>4.0690750297738302E-3</v>
      </c>
      <c r="Q2509">
        <v>4.0608187333896796E-3</v>
      </c>
      <c r="R2509" s="8">
        <v>3.3499999046325701</v>
      </c>
      <c r="S2509" s="8">
        <v>1.20845808291579E-2</v>
      </c>
      <c r="T2509" s="9">
        <v>1.2012145267260899E-2</v>
      </c>
      <c r="U2509" s="12">
        <v>4.5512999999999998E-2</v>
      </c>
      <c r="V2509" s="16">
        <v>4.9031000000000002</v>
      </c>
      <c r="W2509" s="17">
        <f t="shared" si="39"/>
        <v>-9.9147853479262249E-3</v>
      </c>
    </row>
    <row r="2510" spans="1:23" x14ac:dyDescent="0.2">
      <c r="A2510" s="14">
        <v>45223</v>
      </c>
      <c r="B2510" s="3">
        <v>785099767798546</v>
      </c>
      <c r="C2510" s="3">
        <f>[1]!nefin_factors__1[[#This Row],[Rm_minus_Rf]]/B2509-1</f>
        <v>-3.1702179467610083</v>
      </c>
      <c r="D2510" s="3">
        <v>845105272465404</v>
      </c>
      <c r="E2510" s="3">
        <f>[1]!nefin_factors__1[[#This Row],[SMB]]/D2509-1</f>
        <v>-2.9400442013592043E-2</v>
      </c>
      <c r="F2510" s="3">
        <v>493456480080251</v>
      </c>
      <c r="G2510" s="3">
        <f>[1]!nefin_factors__1[[#This Row],[HML]]/F2509-1</f>
        <v>-2.0648309187451703</v>
      </c>
      <c r="H2510" s="3">
        <v>461498448392383</v>
      </c>
      <c r="I2510" s="4">
        <f>[1]!nefin_factors__1[[#This Row],[Risk_Free]]/H2509-1</f>
        <v>-1.5291873575395964E-3</v>
      </c>
      <c r="J2510">
        <v>131515</v>
      </c>
      <c r="K2510">
        <v>131517</v>
      </c>
      <c r="L2510">
        <v>129147</v>
      </c>
      <c r="M2510">
        <v>129294</v>
      </c>
      <c r="N2510">
        <v>11911300</v>
      </c>
      <c r="O2510">
        <v>129294</v>
      </c>
      <c r="P2510">
        <v>-1.69326571422054E-2</v>
      </c>
      <c r="Q2510">
        <v>-1.70776536964608E-2</v>
      </c>
      <c r="R2510" s="8">
        <v>3.28999996185303</v>
      </c>
      <c r="S2510" s="8">
        <v>-1.7910431190332199E-2</v>
      </c>
      <c r="T2510" s="9">
        <v>-1.80727641866287E-2</v>
      </c>
      <c r="U2510" s="12">
        <v>4.5512999999999998E-2</v>
      </c>
      <c r="V2510" s="16">
        <v>4.8948999999999998</v>
      </c>
      <c r="W2510" s="17">
        <f t="shared" si="39"/>
        <v>-1.6724113316066713E-3</v>
      </c>
    </row>
    <row r="2511" spans="1:23" x14ac:dyDescent="0.2">
      <c r="A2511" s="15">
        <v>45224</v>
      </c>
      <c r="B2511" s="5">
        <v>-116762054954732</v>
      </c>
      <c r="C2511" s="5">
        <f>[1]!nefin_factors__1[[#This Row],[Rm_minus_Rf]]/B2510-1</f>
        <v>-1.1487225697214736</v>
      </c>
      <c r="D2511" s="5">
        <v>-889456234514703</v>
      </c>
      <c r="E2511" s="5">
        <f>[1]!nefin_factors__1[[#This Row],[SMB]]/D2510-1</f>
        <v>-2.0524798075391426</v>
      </c>
      <c r="F2511" s="5">
        <v>32836857416579</v>
      </c>
      <c r="G2511" s="5">
        <f>[1]!nefin_factors__1[[#This Row],[HML]]/F2510-1</f>
        <v>-0.9334554135123756</v>
      </c>
      <c r="H2511" s="5">
        <v>460791524617754</v>
      </c>
      <c r="I2511" s="6">
        <f>[1]!nefin_factors__1[[#This Row],[Risk_Free]]/H2510-1</f>
        <v>-1.5318009780781461E-3</v>
      </c>
      <c r="J2511">
        <v>129293</v>
      </c>
      <c r="K2511">
        <v>129296</v>
      </c>
      <c r="L2511">
        <v>128312</v>
      </c>
      <c r="M2511">
        <v>128524</v>
      </c>
      <c r="N2511">
        <v>9952500</v>
      </c>
      <c r="O2511">
        <v>128524</v>
      </c>
      <c r="P2511">
        <v>-5.95541943168287E-3</v>
      </c>
      <c r="Q2511">
        <v>-5.9732236649642102E-3</v>
      </c>
      <c r="R2511" s="8">
        <v>3.1900000572204599</v>
      </c>
      <c r="S2511" s="8">
        <v>-3.03951081434801E-2</v>
      </c>
      <c r="T2511" s="9">
        <v>-3.08666184482549E-2</v>
      </c>
      <c r="U2511" s="12">
        <v>4.5512999999999998E-2</v>
      </c>
      <c r="V2511" s="16">
        <v>4.9157999999999999</v>
      </c>
      <c r="W2511" s="17">
        <f t="shared" si="39"/>
        <v>4.2697501481132605E-3</v>
      </c>
    </row>
    <row r="2512" spans="1:23" x14ac:dyDescent="0.2">
      <c r="A2512" s="14">
        <v>45225</v>
      </c>
      <c r="B2512" s="3">
        <v>161992049364064</v>
      </c>
      <c r="C2512" s="3">
        <f>[1]!nefin_factors__1[[#This Row],[Rm_minus_Rf]]/B2511-1</f>
        <v>-2.387368948130173</v>
      </c>
      <c r="D2512" s="3">
        <v>554007897834354</v>
      </c>
      <c r="E2512" s="3">
        <f>[1]!nefin_factors__1[[#This Row],[SMB]]/D2511-1</f>
        <v>-1.62286133520288</v>
      </c>
      <c r="F2512" s="3">
        <v>787271889533839</v>
      </c>
      <c r="G2512" s="3">
        <f>[1]!nefin_factors__1[[#This Row],[HML]]/F2511-1</f>
        <v>22.9752507234859</v>
      </c>
      <c r="H2512" s="3">
        <v>459730903817457</v>
      </c>
      <c r="I2512" s="4">
        <f>[1]!nefin_factors__1[[#This Row],[Risk_Free]]/H2511-1</f>
        <v>-2.3017367803733757E-3</v>
      </c>
      <c r="J2512">
        <v>128524</v>
      </c>
      <c r="K2512">
        <v>129047</v>
      </c>
      <c r="L2512">
        <v>127316</v>
      </c>
      <c r="M2512">
        <v>127316</v>
      </c>
      <c r="N2512">
        <v>12460800</v>
      </c>
      <c r="O2512">
        <v>127316</v>
      </c>
      <c r="P2512">
        <v>-9.3990227506146606E-3</v>
      </c>
      <c r="Q2512">
        <v>-9.4434723057876292E-3</v>
      </c>
      <c r="R2512" s="8">
        <v>3.2599999904632599</v>
      </c>
      <c r="S2512" s="8">
        <v>2.1943552347077701E-2</v>
      </c>
      <c r="T2512" s="9">
        <v>2.1706257719033999E-2</v>
      </c>
      <c r="U2512" s="12">
        <v>4.5512999999999998E-2</v>
      </c>
      <c r="V2512" s="16">
        <v>4.944</v>
      </c>
      <c r="W2512" s="17">
        <f t="shared" si="39"/>
        <v>5.736604418405955E-3</v>
      </c>
    </row>
    <row r="2513" spans="1:23" x14ac:dyDescent="0.2">
      <c r="A2513" s="15">
        <v>45226</v>
      </c>
      <c r="B2513" s="5">
        <v>-165488238104924</v>
      </c>
      <c r="C2513" s="5">
        <f>[1]!nefin_factors__1[[#This Row],[Rm_minus_Rf]]/B2512-1</f>
        <v>-2.0215824712051305</v>
      </c>
      <c r="D2513" s="5">
        <v>-222289679514983</v>
      </c>
      <c r="E2513" s="5">
        <f>[1]!nefin_factors__1[[#This Row],[SMB]]/D2512-1</f>
        <v>-1.4012391887984359</v>
      </c>
      <c r="F2513" s="5">
        <v>374485849348999</v>
      </c>
      <c r="G2513" s="5">
        <f>[1]!nefin_factors__1[[#This Row],[HML]]/F2512-1</f>
        <v>-0.5243246274540041</v>
      </c>
      <c r="H2513" s="5">
        <v>459023666460334</v>
      </c>
      <c r="I2513" s="6">
        <f>[1]!nefin_factors__1[[#This Row],[Risk_Free]]/H2512-1</f>
        <v>-1.5383724506017327E-3</v>
      </c>
      <c r="J2513">
        <v>127319</v>
      </c>
      <c r="K2513">
        <v>127820</v>
      </c>
      <c r="L2513">
        <v>126533</v>
      </c>
      <c r="M2513">
        <v>127636</v>
      </c>
      <c r="N2513">
        <v>11956900</v>
      </c>
      <c r="O2513">
        <v>127636</v>
      </c>
      <c r="P2513">
        <v>2.5134311476955298E-3</v>
      </c>
      <c r="Q2513">
        <v>2.5102777624010698E-3</v>
      </c>
      <c r="R2513" s="8">
        <v>3.25</v>
      </c>
      <c r="S2513" s="8">
        <v>-3.0674817461688901E-3</v>
      </c>
      <c r="T2513" s="9">
        <v>-3.0721961115888E-3</v>
      </c>
      <c r="U2513" s="12">
        <v>4.5512999999999998E-2</v>
      </c>
      <c r="V2513" s="16">
        <v>4.9476000000000004</v>
      </c>
      <c r="W2513" s="17">
        <f t="shared" si="39"/>
        <v>7.2815533980596925E-4</v>
      </c>
    </row>
    <row r="2514" spans="1:23" x14ac:dyDescent="0.2">
      <c r="A2514" s="14">
        <v>45229</v>
      </c>
      <c r="B2514" s="3">
        <v>-767442505599715</v>
      </c>
      <c r="C2514" s="3">
        <f>[1]!nefin_factors__1[[#This Row],[Rm_minus_Rf]]/B2513-1</f>
        <v>3.6374444153132854</v>
      </c>
      <c r="D2514" s="3">
        <v>-578557968930578</v>
      </c>
      <c r="E2514" s="3">
        <f>[1]!nefin_factors__1[[#This Row],[SMB]]/D2513-1</f>
        <v>1.6027207839470634</v>
      </c>
      <c r="F2514" s="3">
        <v>35103087948084</v>
      </c>
      <c r="G2514" s="3">
        <f>[1]!nefin_factors__1[[#This Row],[HML]]/F2513-1</f>
        <v>-0.90626324597015695</v>
      </c>
      <c r="H2514" s="3">
        <v>457962575077575</v>
      </c>
      <c r="I2514" s="4">
        <f>[1]!nefin_factors__1[[#This Row],[Risk_Free]]/H2513-1</f>
        <v>-2.3116267423450854E-3</v>
      </c>
      <c r="J2514">
        <v>127636</v>
      </c>
      <c r="K2514">
        <v>127843</v>
      </c>
      <c r="L2514">
        <v>125876</v>
      </c>
      <c r="M2514">
        <v>126602</v>
      </c>
      <c r="N2514">
        <v>9509100</v>
      </c>
      <c r="O2514">
        <v>126602</v>
      </c>
      <c r="P2514">
        <v>-8.1011626813751701E-3</v>
      </c>
      <c r="Q2514">
        <v>-8.1341554068767707E-3</v>
      </c>
      <c r="R2514" s="8">
        <v>3.1700000762939502</v>
      </c>
      <c r="S2514" s="8">
        <v>-2.4615361140324501E-2</v>
      </c>
      <c r="T2514" s="9">
        <v>-2.4923384384966499E-2</v>
      </c>
      <c r="U2514" s="12">
        <v>4.5512999999999998E-2</v>
      </c>
      <c r="V2514" s="16">
        <v>4.9580000000000002</v>
      </c>
      <c r="W2514" s="17">
        <f t="shared" si="39"/>
        <v>2.1020292667150997E-3</v>
      </c>
    </row>
    <row r="2515" spans="1:23" x14ac:dyDescent="0.2">
      <c r="A2515" s="15">
        <v>45230</v>
      </c>
      <c r="B2515" s="5">
        <v>500624793524108</v>
      </c>
      <c r="C2515" s="5">
        <f>[1]!nefin_factors__1[[#This Row],[Rm_minus_Rf]]/B2514-1</f>
        <v>-1.6523287280431473</v>
      </c>
      <c r="D2515" s="5">
        <v>721793639377881</v>
      </c>
      <c r="E2515" s="5">
        <f>[1]!nefin_factors__1[[#This Row],[SMB]]/D2514-1</f>
        <v>-2.2475735849115752</v>
      </c>
      <c r="F2515" s="5">
        <v>-77345049003877</v>
      </c>
      <c r="G2515" s="5">
        <f>[1]!nefin_factors__1[[#This Row],[HML]]/F2514-1</f>
        <v>-3.2033688067063242</v>
      </c>
      <c r="H2515" s="5">
        <v>457255023859071</v>
      </c>
      <c r="I2515" s="6">
        <f>[1]!nefin_factors__1[[#This Row],[Risk_Free]]/H2514-1</f>
        <v>-1.544997903778822E-3</v>
      </c>
      <c r="J2515">
        <v>126612</v>
      </c>
      <c r="K2515">
        <v>128331</v>
      </c>
      <c r="L2515">
        <v>126612</v>
      </c>
      <c r="M2515">
        <v>128263</v>
      </c>
      <c r="N2515">
        <v>9366100</v>
      </c>
      <c r="O2515">
        <v>128263</v>
      </c>
      <c r="P2515">
        <v>1.31198559264467E-2</v>
      </c>
      <c r="Q2515">
        <v>1.30345360626584E-2</v>
      </c>
      <c r="R2515" s="8">
        <v>3.2200000286102299</v>
      </c>
      <c r="S2515" s="8">
        <v>1.5772855240666E-2</v>
      </c>
      <c r="T2515" s="9">
        <v>1.56497564848018E-2</v>
      </c>
      <c r="U2515" s="12">
        <v>4.3739E-2</v>
      </c>
      <c r="V2515" s="16">
        <v>4.8912000000000004</v>
      </c>
      <c r="W2515" s="17">
        <f t="shared" si="39"/>
        <v>-1.3473174667204435E-2</v>
      </c>
    </row>
    <row r="2516" spans="1:23" x14ac:dyDescent="0.2">
      <c r="A2516" s="14">
        <v>45231</v>
      </c>
      <c r="B2516" s="3">
        <v>154731686535899</v>
      </c>
      <c r="C2516" s="3">
        <f>[1]!nefin_factors__1[[#This Row],[Rm_minus_Rf]]/B2515-1</f>
        <v>-0.69092284573706841</v>
      </c>
      <c r="D2516" s="3">
        <v>-73117843070095</v>
      </c>
      <c r="E2516" s="3">
        <f>[1]!nefin_factors__1[[#This Row],[SMB]]/D2515-1</f>
        <v>-1.1013002042150382</v>
      </c>
      <c r="F2516" s="3">
        <v>412660919273226</v>
      </c>
      <c r="G2516" s="3">
        <f>[1]!nefin_factors__1[[#This Row],[HML]]/F2515-1</f>
        <v>-6.335324297907432</v>
      </c>
      <c r="H2516" s="3">
        <v>456193461474852</v>
      </c>
      <c r="I2516" s="4">
        <f>[1]!nefin_factors__1[[#This Row],[Risk_Free]]/H2515-1</f>
        <v>-2.321598077282494E-3</v>
      </c>
      <c r="J2516">
        <v>128275</v>
      </c>
      <c r="K2516">
        <v>129446</v>
      </c>
      <c r="L2516">
        <v>127680</v>
      </c>
      <c r="M2516">
        <v>127816</v>
      </c>
      <c r="N2516">
        <v>8823800</v>
      </c>
      <c r="O2516">
        <v>127816</v>
      </c>
      <c r="P2516">
        <v>-3.4850268588758602E-3</v>
      </c>
      <c r="Q2516">
        <v>-3.49111371098953E-3</v>
      </c>
      <c r="R2516" s="8">
        <v>3.1600000858306898</v>
      </c>
      <c r="S2516" s="8">
        <v>-1.8633522436780101E-2</v>
      </c>
      <c r="T2516" s="9">
        <v>-1.88093136810507E-2</v>
      </c>
      <c r="U2516" s="12">
        <v>4.3739E-2</v>
      </c>
      <c r="V2516" s="16">
        <v>4.9397000000000002</v>
      </c>
      <c r="W2516" s="17">
        <f t="shared" si="39"/>
        <v>9.9157670919201024E-3</v>
      </c>
    </row>
    <row r="2517" spans="1:23" x14ac:dyDescent="0.2">
      <c r="A2517" s="15">
        <v>45233</v>
      </c>
      <c r="B2517" s="5">
        <v>271664403829705</v>
      </c>
      <c r="C2517" s="5">
        <f>[1]!nefin_factors__1[[#This Row],[Rm_minus_Rf]]/B2516-1</f>
        <v>0.75571280783963179</v>
      </c>
      <c r="D2517" s="5">
        <v>19775272285233</v>
      </c>
      <c r="E2517" s="5">
        <f>[1]!nefin_factors__1[[#This Row],[SMB]]/D2516-1</f>
        <v>-1.2704575443544646</v>
      </c>
      <c r="F2517" s="5">
        <v>384776406084887</v>
      </c>
      <c r="G2517" s="5">
        <f>[1]!nefin_factors__1[[#This Row],[HML]]/F2516-1</f>
        <v>-6.757245933888989E-2</v>
      </c>
      <c r="H2517" s="5">
        <v>455131616288851</v>
      </c>
      <c r="I2517" s="6">
        <f>[1]!nefin_factors__1[[#This Row],[Risk_Free]]/H2516-1</f>
        <v>-2.3276203533652007E-3</v>
      </c>
      <c r="J2517">
        <v>127815</v>
      </c>
      <c r="K2517">
        <v>128697</v>
      </c>
      <c r="L2517">
        <v>127803</v>
      </c>
      <c r="M2517">
        <v>128169</v>
      </c>
      <c r="N2517">
        <v>8757600</v>
      </c>
      <c r="O2517">
        <v>128169</v>
      </c>
      <c r="P2517">
        <v>2.7617825624335298E-3</v>
      </c>
      <c r="Q2517">
        <v>2.7579758482396601E-3</v>
      </c>
      <c r="R2517" s="8">
        <v>3.21000003814697</v>
      </c>
      <c r="S2517" s="8">
        <v>1.5822769290571199E-2</v>
      </c>
      <c r="T2517" s="9">
        <v>1.5698894265285899E-2</v>
      </c>
      <c r="U2517" s="12">
        <v>4.3739E-2</v>
      </c>
      <c r="V2517" s="16">
        <v>4.9398999999999997</v>
      </c>
      <c r="W2517" s="17">
        <f t="shared" si="39"/>
        <v>4.0488288762352553E-5</v>
      </c>
    </row>
    <row r="2518" spans="1:23" x14ac:dyDescent="0.2">
      <c r="A2518" s="14">
        <v>45236</v>
      </c>
      <c r="B2518" s="3">
        <v>937133759108943</v>
      </c>
      <c r="C2518" s="3">
        <f>[1]!nefin_factors__1[[#This Row],[Rm_minus_Rf]]/B2517-1</f>
        <v>2.4496008527359101</v>
      </c>
      <c r="D2518" s="3">
        <v>-178397246300391</v>
      </c>
      <c r="E2518" s="3">
        <f>[1]!nefin_factors__1[[#This Row],[SMB]]/D2517-1</f>
        <v>-10.021228316214259</v>
      </c>
      <c r="F2518" s="3">
        <v>331390094362208</v>
      </c>
      <c r="G2518" s="3">
        <f>[1]!nefin_factors__1[[#This Row],[HML]]/F2517-1</f>
        <v>-0.13874632352302085</v>
      </c>
      <c r="H2518" s="3">
        <v>454069488149633</v>
      </c>
      <c r="I2518" s="4">
        <f>[1]!nefin_factors__1[[#This Row],[Risk_Free]]/H2517-1</f>
        <v>-2.3336725052823803E-3</v>
      </c>
      <c r="J2518">
        <v>128196</v>
      </c>
      <c r="K2518">
        <v>129252</v>
      </c>
      <c r="L2518">
        <v>127869</v>
      </c>
      <c r="M2518">
        <v>128967</v>
      </c>
      <c r="N2518">
        <v>8508000</v>
      </c>
      <c r="O2518">
        <v>128967</v>
      </c>
      <c r="P2518">
        <v>6.2261545303465803E-3</v>
      </c>
      <c r="Q2518">
        <v>6.2068521087029196E-3</v>
      </c>
      <c r="R2518" s="8">
        <v>3.0699999332428001</v>
      </c>
      <c r="S2518" s="8">
        <v>-4.3613739327240698E-2</v>
      </c>
      <c r="T2518" s="9">
        <v>-4.45934091716279E-2</v>
      </c>
      <c r="U2518" s="12">
        <v>4.3739E-2</v>
      </c>
      <c r="V2518" s="16">
        <v>4.8662999999999998</v>
      </c>
      <c r="W2518" s="17">
        <f t="shared" si="39"/>
        <v>-1.4899087026053137E-2</v>
      </c>
    </row>
    <row r="2519" spans="1:23" x14ac:dyDescent="0.2">
      <c r="A2519" s="15">
        <v>45237</v>
      </c>
      <c r="B2519" s="5">
        <v>942259298482948</v>
      </c>
      <c r="C2519" s="5">
        <f>[1]!nefin_factors__1[[#This Row],[Rm_minus_Rf]]/B2518-1</f>
        <v>5.4693786497228558E-3</v>
      </c>
      <c r="D2519" s="5">
        <v>171219665910749</v>
      </c>
      <c r="E2519" s="5">
        <f>[1]!nefin_factors__1[[#This Row],[SMB]]/D2518-1</f>
        <v>-1.9597663050383853</v>
      </c>
      <c r="F2519" s="5">
        <v>177301106930736</v>
      </c>
      <c r="G2519" s="5">
        <f>[1]!nefin_factors__1[[#This Row],[HML]]/F2518-1</f>
        <v>-0.46497765036710292</v>
      </c>
      <c r="H2519" s="5">
        <v>453361245452921</v>
      </c>
      <c r="I2519" s="6">
        <f>[1]!nefin_factors__1[[#This Row],[Risk_Free]]/H2518-1</f>
        <v>-1.5597672056718581E-3</v>
      </c>
      <c r="J2519">
        <v>128970</v>
      </c>
      <c r="K2519">
        <v>129068</v>
      </c>
      <c r="L2519">
        <v>127853</v>
      </c>
      <c r="M2519">
        <v>128503</v>
      </c>
      <c r="N2519">
        <v>8764500</v>
      </c>
      <c r="O2519">
        <v>128503</v>
      </c>
      <c r="P2519">
        <v>-3.5978195972613501E-3</v>
      </c>
      <c r="Q2519">
        <v>-3.6043073159573598E-3</v>
      </c>
      <c r="R2519" s="8">
        <v>2.9700000286102299</v>
      </c>
      <c r="S2519" s="8">
        <v>-3.2573259546276198E-2</v>
      </c>
      <c r="T2519" s="9">
        <v>-3.3115577406406402E-2</v>
      </c>
      <c r="U2519" s="12">
        <v>4.3739E-2</v>
      </c>
      <c r="V2519" s="16">
        <v>4.8765999999999998</v>
      </c>
      <c r="W2519" s="17">
        <f t="shared" si="39"/>
        <v>2.1165978258634865E-3</v>
      </c>
    </row>
    <row r="2520" spans="1:23" x14ac:dyDescent="0.2">
      <c r="A2520" s="14">
        <v>45238</v>
      </c>
      <c r="B2520" s="3">
        <v>-983411975095093</v>
      </c>
      <c r="C2520" s="3">
        <f>[1]!nefin_factors__1[[#This Row],[Rm_minus_Rf]]/B2519-1</f>
        <v>-2.0436744712186989</v>
      </c>
      <c r="D2520" s="3">
        <v>358718978492012</v>
      </c>
      <c r="E2520" s="3">
        <f>[1]!nefin_factors__1[[#This Row],[SMB]]/D2519-1</f>
        <v>1.0950804721170289</v>
      </c>
      <c r="F2520" s="3">
        <v>27715019441381</v>
      </c>
      <c r="G2520" s="3">
        <f>[1]!nefin_factors__1[[#This Row],[HML]]/F2519-1</f>
        <v>-0.84368388939495975</v>
      </c>
      <c r="H2520" s="3">
        <v>453007076906653</v>
      </c>
      <c r="I2520" s="4">
        <f>[1]!nefin_factors__1[[#This Row],[Risk_Free]]/H2519-1</f>
        <v>-7.8120604665754545E-4</v>
      </c>
      <c r="J2520">
        <v>128492</v>
      </c>
      <c r="K2520">
        <v>128492</v>
      </c>
      <c r="L2520">
        <v>127105</v>
      </c>
      <c r="M2520">
        <v>127402</v>
      </c>
      <c r="N2520">
        <v>10037400</v>
      </c>
      <c r="O2520">
        <v>127402</v>
      </c>
      <c r="P2520">
        <v>-8.56789335657537E-3</v>
      </c>
      <c r="Q2520">
        <v>-8.6048087642871703E-3</v>
      </c>
      <c r="R2520" s="8">
        <v>2.8699998855590798</v>
      </c>
      <c r="S2520" s="8">
        <v>-3.3670081511056799E-2</v>
      </c>
      <c r="T2520" s="9">
        <v>-3.42499725510374E-2</v>
      </c>
      <c r="U2520" s="12">
        <v>4.3739E-2</v>
      </c>
      <c r="V2520" s="16">
        <v>4.8754999999999997</v>
      </c>
      <c r="W2520" s="17">
        <f t="shared" si="39"/>
        <v>-2.2556699339704167E-4</v>
      </c>
    </row>
    <row r="2521" spans="1:23" x14ac:dyDescent="0.2">
      <c r="A2521" s="15">
        <v>45239</v>
      </c>
      <c r="B2521" s="5">
        <v>-218586301384914</v>
      </c>
      <c r="C2521" s="5">
        <f>[1]!nefin_factors__1[[#This Row],[Rm_minus_Rf]]/B2520-1</f>
        <v>-0.77772662228993361</v>
      </c>
      <c r="D2521" s="5">
        <v>-398997116743682</v>
      </c>
      <c r="E2521" s="5">
        <f>[1]!nefin_factors__1[[#This Row],[SMB]]/D2520-1</f>
        <v>-2.1122832653599533</v>
      </c>
      <c r="F2521" s="5">
        <v>919988390500533</v>
      </c>
      <c r="G2521" s="5">
        <f>[1]!nefin_factors__1[[#This Row],[HML]]/F2520-1</f>
        <v>32.194578573050109</v>
      </c>
      <c r="H2521" s="5">
        <v>452652876887338</v>
      </c>
      <c r="I2521" s="6">
        <f>[1]!nefin_factors__1[[#This Row],[Risk_Free]]/H2520-1</f>
        <v>-7.8188628251385506E-4</v>
      </c>
      <c r="J2521">
        <v>127402</v>
      </c>
      <c r="K2521">
        <v>129558</v>
      </c>
      <c r="L2521">
        <v>127326</v>
      </c>
      <c r="M2521">
        <v>127752</v>
      </c>
      <c r="N2521">
        <v>12495200</v>
      </c>
      <c r="O2521">
        <v>127752</v>
      </c>
      <c r="P2521">
        <v>2.74720961994324E-3</v>
      </c>
      <c r="Q2521">
        <v>2.7434429365974199E-3</v>
      </c>
      <c r="R2521" s="8">
        <v>2.9100000858306898</v>
      </c>
      <c r="S2521" s="8">
        <v>1.3937352566762999E-2</v>
      </c>
      <c r="T2521" s="9">
        <v>1.3841120781838001E-2</v>
      </c>
      <c r="U2521" s="12">
        <v>4.3739E-2</v>
      </c>
      <c r="V2521" s="16">
        <v>4.8619000000000003</v>
      </c>
      <c r="W2521" s="17">
        <f t="shared" si="39"/>
        <v>-2.7894574915392489E-3</v>
      </c>
    </row>
    <row r="2522" spans="1:23" x14ac:dyDescent="0.2">
      <c r="A2522" s="14">
        <v>45240</v>
      </c>
      <c r="B2522" s="3">
        <v>109943841632725</v>
      </c>
      <c r="C2522" s="3">
        <f>[1]!nefin_factors__1[[#This Row],[Rm_minus_Rf]]/B2521-1</f>
        <v>-1.5029768148147682</v>
      </c>
      <c r="D2522" s="3">
        <v>359895465107575</v>
      </c>
      <c r="E2522" s="3">
        <f>[1]!nefin_factors__1[[#This Row],[SMB]]/D2521-1</f>
        <v>-1.902000164925437</v>
      </c>
      <c r="F2522" s="3">
        <v>502763103393591</v>
      </c>
      <c r="G2522" s="3">
        <f>[1]!nefin_factors__1[[#This Row],[HML]]/F2521-1</f>
        <v>-0.45351146972620437</v>
      </c>
      <c r="H2522" s="3">
        <v>45229864538987</v>
      </c>
      <c r="I2522" s="4">
        <f>[1]!nefin_factors__1[[#This Row],[Risk_Free]]/H2521-1</f>
        <v>-0.90007825676485342</v>
      </c>
      <c r="J2522">
        <v>127752</v>
      </c>
      <c r="K2522">
        <v>128481</v>
      </c>
      <c r="L2522">
        <v>127284</v>
      </c>
      <c r="M2522">
        <v>128481</v>
      </c>
      <c r="N2522">
        <v>10226400</v>
      </c>
      <c r="O2522">
        <v>128481</v>
      </c>
      <c r="P2522">
        <v>5.7063685891414204E-3</v>
      </c>
      <c r="Q2522">
        <v>5.6901489421735604E-3</v>
      </c>
      <c r="R2522" s="8">
        <v>3.0599999427795401</v>
      </c>
      <c r="S2522" s="8">
        <v>5.1546341073743798E-2</v>
      </c>
      <c r="T2522" s="9">
        <v>5.02617865863101E-2</v>
      </c>
      <c r="U2522" s="12">
        <v>4.3739E-2</v>
      </c>
      <c r="V2522" s="16">
        <v>4.8368000000000002</v>
      </c>
      <c r="W2522" s="17">
        <f t="shared" si="39"/>
        <v>-5.1625907567001139E-3</v>
      </c>
    </row>
    <row r="2523" spans="1:23" x14ac:dyDescent="0.2">
      <c r="A2523" s="15">
        <v>45243</v>
      </c>
      <c r="B2523" s="5">
        <v>-298320597144329</v>
      </c>
      <c r="C2523" s="5">
        <f>[1]!nefin_factors__1[[#This Row],[Rm_minus_Rf]]/B2522-1</f>
        <v>-3.7133906975971382</v>
      </c>
      <c r="D2523" s="5">
        <v>594790820677186</v>
      </c>
      <c r="E2523" s="5">
        <f>[1]!nefin_factors__1[[#This Row],[SMB]]/D2522-1</f>
        <v>0.65267661958285395</v>
      </c>
      <c r="F2523" s="5">
        <v>887882159845084</v>
      </c>
      <c r="G2523" s="5">
        <f>[1]!nefin_factors__1[[#This Row],[HML]]/F2522-1</f>
        <v>0.76600501081321459</v>
      </c>
      <c r="H2523" s="5">
        <v>451590087936937</v>
      </c>
      <c r="I2523" s="6">
        <f>[1]!nefin_factors__1[[#This Row],[Risk_Free]]/H2522-1</f>
        <v>8.9843343007953909</v>
      </c>
      <c r="J2523">
        <v>128471</v>
      </c>
      <c r="K2523">
        <v>128878</v>
      </c>
      <c r="L2523">
        <v>126628</v>
      </c>
      <c r="M2523">
        <v>127182</v>
      </c>
      <c r="N2523">
        <v>10982800</v>
      </c>
      <c r="O2523">
        <v>127182</v>
      </c>
      <c r="P2523">
        <v>-1.01104443458566E-2</v>
      </c>
      <c r="Q2523">
        <v>-1.0161902022084701E-2</v>
      </c>
      <c r="R2523" s="8">
        <v>3.0299999713897701</v>
      </c>
      <c r="S2523" s="8">
        <v>-9.8039124022074597E-3</v>
      </c>
      <c r="T2523" s="9">
        <v>-9.85228718583505E-3</v>
      </c>
      <c r="U2523" s="12">
        <v>4.3739E-2</v>
      </c>
      <c r="V2523" s="16">
        <v>4.8305999999999996</v>
      </c>
      <c r="W2523" s="17">
        <f t="shared" si="39"/>
        <v>-1.2818392325505412E-3</v>
      </c>
    </row>
    <row r="2524" spans="1:23" x14ac:dyDescent="0.2">
      <c r="A2524" s="14">
        <v>45244</v>
      </c>
      <c r="B2524" s="3">
        <v>210844559398585</v>
      </c>
      <c r="C2524" s="3">
        <f>[1]!nefin_factors__1[[#This Row],[Rm_minus_Rf]]/B2523-1</f>
        <v>-1.7067717127710673</v>
      </c>
      <c r="D2524" s="3">
        <v>-102590779492031</v>
      </c>
      <c r="E2524" s="3">
        <f>[1]!nefin_factors__1[[#This Row],[SMB]]/D2523-1</f>
        <v>-1.1724821162761532</v>
      </c>
      <c r="F2524" s="3">
        <v>-958640958944707</v>
      </c>
      <c r="G2524" s="3">
        <f>[1]!nefin_factors__1[[#This Row],[HML]]/F2523-1</f>
        <v>-2.0796939079302694</v>
      </c>
      <c r="H2524" s="3">
        <v>45123576197037</v>
      </c>
      <c r="I2524" s="4">
        <f>[1]!nefin_factors__1[[#This Row],[Risk_Free]]/H2523-1</f>
        <v>-0.90007846185645612</v>
      </c>
      <c r="J2524">
        <v>127182</v>
      </c>
      <c r="K2524">
        <v>127834</v>
      </c>
      <c r="L2524">
        <v>126443</v>
      </c>
      <c r="M2524">
        <v>127593</v>
      </c>
      <c r="N2524">
        <v>9637200</v>
      </c>
      <c r="O2524">
        <v>127593</v>
      </c>
      <c r="P2524">
        <v>3.2315893758549899E-3</v>
      </c>
      <c r="Q2524">
        <v>3.2263790130589E-3</v>
      </c>
      <c r="R2524" s="8">
        <v>3.0699999332428001</v>
      </c>
      <c r="S2524" s="8">
        <v>1.3201307666904199E-2</v>
      </c>
      <c r="T2524" s="9">
        <v>1.3114929775130801E-2</v>
      </c>
      <c r="U2524" s="12">
        <v>4.3739E-2</v>
      </c>
      <c r="V2524" s="16">
        <v>4.8413000000000004</v>
      </c>
      <c r="W2524" s="17">
        <f t="shared" si="39"/>
        <v>2.2150457500105247E-3</v>
      </c>
    </row>
    <row r="2525" spans="1:23" x14ac:dyDescent="0.2">
      <c r="A2525" s="15">
        <v>45246</v>
      </c>
      <c r="B2525" s="5">
        <v>116924443718769</v>
      </c>
      <c r="C2525" s="5">
        <f>[1]!nefin_factors__1[[#This Row],[Rm_minus_Rf]]/B2524-1</f>
        <v>-0.44544718605836742</v>
      </c>
      <c r="D2525" s="5">
        <v>-242940687504236</v>
      </c>
      <c r="E2525" s="5">
        <f>[1]!nefin_factors__1[[#This Row],[SMB]]/D2524-1</f>
        <v>1.3680557717480548</v>
      </c>
      <c r="F2525" s="5">
        <v>569768222330365</v>
      </c>
      <c r="G2525" s="5">
        <f>[1]!nefin_factors__1[[#This Row],[HML]]/F2524-1</f>
        <v>-1.5943499670174517</v>
      </c>
      <c r="H2525" s="5">
        <v>450527015529056</v>
      </c>
      <c r="I2525" s="6">
        <f>[1]!nefin_factors__1[[#This Row],[Risk_Free]]/H2524-1</f>
        <v>8.9842932120845393</v>
      </c>
      <c r="J2525">
        <v>127593</v>
      </c>
      <c r="K2525">
        <v>130417</v>
      </c>
      <c r="L2525">
        <v>127593</v>
      </c>
      <c r="M2525">
        <v>130416</v>
      </c>
      <c r="N2525">
        <v>13780300</v>
      </c>
      <c r="O2525">
        <v>130416</v>
      </c>
      <c r="P2525">
        <v>2.2125038207425202E-2</v>
      </c>
      <c r="Q2525">
        <v>2.1883830880387801E-2</v>
      </c>
      <c r="R2525" s="8">
        <v>3.1500000953674299</v>
      </c>
      <c r="S2525" s="8">
        <v>2.60586852977975E-2</v>
      </c>
      <c r="T2525" s="9">
        <v>2.5724943258827699E-2</v>
      </c>
      <c r="U2525" s="12">
        <v>4.3739E-2</v>
      </c>
      <c r="V2525" s="16">
        <v>4.8413000000000004</v>
      </c>
      <c r="W2525" s="17">
        <f t="shared" si="39"/>
        <v>0</v>
      </c>
    </row>
    <row r="2526" spans="1:23" x14ac:dyDescent="0.2">
      <c r="A2526" s="14">
        <v>45247</v>
      </c>
      <c r="B2526" s="3">
        <v>-20713940348321</v>
      </c>
      <c r="C2526" s="3">
        <f>[1]!nefin_factors__1[[#This Row],[Rm_minus_Rf]]/B2525-1</f>
        <v>-1.1771566294396314</v>
      </c>
      <c r="D2526" s="3">
        <v>219630711102862</v>
      </c>
      <c r="E2526" s="3">
        <f>[1]!nefin_factors__1[[#This Row],[SMB]]/D2525-1</f>
        <v>-1.9040507514783107</v>
      </c>
      <c r="F2526" s="3">
        <v>352810095865695</v>
      </c>
      <c r="G2526" s="3">
        <f>[1]!nefin_factors__1[[#This Row],[HML]]/F2525-1</f>
        <v>-0.38078312893145627</v>
      </c>
      <c r="H2526" s="3">
        <v>44981814303946</v>
      </c>
      <c r="I2526" s="4">
        <f>[1]!nefin_factors__1[[#This Row],[Risk_Free]]/H2525-1</f>
        <v>-0.90015734294840533</v>
      </c>
      <c r="J2526">
        <v>130412</v>
      </c>
      <c r="K2526">
        <v>130552</v>
      </c>
      <c r="L2526">
        <v>129518</v>
      </c>
      <c r="M2526">
        <v>129608</v>
      </c>
      <c r="N2526">
        <v>15425400</v>
      </c>
      <c r="O2526">
        <v>129608</v>
      </c>
      <c r="P2526">
        <v>-6.1955588271377397E-3</v>
      </c>
      <c r="Q2526">
        <v>-6.2148309439845097E-3</v>
      </c>
      <c r="R2526" s="8">
        <v>3.0899999141693102</v>
      </c>
      <c r="S2526" s="8">
        <v>-1.9047675994156198E-2</v>
      </c>
      <c r="T2526" s="9">
        <v>-1.9231419980184499E-2</v>
      </c>
      <c r="U2526" s="12">
        <v>4.3739E-2</v>
      </c>
      <c r="V2526" s="16">
        <v>4.8916000000000004</v>
      </c>
      <c r="W2526" s="17">
        <f t="shared" si="39"/>
        <v>1.0389771342407927E-2</v>
      </c>
    </row>
    <row r="2527" spans="1:23" x14ac:dyDescent="0.2">
      <c r="A2527" s="15">
        <v>45250</v>
      </c>
      <c r="B2527" s="5">
        <v>751106348703603</v>
      </c>
      <c r="C2527" s="5">
        <f>[1]!nefin_factors__1[[#This Row],[Rm_minus_Rf]]/B2526-1</f>
        <v>-37.260911061496081</v>
      </c>
      <c r="D2527" s="5">
        <v>-440314424238775</v>
      </c>
      <c r="E2527" s="5">
        <f>[1]!nefin_factors__1[[#This Row],[SMB]]/D2526-1</f>
        <v>-3.0047944207245125</v>
      </c>
      <c r="F2527" s="5">
        <v>-392146865794815</v>
      </c>
      <c r="G2527" s="5">
        <f>[1]!nefin_factors__1[[#This Row],[HML]]/F2526-1</f>
        <v>-2.1114955903758901</v>
      </c>
      <c r="H2527" s="5">
        <v>449463659512483</v>
      </c>
      <c r="I2527" s="6">
        <f>[1]!nefin_factors__1[[#This Row],[Risk_Free]]/H2526-1</f>
        <v>8.9921194035309089</v>
      </c>
      <c r="J2527">
        <v>129950</v>
      </c>
      <c r="K2527">
        <v>130126</v>
      </c>
      <c r="L2527">
        <v>127912</v>
      </c>
      <c r="M2527">
        <v>128217</v>
      </c>
      <c r="N2527">
        <v>13634900</v>
      </c>
      <c r="O2527">
        <v>128217</v>
      </c>
      <c r="P2527">
        <v>-1.07323621998642E-2</v>
      </c>
      <c r="Q2527">
        <v>-1.07903694086414E-2</v>
      </c>
      <c r="R2527" s="8">
        <v>3.1500000953674299</v>
      </c>
      <c r="S2527" s="8">
        <v>1.9417534907683099E-2</v>
      </c>
      <c r="T2527" s="9">
        <v>1.9231419980184499E-2</v>
      </c>
      <c r="U2527" s="12">
        <v>4.3739E-2</v>
      </c>
      <c r="V2527" s="16">
        <v>4.9211999999999998</v>
      </c>
      <c r="W2527" s="17">
        <f t="shared" si="39"/>
        <v>6.0511897947501669E-3</v>
      </c>
    </row>
    <row r="2528" spans="1:23" x14ac:dyDescent="0.2">
      <c r="A2528" s="14">
        <v>45251</v>
      </c>
      <c r="B2528" s="3">
        <v>-487900361154581</v>
      </c>
      <c r="C2528" s="3">
        <f>[1]!nefin_factors__1[[#This Row],[Rm_minus_Rf]]/B2527-1</f>
        <v>-1.6495756053675872</v>
      </c>
      <c r="D2528" s="3">
        <v>-791746643956696</v>
      </c>
      <c r="E2528" s="3">
        <f>[1]!nefin_factors__1[[#This Row],[SMB]]/D2527-1</f>
        <v>0.79813923953430455</v>
      </c>
      <c r="F2528" s="3">
        <v>-933977924006419</v>
      </c>
      <c r="G2528" s="3">
        <f>[1]!nefin_factors__1[[#This Row],[HML]]/F2527-1</f>
        <v>1.3817044211571208</v>
      </c>
      <c r="H2528" s="3">
        <v>449109144456505</v>
      </c>
      <c r="I2528" s="4">
        <f>[1]!nefin_factors__1[[#This Row],[Risk_Free]]/H2527-1</f>
        <v>-7.8875132277111959E-4</v>
      </c>
      <c r="J2528">
        <v>128216</v>
      </c>
      <c r="K2528">
        <v>128896</v>
      </c>
      <c r="L2528">
        <v>127579</v>
      </c>
      <c r="M2528">
        <v>128026</v>
      </c>
      <c r="N2528">
        <v>12115800</v>
      </c>
      <c r="O2528">
        <v>128026</v>
      </c>
      <c r="P2528">
        <v>-1.4896620572935101E-3</v>
      </c>
      <c r="Q2528">
        <v>-1.4907727069481101E-3</v>
      </c>
      <c r="R2528" s="8">
        <v>3.1800000667571999</v>
      </c>
      <c r="S2528" s="8">
        <v>9.5238001528603605E-3</v>
      </c>
      <c r="T2528" s="9">
        <v>9.4787346719997501E-3</v>
      </c>
      <c r="U2528" s="12">
        <v>4.3739E-2</v>
      </c>
      <c r="V2528" s="16">
        <v>4.9188000000000001</v>
      </c>
      <c r="W2528" s="17">
        <f t="shared" si="39"/>
        <v>-4.8768593026082829E-4</v>
      </c>
    </row>
    <row r="2529" spans="1:23" x14ac:dyDescent="0.2">
      <c r="A2529" s="15">
        <v>45252</v>
      </c>
      <c r="B2529" s="5">
        <v>388167091882083</v>
      </c>
      <c r="C2529" s="5">
        <f>[1]!nefin_factors__1[[#This Row],[Rm_minus_Rf]]/B2528-1</f>
        <v>-1.7955868099042058</v>
      </c>
      <c r="D2529" s="5">
        <v>-899738880192363</v>
      </c>
      <c r="E2529" s="5">
        <f>[1]!nefin_factors__1[[#This Row],[SMB]]/D2528-1</f>
        <v>0.13639746636118799</v>
      </c>
      <c r="F2529" s="5">
        <v>-164007653292525</v>
      </c>
      <c r="G2529" s="5">
        <f>[1]!nefin_factors__1[[#This Row],[HML]]/F2528-1</f>
        <v>-0.82439879029582097</v>
      </c>
      <c r="H2529" s="5">
        <v>448400019735562</v>
      </c>
      <c r="I2529" s="6">
        <f>[1]!nefin_factors__1[[#This Row],[Risk_Free]]/H2528-1</f>
        <v>-1.5789585442558263E-3</v>
      </c>
      <c r="J2529">
        <v>128026</v>
      </c>
      <c r="K2529">
        <v>128026</v>
      </c>
      <c r="L2529">
        <v>126663</v>
      </c>
      <c r="M2529">
        <v>127018</v>
      </c>
      <c r="N2529">
        <v>7748300</v>
      </c>
      <c r="O2529">
        <v>127018</v>
      </c>
      <c r="P2529">
        <v>-7.8734007154797093E-3</v>
      </c>
      <c r="Q2529">
        <v>-7.9045595935429008E-3</v>
      </c>
      <c r="R2529" s="8">
        <v>3.1700000762939502</v>
      </c>
      <c r="S2529" s="8">
        <v>-3.1446510230593899E-3</v>
      </c>
      <c r="T2529" s="9">
        <v>-3.1496058282365598E-3</v>
      </c>
      <c r="U2529" s="12">
        <v>4.3739E-2</v>
      </c>
      <c r="V2529" s="16">
        <v>4.8898999999999999</v>
      </c>
      <c r="W2529" s="17">
        <f t="shared" si="39"/>
        <v>-5.8754167683174874E-3</v>
      </c>
    </row>
    <row r="2530" spans="1:23" x14ac:dyDescent="0.2">
      <c r="A2530" s="14">
        <v>45253</v>
      </c>
      <c r="B2530" s="3">
        <v>323801350969951</v>
      </c>
      <c r="C2530" s="3">
        <f>[1]!nefin_factors__1[[#This Row],[Rm_minus_Rf]]/B2529-1</f>
        <v>-0.16581967471803338</v>
      </c>
      <c r="D2530" s="3">
        <v>-310856558525024</v>
      </c>
      <c r="E2530" s="3">
        <f>[1]!nefin_factors__1[[#This Row],[SMB]]/D2529-1</f>
        <v>-0.65450358390807417</v>
      </c>
      <c r="F2530" s="3">
        <v>272431333379606</v>
      </c>
      <c r="G2530" s="3">
        <f>[1]!nefin_factors__1[[#This Row],[HML]]/F2529-1</f>
        <v>-2.6610891498684874</v>
      </c>
      <c r="H2530" s="3">
        <v>448400019735562</v>
      </c>
      <c r="I2530" s="4">
        <f>[1]!nefin_factors__1[[#This Row],[Risk_Free]]/H2529-1</f>
        <v>0</v>
      </c>
      <c r="J2530">
        <v>127018</v>
      </c>
      <c r="K2530">
        <v>127824</v>
      </c>
      <c r="L2530">
        <v>126932</v>
      </c>
      <c r="M2530">
        <v>127804</v>
      </c>
      <c r="N2530">
        <v>10980100</v>
      </c>
      <c r="O2530">
        <v>127804</v>
      </c>
      <c r="P2530">
        <v>6.18809932450515E-3</v>
      </c>
      <c r="Q2530">
        <v>6.1690316591875398E-3</v>
      </c>
      <c r="R2530" s="8">
        <v>3.1400001049041699</v>
      </c>
      <c r="S2530" s="8">
        <v>-9.4637131443995309E-3</v>
      </c>
      <c r="T2530" s="9">
        <v>-9.5087786275452908E-3</v>
      </c>
      <c r="U2530" s="12">
        <v>4.3739E-2</v>
      </c>
      <c r="V2530" s="16">
        <v>4.8849999999999998</v>
      </c>
      <c r="W2530" s="17">
        <f t="shared" si="39"/>
        <v>-1.0020654819117292E-3</v>
      </c>
    </row>
    <row r="2531" spans="1:23" x14ac:dyDescent="0.2">
      <c r="A2531" s="15">
        <v>45254</v>
      </c>
      <c r="B2531" s="5">
        <v>-830732009032663</v>
      </c>
      <c r="C2531" s="5">
        <f>[1]!nefin_factors__1[[#This Row],[Rm_minus_Rf]]/B2530-1</f>
        <v>-3.5655606641053068</v>
      </c>
      <c r="D2531" s="5">
        <v>120493101657805</v>
      </c>
      <c r="E2531" s="5">
        <f>[1]!nefin_factors__1[[#This Row],[SMB]]/D2530-1</f>
        <v>-1.3876164049088424</v>
      </c>
      <c r="F2531" s="5">
        <v>-107452294270445</v>
      </c>
      <c r="G2531" s="5">
        <f>[1]!nefin_factors__1[[#This Row],[HML]]/F2530-1</f>
        <v>-1.394419734828082</v>
      </c>
      <c r="H2531" s="5">
        <v>447690768831333</v>
      </c>
      <c r="I2531" s="6">
        <f>[1]!nefin_factors__1[[#This Row],[Risk_Free]]/H2530-1</f>
        <v>-1.5817370049342472E-3</v>
      </c>
      <c r="J2531">
        <v>127809</v>
      </c>
      <c r="K2531">
        <v>129069</v>
      </c>
      <c r="L2531">
        <v>127653</v>
      </c>
      <c r="M2531">
        <v>128726</v>
      </c>
      <c r="N2531">
        <v>10119100</v>
      </c>
      <c r="O2531">
        <v>128726</v>
      </c>
      <c r="P2531">
        <v>7.2141717004161601E-3</v>
      </c>
      <c r="Q2531">
        <v>7.1882740425956698E-3</v>
      </c>
      <c r="R2531" s="8">
        <v>3.1500000953674299</v>
      </c>
      <c r="S2531" s="8">
        <v>3.1847102322188898E-3</v>
      </c>
      <c r="T2531" s="9">
        <v>3.1796497837820099E-3</v>
      </c>
      <c r="U2531" s="12">
        <v>4.3739E-2</v>
      </c>
      <c r="V2531" s="16">
        <v>4.8936999999999999</v>
      </c>
      <c r="W2531" s="17">
        <f t="shared" si="39"/>
        <v>1.7809621289661681E-3</v>
      </c>
    </row>
    <row r="2532" spans="1:23" x14ac:dyDescent="0.2">
      <c r="A2532" s="14">
        <v>45257</v>
      </c>
      <c r="B2532" s="3">
        <v>189137571812299</v>
      </c>
      <c r="C2532" s="3">
        <f>[1]!nefin_factors__1[[#This Row],[Rm_minus_Rf]]/B2531-1</f>
        <v>-1.227675796473207</v>
      </c>
      <c r="D2532" s="3">
        <v>109283150574747</v>
      </c>
      <c r="E2532" s="3">
        <f>[1]!nefin_factors__1[[#This Row],[SMB]]/D2531-1</f>
        <v>-9.3033965669617857E-2</v>
      </c>
      <c r="F2532" s="3">
        <v>46137558239451</v>
      </c>
      <c r="G2532" s="3">
        <f>[1]!nefin_factors__1[[#This Row],[HML]]/F2531-1</f>
        <v>-1.4293771347806508</v>
      </c>
      <c r="H2532" s="3">
        <v>446981391698742</v>
      </c>
      <c r="I2532" s="4">
        <f>[1]!nefin_factors__1[[#This Row],[Risk_Free]]/H2531-1</f>
        <v>-1.5845248148466107E-3</v>
      </c>
      <c r="J2532">
        <v>128720</v>
      </c>
      <c r="K2532">
        <v>129036</v>
      </c>
      <c r="L2532">
        <v>128097</v>
      </c>
      <c r="M2532">
        <v>129036</v>
      </c>
      <c r="N2532">
        <v>5799100</v>
      </c>
      <c r="O2532">
        <v>129036</v>
      </c>
      <c r="P2532">
        <v>2.4082159004397102E-3</v>
      </c>
      <c r="Q2532">
        <v>2.4053207956215299E-3</v>
      </c>
      <c r="R2532" s="8">
        <v>3.2999999523162802</v>
      </c>
      <c r="S2532" s="8">
        <v>4.7619000764301797E-2</v>
      </c>
      <c r="T2532" s="9">
        <v>4.6519970909907199E-2</v>
      </c>
      <c r="U2532" s="12">
        <v>4.3739E-2</v>
      </c>
      <c r="V2532" s="16">
        <v>4.8901000000000003</v>
      </c>
      <c r="W2532" s="17">
        <f t="shared" si="39"/>
        <v>-7.3563970002243906E-4</v>
      </c>
    </row>
    <row r="2533" spans="1:23" x14ac:dyDescent="0.2">
      <c r="A2533" s="15">
        <v>45258</v>
      </c>
      <c r="B2533" s="5">
        <v>723973937793708</v>
      </c>
      <c r="C2533" s="5">
        <f>[1]!nefin_factors__1[[#This Row],[Rm_minus_Rf]]/B2532-1</f>
        <v>2.8277637322751668</v>
      </c>
      <c r="D2533" s="5">
        <v>917518002250084</v>
      </c>
      <c r="E2533" s="5">
        <f>[1]!nefin_factors__1[[#This Row],[SMB]]/D2532-1</f>
        <v>7.3957865180920468</v>
      </c>
      <c r="F2533" s="5">
        <v>-251932250895037</v>
      </c>
      <c r="G2533" s="5">
        <f>[1]!nefin_factors__1[[#This Row],[HML]]/F2532-1</f>
        <v>-6.4604591250261798</v>
      </c>
      <c r="H2533" s="5">
        <v>446626655782767</v>
      </c>
      <c r="I2533" s="6">
        <f>[1]!nefin_factors__1[[#This Row],[Risk_Free]]/H2532-1</f>
        <v>-7.9362569127727767E-4</v>
      </c>
      <c r="J2533">
        <v>129033</v>
      </c>
      <c r="K2533">
        <v>129916</v>
      </c>
      <c r="L2533">
        <v>128326</v>
      </c>
      <c r="M2533">
        <v>129916</v>
      </c>
      <c r="N2533">
        <v>12237000</v>
      </c>
      <c r="O2533">
        <v>129916</v>
      </c>
      <c r="P2533">
        <v>6.8198022257355299E-3</v>
      </c>
      <c r="Q2533">
        <v>6.7966525656727797E-3</v>
      </c>
      <c r="R2533" s="8">
        <v>3.3199999332428001</v>
      </c>
      <c r="S2533" s="8">
        <v>6.0606003683349998E-3</v>
      </c>
      <c r="T2533" s="9">
        <v>6.0423087979823396E-3</v>
      </c>
      <c r="U2533" s="12">
        <v>4.3739E-2</v>
      </c>
      <c r="V2533" s="16">
        <v>4.8794000000000004</v>
      </c>
      <c r="W2533" s="17">
        <f t="shared" si="39"/>
        <v>-2.188094312999711E-3</v>
      </c>
    </row>
    <row r="2534" spans="1:23" x14ac:dyDescent="0.2">
      <c r="A2534" s="14">
        <v>45259</v>
      </c>
      <c r="B2534" s="3">
        <v>-444327660559965</v>
      </c>
      <c r="C2534" s="3">
        <f>[1]!nefin_factors__1[[#This Row],[Rm_minus_Rf]]/B2533-1</f>
        <v>-1.6137343312578931</v>
      </c>
      <c r="D2534" s="3">
        <v>-47723337520983</v>
      </c>
      <c r="E2534" s="3">
        <f>[1]!nefin_factors__1[[#This Row],[SMB]]/D2533-1</f>
        <v>-1.0520135162513959</v>
      </c>
      <c r="F2534" s="3">
        <v>130220235630788</v>
      </c>
      <c r="G2534" s="3">
        <f>[1]!nefin_factors__1[[#This Row],[HML]]/F2533-1</f>
        <v>-1.516885929324872</v>
      </c>
      <c r="H2534" s="3">
        <v>446271888292937</v>
      </c>
      <c r="I2534" s="4">
        <f>[1]!nefin_factors__1[[#This Row],[Risk_Free]]/H2533-1</f>
        <v>-7.9432672733836807E-4</v>
      </c>
      <c r="J2534">
        <v>129916</v>
      </c>
      <c r="K2534">
        <v>130034</v>
      </c>
      <c r="L2534">
        <v>129359</v>
      </c>
      <c r="M2534">
        <v>130032</v>
      </c>
      <c r="N2534">
        <v>12585700</v>
      </c>
      <c r="O2534">
        <v>130032</v>
      </c>
      <c r="P2534">
        <v>8.9288463314751698E-4</v>
      </c>
      <c r="Q2534">
        <v>8.9248624878667405E-4</v>
      </c>
      <c r="R2534" s="8">
        <v>3.2300000190734899</v>
      </c>
      <c r="S2534" s="8">
        <v>-2.7108408427407599E-2</v>
      </c>
      <c r="T2534" s="9">
        <v>-2.7482619681136699E-2</v>
      </c>
      <c r="U2534" s="12">
        <v>4.3739E-2</v>
      </c>
      <c r="V2534" s="16">
        <v>4.8543000000000003</v>
      </c>
      <c r="W2534" s="17">
        <f t="shared" si="39"/>
        <v>-5.1440750911997402E-3</v>
      </c>
    </row>
    <row r="2535" spans="1:23" x14ac:dyDescent="0.2">
      <c r="A2535" s="15">
        <v>45260</v>
      </c>
      <c r="B2535" s="5">
        <v>986828488518851</v>
      </c>
      <c r="C2535" s="5">
        <f>[1]!nefin_factors__1[[#This Row],[Rm_minus_Rf]]/B2534-1</f>
        <v>-3.2209476836872994</v>
      </c>
      <c r="D2535" s="5">
        <v>-280570232349017</v>
      </c>
      <c r="E2535" s="5">
        <f>[1]!nefin_factors__1[[#This Row],[SMB]]/D2534-1</f>
        <v>4.8790991352114856</v>
      </c>
      <c r="F2535" s="5">
        <v>167272986944315</v>
      </c>
      <c r="G2535" s="5">
        <f>[1]!nefin_factors__1[[#This Row],[HML]]/F2534-1</f>
        <v>0.28453912046805274</v>
      </c>
      <c r="H2535" s="5">
        <v>445917089223702</v>
      </c>
      <c r="I2535" s="6">
        <f>[1]!nefin_factors__1[[#This Row],[Risk_Free]]/H2534-1</f>
        <v>-7.9502894657368373E-4</v>
      </c>
      <c r="J2535">
        <v>130035</v>
      </c>
      <c r="K2535">
        <v>130829</v>
      </c>
      <c r="L2535">
        <v>129971</v>
      </c>
      <c r="M2535">
        <v>130241</v>
      </c>
      <c r="N2535">
        <v>10771700</v>
      </c>
      <c r="O2535">
        <v>130241</v>
      </c>
      <c r="P2535">
        <v>1.6072966654361301E-3</v>
      </c>
      <c r="Q2535">
        <v>1.6060063465825299E-3</v>
      </c>
      <c r="R2535" s="8">
        <v>3.2599999904632599</v>
      </c>
      <c r="S2535" s="8">
        <v>9.2879167840920207E-3</v>
      </c>
      <c r="T2535" s="9">
        <v>9.2450493135655502E-3</v>
      </c>
      <c r="U2535" s="12">
        <v>4.3739E-2</v>
      </c>
      <c r="V2535" s="16">
        <v>4.8765000000000001</v>
      </c>
      <c r="W2535" s="17">
        <f t="shared" si="39"/>
        <v>4.5732649403620318E-3</v>
      </c>
    </row>
    <row r="2536" spans="1:23" x14ac:dyDescent="0.2">
      <c r="A2536" s="14">
        <v>45261</v>
      </c>
      <c r="B2536" s="3">
        <v>665621585933927</v>
      </c>
      <c r="C2536" s="3">
        <f>[1]!nefin_factors__1[[#This Row],[Rm_minus_Rf]]/B2535-1</f>
        <v>-0.32549415255231362</v>
      </c>
      <c r="D2536" s="3">
        <v>268095356900822</v>
      </c>
      <c r="E2536" s="3">
        <f>[1]!nefin_factors__1[[#This Row],[SMB]]/D2535-1</f>
        <v>-1.9555374233975158</v>
      </c>
      <c r="F2536" s="3">
        <v>805580601428887</v>
      </c>
      <c r="G2536" s="3">
        <f>[1]!nefin_factors__1[[#This Row],[HML]]/F2535-1</f>
        <v>3.8159635105760614</v>
      </c>
      <c r="H2536" s="3">
        <v>445562258569066</v>
      </c>
      <c r="I2536" s="4">
        <f>[1]!nefin_factors__1[[#This Row],[Risk_Free]]/H2535-1</f>
        <v>-7.9573235296659384E-4</v>
      </c>
      <c r="J2536">
        <v>130240</v>
      </c>
      <c r="K2536">
        <v>130624</v>
      </c>
      <c r="L2536">
        <v>129077</v>
      </c>
      <c r="M2536">
        <v>129419</v>
      </c>
      <c r="N2536">
        <v>9230300</v>
      </c>
      <c r="O2536">
        <v>129419</v>
      </c>
      <c r="P2536">
        <v>-6.3113766018381102E-3</v>
      </c>
      <c r="Q2536">
        <v>-6.3313775391863102E-3</v>
      </c>
      <c r="R2536" s="8">
        <v>3.1900000572204599</v>
      </c>
      <c r="S2536" s="8">
        <v>-2.1472372223182299E-2</v>
      </c>
      <c r="T2536" s="9">
        <v>-2.1706257719033901E-2</v>
      </c>
      <c r="U2536" s="12">
        <v>4.3739E-2</v>
      </c>
      <c r="V2536" s="16">
        <v>4.9038000000000004</v>
      </c>
      <c r="W2536" s="17">
        <f t="shared" si="39"/>
        <v>5.5982774530913826E-3</v>
      </c>
    </row>
    <row r="2537" spans="1:23" x14ac:dyDescent="0.2">
      <c r="A2537" s="15">
        <v>45264</v>
      </c>
      <c r="B2537" s="5">
        <v>-954269928736527</v>
      </c>
      <c r="C2537" s="5">
        <f>[1]!nefin_factors__1[[#This Row],[Rm_minus_Rf]]/B2536-1</f>
        <v>-2.4336523167252762</v>
      </c>
      <c r="D2537" s="5">
        <v>-319719353257052</v>
      </c>
      <c r="E2537" s="5">
        <f>[1]!nefin_factors__1[[#This Row],[SMB]]/D2536-1</f>
        <v>-2.1925583380219731</v>
      </c>
      <c r="F2537" s="5">
        <v>-255107860000089</v>
      </c>
      <c r="G2537" s="5">
        <f>[1]!nefin_factors__1[[#This Row],[HML]]/F2536-1</f>
        <v>-1.316675773408142</v>
      </c>
      <c r="H2537" s="5">
        <v>444497577037684</v>
      </c>
      <c r="I2537" s="6">
        <f>[1]!nefin_factors__1[[#This Row],[Risk_Free]]/H2536-1</f>
        <v>-2.3895235983434349E-3</v>
      </c>
      <c r="J2537">
        <v>129417</v>
      </c>
      <c r="K2537">
        <v>129978</v>
      </c>
      <c r="L2537">
        <v>129077</v>
      </c>
      <c r="M2537">
        <v>129609</v>
      </c>
      <c r="N2537">
        <v>7436900</v>
      </c>
      <c r="O2537">
        <v>129609</v>
      </c>
      <c r="P2537">
        <v>1.46809973806006E-3</v>
      </c>
      <c r="Q2537">
        <v>1.4670231332196599E-3</v>
      </c>
      <c r="R2537" s="8">
        <v>3.1600000858306898</v>
      </c>
      <c r="S2537" s="8">
        <v>-9.4043795773189904E-3</v>
      </c>
      <c r="T2537" s="9">
        <v>-9.4488799737703407E-3</v>
      </c>
      <c r="U2537" s="12">
        <v>4.3739E-2</v>
      </c>
      <c r="V2537" s="16">
        <v>4.9345999999999997</v>
      </c>
      <c r="W2537" s="17">
        <f t="shared" si="39"/>
        <v>6.280843427545868E-3</v>
      </c>
    </row>
    <row r="2538" spans="1:23" x14ac:dyDescent="0.2">
      <c r="A2538" s="14">
        <v>45265</v>
      </c>
      <c r="B2538" s="3">
        <v>275784709711855</v>
      </c>
      <c r="C2538" s="3">
        <f>[1]!nefin_factors__1[[#This Row],[Rm_minus_Rf]]/B2537-1</f>
        <v>-1.2890007338667788</v>
      </c>
      <c r="D2538" s="3">
        <v>100579308750811</v>
      </c>
      <c r="E2538" s="3">
        <f>[1]!nefin_factors__1[[#This Row],[SMB]]/D2537-1</f>
        <v>-1.3145862386064131</v>
      </c>
      <c r="F2538" s="3">
        <v>305407518544382</v>
      </c>
      <c r="G2538" s="3">
        <f>[1]!nefin_factors__1[[#This Row],[HML]]/F2537-1</f>
        <v>-2.1971701638055192</v>
      </c>
      <c r="H2538" s="3">
        <v>44378763132058</v>
      </c>
      <c r="I2538" s="4">
        <f>[1]!nefin_factors__1[[#This Row],[Risk_Free]]/H2537-1</f>
        <v>-0.90015971869224476</v>
      </c>
      <c r="J2538">
        <v>129613</v>
      </c>
      <c r="K2538">
        <v>131696</v>
      </c>
      <c r="L2538">
        <v>129613</v>
      </c>
      <c r="M2538">
        <v>131689</v>
      </c>
      <c r="N2538">
        <v>10049000</v>
      </c>
      <c r="O2538">
        <v>131689</v>
      </c>
      <c r="P2538">
        <v>1.6048268252976301E-2</v>
      </c>
      <c r="Q2538">
        <v>1.5920856150823198E-2</v>
      </c>
      <c r="R2538" s="8">
        <v>3.3099999427795401</v>
      </c>
      <c r="S2538" s="8">
        <v>4.7468307871713501E-2</v>
      </c>
      <c r="T2538" s="9">
        <v>4.6376117341392901E-2</v>
      </c>
      <c r="U2538" s="12">
        <v>4.3739E-2</v>
      </c>
      <c r="V2538" s="16">
        <v>4.9402999999999997</v>
      </c>
      <c r="W2538" s="17">
        <f t="shared" si="39"/>
        <v>1.1551088234103002E-3</v>
      </c>
    </row>
    <row r="2539" spans="1:23" x14ac:dyDescent="0.2">
      <c r="A2539" s="15">
        <v>45266</v>
      </c>
      <c r="B2539" s="5">
        <v>-977433552456256</v>
      </c>
      <c r="C2539" s="5">
        <f>[1]!nefin_factors__1[[#This Row],[Rm_minus_Rf]]/B2538-1</f>
        <v>-4.5441905154114481</v>
      </c>
      <c r="D2539" s="5">
        <v>197533059075673</v>
      </c>
      <c r="E2539" s="5">
        <f>[1]!nefin_factors__1[[#This Row],[SMB]]/D2538-1</f>
        <v>0.96395323778838593</v>
      </c>
      <c r="F2539" s="5">
        <v>310906848872711</v>
      </c>
      <c r="G2539" s="5">
        <f>[1]!nefin_factors__1[[#This Row],[HML]]/F2538-1</f>
        <v>1.8006532237777373E-2</v>
      </c>
      <c r="H2539" s="5">
        <v>442722475588075</v>
      </c>
      <c r="I2539" s="6">
        <f>[1]!nefin_factors__1[[#This Row],[Risk_Free]]/H2538-1</f>
        <v>8.9759985259315265</v>
      </c>
      <c r="J2539">
        <v>131685</v>
      </c>
      <c r="K2539">
        <v>131685</v>
      </c>
      <c r="L2539">
        <v>129771</v>
      </c>
      <c r="M2539">
        <v>130155</v>
      </c>
      <c r="N2539">
        <v>9045600</v>
      </c>
      <c r="O2539">
        <v>130155</v>
      </c>
      <c r="P2539">
        <v>-1.1648657063232299E-2</v>
      </c>
      <c r="Q2539">
        <v>-1.17170341887253E-2</v>
      </c>
      <c r="R2539" s="8">
        <v>3.2999999523162802</v>
      </c>
      <c r="S2539" s="8">
        <v>-3.0211452072894701E-3</v>
      </c>
      <c r="T2539" s="9">
        <v>-3.0257180790000601E-3</v>
      </c>
      <c r="U2539" s="12">
        <v>4.3739E-2</v>
      </c>
      <c r="V2539" s="16">
        <v>4.9222999999999999</v>
      </c>
      <c r="W2539" s="17">
        <f t="shared" si="39"/>
        <v>-3.6435034309656444E-3</v>
      </c>
    </row>
    <row r="2540" spans="1:23" x14ac:dyDescent="0.2">
      <c r="A2540" s="14">
        <v>45267</v>
      </c>
      <c r="B2540" s="3">
        <v>327094955080445</v>
      </c>
      <c r="C2540" s="3">
        <f>[1]!nefin_factors__1[[#This Row],[Rm_minus_Rf]]/B2539-1</f>
        <v>-1.3346467432578581</v>
      </c>
      <c r="D2540" s="3">
        <v>850061508195734</v>
      </c>
      <c r="E2540" s="3">
        <f>[1]!nefin_factors__1[[#This Row],[SMB]]/D2539-1</f>
        <v>3.3033885678350359</v>
      </c>
      <c r="F2540" s="3">
        <v>691024933805405</v>
      </c>
      <c r="G2540" s="3">
        <f>[1]!nefin_factors__1[[#This Row],[HML]]/F2539-1</f>
        <v>1.222610844086998</v>
      </c>
      <c r="H2540" s="3">
        <v>442012213595966</v>
      </c>
      <c r="I2540" s="4">
        <f>[1]!nefin_factors__1[[#This Row],[Risk_Free]]/H2539-1</f>
        <v>-1.6043052505196886E-3</v>
      </c>
      <c r="J2540">
        <v>130155</v>
      </c>
      <c r="K2540">
        <v>130155</v>
      </c>
      <c r="L2540">
        <v>128669</v>
      </c>
      <c r="M2540">
        <v>129020</v>
      </c>
      <c r="N2540">
        <v>12003100</v>
      </c>
      <c r="O2540">
        <v>129020</v>
      </c>
      <c r="P2540">
        <v>-8.7203718643156201E-3</v>
      </c>
      <c r="Q2540">
        <v>-8.75861680946711E-3</v>
      </c>
      <c r="R2540" s="8">
        <v>3.3499999046325701</v>
      </c>
      <c r="S2540" s="8">
        <v>1.5151500920837601E-2</v>
      </c>
      <c r="T2540" s="9">
        <v>1.5037863346260999E-2</v>
      </c>
      <c r="U2540" s="12">
        <v>4.3739E-2</v>
      </c>
      <c r="V2540" s="16">
        <v>4.9489999999999998</v>
      </c>
      <c r="W2540" s="17">
        <f t="shared" si="39"/>
        <v>5.4242935213213439E-3</v>
      </c>
    </row>
    <row r="2541" spans="1:23" x14ac:dyDescent="0.2">
      <c r="A2541" s="15">
        <v>45268</v>
      </c>
      <c r="B2541" s="5">
        <v>786149285431577</v>
      </c>
      <c r="C2541" s="5">
        <f>[1]!nefin_factors__1[[#This Row],[Rm_minus_Rf]]/B2540-1</f>
        <v>1.4034283415903901</v>
      </c>
      <c r="D2541" s="5">
        <v>-197504495224653</v>
      </c>
      <c r="E2541" s="5">
        <f>[1]!nefin_factors__1[[#This Row],[SMB]]/D2540-1</f>
        <v>-1.2323414168509508</v>
      </c>
      <c r="F2541" s="5">
        <v>-151648853270089</v>
      </c>
      <c r="G2541" s="5">
        <f>[1]!nefin_factors__1[[#This Row],[HML]]/F2540-1</f>
        <v>-1.2194549658794134</v>
      </c>
      <c r="H2541" s="5">
        <v>441301825014895</v>
      </c>
      <c r="I2541" s="6">
        <f>[1]!nefin_factors__1[[#This Row],[Risk_Free]]/H2540-1</f>
        <v>-1.6071695740976777E-3</v>
      </c>
      <c r="J2541">
        <v>129026</v>
      </c>
      <c r="K2541">
        <v>129716</v>
      </c>
      <c r="L2541">
        <v>128717</v>
      </c>
      <c r="M2541">
        <v>129180</v>
      </c>
      <c r="N2541">
        <v>9765100</v>
      </c>
      <c r="O2541">
        <v>129180</v>
      </c>
      <c r="P2541">
        <v>1.24011781119204E-3</v>
      </c>
      <c r="Q2541">
        <v>1.23934950023103E-3</v>
      </c>
      <c r="R2541" s="8">
        <v>3.4300000667571999</v>
      </c>
      <c r="S2541" s="8">
        <v>2.38806460901702E-2</v>
      </c>
      <c r="T2541" s="9">
        <v>2.3599963271505001E-2</v>
      </c>
      <c r="U2541" s="12">
        <v>4.3739E-2</v>
      </c>
      <c r="V2541" s="16">
        <v>4.9714999999999998</v>
      </c>
      <c r="W2541" s="17">
        <f t="shared" si="39"/>
        <v>4.5463730046473305E-3</v>
      </c>
    </row>
    <row r="2542" spans="1:23" x14ac:dyDescent="0.2">
      <c r="A2542" s="14">
        <v>45271</v>
      </c>
      <c r="B2542" s="3">
        <v>-287344107473104</v>
      </c>
      <c r="C2542" s="3">
        <f>[1]!nefin_factors__1[[#This Row],[Rm_minus_Rf]]/B2541-1</f>
        <v>-1.3655083236708141</v>
      </c>
      <c r="D2542" s="3">
        <v>-413521989081571</v>
      </c>
      <c r="E2542" s="3">
        <f>[1]!nefin_factors__1[[#This Row],[SMB]]/D2541-1</f>
        <v>1.0937345684775797</v>
      </c>
      <c r="F2542" s="3">
        <v>130593291296611</v>
      </c>
      <c r="G2542" s="3">
        <f>[1]!nefin_factors__1[[#This Row],[HML]]/F2541-1</f>
        <v>-1.861155811472061</v>
      </c>
      <c r="H2542" s="3">
        <v>439880667904236</v>
      </c>
      <c r="I2542" s="4">
        <f>[1]!nefin_factors__1[[#This Row],[Risk_Free]]/H2541-1</f>
        <v>-3.2203744242640386E-3</v>
      </c>
      <c r="J2542">
        <v>129176</v>
      </c>
      <c r="K2542">
        <v>129307</v>
      </c>
      <c r="L2542">
        <v>128278</v>
      </c>
      <c r="M2542">
        <v>128341</v>
      </c>
      <c r="N2542">
        <v>7967700</v>
      </c>
      <c r="O2542">
        <v>128341</v>
      </c>
      <c r="P2542">
        <v>-6.4948134386128E-3</v>
      </c>
      <c r="Q2542">
        <v>-6.5159965092901296E-3</v>
      </c>
      <c r="R2542" s="8">
        <v>3.3399999141693102</v>
      </c>
      <c r="S2542" s="8">
        <v>-2.6239111030974101E-2</v>
      </c>
      <c r="T2542" s="9">
        <v>-2.6589499349791799E-2</v>
      </c>
      <c r="U2542" s="12">
        <v>4.3739E-2</v>
      </c>
      <c r="V2542" s="16">
        <v>4.9192</v>
      </c>
      <c r="W2542" s="17">
        <f t="shared" si="39"/>
        <v>-1.0519963793623632E-2</v>
      </c>
    </row>
    <row r="2543" spans="1:23" x14ac:dyDescent="0.2">
      <c r="A2543" s="15">
        <v>45272</v>
      </c>
      <c r="B2543" s="5">
        <v>-325451959351616</v>
      </c>
      <c r="C2543" s="5">
        <f>[1]!nefin_factors__1[[#This Row],[Rm_minus_Rf]]/B2542-1</f>
        <v>0.13262096172297166</v>
      </c>
      <c r="D2543" s="5">
        <v>105434108605543</v>
      </c>
      <c r="E2543" s="5">
        <f>[1]!nefin_factors__1[[#This Row],[SMB]]/D2542-1</f>
        <v>-1.2549661478455143</v>
      </c>
      <c r="F2543" s="5">
        <v>229901561990594</v>
      </c>
      <c r="G2543" s="5">
        <f>[1]!nefin_factors__1[[#This Row],[HML]]/F2542-1</f>
        <v>0.76043929751665673</v>
      </c>
      <c r="H2543" s="5">
        <v>439169899284275</v>
      </c>
      <c r="I2543" s="6">
        <f>[1]!nefin_factors__1[[#This Row],[Risk_Free]]/H2542-1</f>
        <v>-1.6158214530030968E-3</v>
      </c>
      <c r="J2543">
        <v>128336</v>
      </c>
      <c r="K2543">
        <v>128989</v>
      </c>
      <c r="L2543">
        <v>127823</v>
      </c>
      <c r="M2543">
        <v>128098</v>
      </c>
      <c r="N2543">
        <v>9692200</v>
      </c>
      <c r="O2543">
        <v>128098</v>
      </c>
      <c r="P2543">
        <v>-1.8933933816940301E-3</v>
      </c>
      <c r="Q2543">
        <v>-1.89518811672705E-3</v>
      </c>
      <c r="R2543" s="8">
        <v>3.5199999809265101</v>
      </c>
      <c r="S2543" s="8">
        <v>5.3892236940961097E-2</v>
      </c>
      <c r="T2543" s="9">
        <v>5.2490202900603897E-2</v>
      </c>
      <c r="U2543" s="12">
        <v>4.3739E-2</v>
      </c>
      <c r="V2543" s="16">
        <v>4.9231999999999996</v>
      </c>
      <c r="W2543" s="17">
        <f t="shared" si="39"/>
        <v>8.13140348024044E-4</v>
      </c>
    </row>
    <row r="2544" spans="1:23" x14ac:dyDescent="0.2">
      <c r="A2544" s="14">
        <v>45273</v>
      </c>
      <c r="B2544" s="3">
        <v>247284462173541</v>
      </c>
      <c r="C2544" s="3">
        <f>[1]!nefin_factors__1[[#This Row],[Rm_minus_Rf]]/B2543-1</f>
        <v>-1.7598186308854777</v>
      </c>
      <c r="D2544" s="3">
        <v>138271270037092</v>
      </c>
      <c r="E2544" s="3">
        <f>[1]!nefin_factors__1[[#This Row],[SMB]]/D2543-1</f>
        <v>0.31144723340339064</v>
      </c>
      <c r="F2544" s="3">
        <v>-12388277085383</v>
      </c>
      <c r="G2544" s="3">
        <f>[1]!nefin_factors__1[[#This Row],[HML]]/F2543-1</f>
        <v>-1.0538851366564002</v>
      </c>
      <c r="H2544" s="3">
        <v>438103508646037</v>
      </c>
      <c r="I2544" s="4">
        <f>[1]!nefin_factors__1[[#This Row],[Risk_Free]]/H2543-1</f>
        <v>-2.4281961035488298E-3</v>
      </c>
      <c r="J2544">
        <v>128099</v>
      </c>
      <c r="K2544">
        <v>129323</v>
      </c>
      <c r="L2544">
        <v>128099</v>
      </c>
      <c r="M2544">
        <v>128890</v>
      </c>
      <c r="N2544">
        <v>11057900</v>
      </c>
      <c r="O2544">
        <v>128890</v>
      </c>
      <c r="P2544">
        <v>6.1827663195366299E-3</v>
      </c>
      <c r="Q2544">
        <v>6.1637314383787703E-3</v>
      </c>
      <c r="R2544" s="8">
        <v>3.3800001144409202</v>
      </c>
      <c r="S2544" s="8">
        <v>-3.9772689558011297E-2</v>
      </c>
      <c r="T2544" s="9">
        <v>-4.0585240838215103E-2</v>
      </c>
      <c r="U2544" s="12">
        <v>4.3739E-2</v>
      </c>
      <c r="V2544" s="16">
        <v>4.9124999999999996</v>
      </c>
      <c r="W2544" s="17">
        <f t="shared" si="39"/>
        <v>-2.1733831654208169E-3</v>
      </c>
    </row>
    <row r="2545" spans="1:23" x14ac:dyDescent="0.2">
      <c r="A2545" s="15">
        <v>45274</v>
      </c>
      <c r="B2545" s="5">
        <v>774111178014072</v>
      </c>
      <c r="C2545" s="5">
        <f>[1]!nefin_factors__1[[#This Row],[Rm_minus_Rf]]/B2544-1</f>
        <v>2.1304481131160231</v>
      </c>
      <c r="D2545" s="5">
        <v>-387340926013749</v>
      </c>
      <c r="E2545" s="5">
        <f>[1]!nefin_factors__1[[#This Row],[SMB]]/D2544-1</f>
        <v>-3.8013116962753197</v>
      </c>
      <c r="F2545" s="5">
        <v>-457407743539842</v>
      </c>
      <c r="G2545" s="5">
        <f>[1]!nefin_factors__1[[#This Row],[HML]]/F2544-1</f>
        <v>35.922627770373339</v>
      </c>
      <c r="H2545" s="5">
        <v>437392423015881</v>
      </c>
      <c r="I2545" s="6">
        <f>[1]!nefin_factors__1[[#This Row],[Risk_Free]]/H2544-1</f>
        <v>-1.623099601173239E-3</v>
      </c>
      <c r="J2545">
        <v>128890</v>
      </c>
      <c r="K2545">
        <v>129188</v>
      </c>
      <c r="L2545">
        <v>128033</v>
      </c>
      <c r="M2545">
        <v>128340</v>
      </c>
      <c r="N2545">
        <v>7350000</v>
      </c>
      <c r="O2545">
        <v>128340</v>
      </c>
      <c r="P2545">
        <v>-4.2672045930638404E-3</v>
      </c>
      <c r="Q2545">
        <v>-4.2763350943189199E-3</v>
      </c>
      <c r="R2545" s="8">
        <v>3.28999996185303</v>
      </c>
      <c r="S2545" s="8">
        <v>-2.6627263177704801E-2</v>
      </c>
      <c r="T2545" s="9">
        <v>-2.6988190170730699E-2</v>
      </c>
      <c r="U2545" s="12">
        <v>4.3739E-2</v>
      </c>
      <c r="V2545" s="16">
        <v>4.9225000000000003</v>
      </c>
      <c r="W2545" s="17">
        <f t="shared" si="39"/>
        <v>2.0356234096694514E-3</v>
      </c>
    </row>
    <row r="2546" spans="1:23" x14ac:dyDescent="0.2">
      <c r="A2546" s="14">
        <v>45275</v>
      </c>
      <c r="B2546" s="3">
        <v>-389392112790534</v>
      </c>
      <c r="C2546" s="3">
        <f>[1]!nefin_factors__1[[#This Row],[Rm_minus_Rf]]/B2545-1</f>
        <v>-1.503018331022544</v>
      </c>
      <c r="D2546" s="3">
        <v>-498543630036745</v>
      </c>
      <c r="E2546" s="3">
        <f>[1]!nefin_factors__1[[#This Row],[SMB]]/D2545-1</f>
        <v>0.28709257544101807</v>
      </c>
      <c r="F2546" s="3">
        <v>457692564647176</v>
      </c>
      <c r="G2546" s="3">
        <f>[1]!nefin_factors__1[[#This Row],[HML]]/F2545-1</f>
        <v>-2.0006226853641125</v>
      </c>
      <c r="H2546" s="3">
        <v>437392423015881</v>
      </c>
      <c r="I2546" s="4">
        <f>[1]!nefin_factors__1[[#This Row],[Risk_Free]]/H2545-1</f>
        <v>0</v>
      </c>
      <c r="J2546">
        <v>128335</v>
      </c>
      <c r="K2546">
        <v>128338</v>
      </c>
      <c r="L2546">
        <v>125802</v>
      </c>
      <c r="M2546">
        <v>127071</v>
      </c>
      <c r="N2546">
        <v>11937900</v>
      </c>
      <c r="O2546">
        <v>127071</v>
      </c>
      <c r="P2546">
        <v>-9.8877980364656705E-3</v>
      </c>
      <c r="Q2546">
        <v>-9.9370069587618806E-3</v>
      </c>
      <c r="R2546" s="8">
        <v>3.3699998855590798</v>
      </c>
      <c r="S2546" s="8">
        <v>2.4316086514784199E-2</v>
      </c>
      <c r="T2546" s="9">
        <v>2.4025157223084601E-2</v>
      </c>
      <c r="U2546" s="12">
        <v>4.3739E-2</v>
      </c>
      <c r="V2546" s="16">
        <v>4.9638</v>
      </c>
      <c r="W2546" s="17">
        <f t="shared" si="39"/>
        <v>8.3900457084813418E-3</v>
      </c>
    </row>
    <row r="2547" spans="1:23" x14ac:dyDescent="0.2">
      <c r="A2547" s="15">
        <v>45278</v>
      </c>
      <c r="B2547" s="5">
        <v>592202800344745</v>
      </c>
      <c r="C2547" s="5">
        <f>[1]!nefin_factors__1[[#This Row],[Rm_minus_Rf]]/B2546-1</f>
        <v>-2.5208392283572243</v>
      </c>
      <c r="D2547" s="5">
        <v>-388909988585521</v>
      </c>
      <c r="E2547" s="5">
        <f>[1]!nefin_factors__1[[#This Row],[SMB]]/D2546-1</f>
        <v>-0.21990781718170482</v>
      </c>
      <c r="F2547" s="5">
        <v>-164862727615613</v>
      </c>
      <c r="G2547" s="5">
        <f>[1]!nefin_factors__1[[#This Row],[HML]]/F2546-1</f>
        <v>-1.3602040766004175</v>
      </c>
      <c r="H2547" s="5">
        <v>437392423015881</v>
      </c>
      <c r="I2547" s="6">
        <f>[1]!nefin_factors__1[[#This Row],[Risk_Free]]/H2546-1</f>
        <v>0</v>
      </c>
      <c r="J2547">
        <v>127068</v>
      </c>
      <c r="K2547">
        <v>127068</v>
      </c>
      <c r="L2547">
        <v>126065</v>
      </c>
      <c r="M2547">
        <v>126124</v>
      </c>
      <c r="N2547">
        <v>8899100</v>
      </c>
      <c r="O2547">
        <v>126124</v>
      </c>
      <c r="P2547">
        <v>-7.4525265402806103E-3</v>
      </c>
      <c r="Q2547">
        <v>-7.4804353634862304E-3</v>
      </c>
      <c r="R2547" s="8">
        <v>3.2799999713897701</v>
      </c>
      <c r="S2547" s="8">
        <v>-2.6706206891867802E-2</v>
      </c>
      <c r="T2547" s="9">
        <v>-2.7069296732119E-2</v>
      </c>
      <c r="U2547" s="12">
        <v>4.3739E-2</v>
      </c>
      <c r="V2547" s="16">
        <v>4.9535</v>
      </c>
      <c r="W2547" s="17">
        <f t="shared" si="39"/>
        <v>-2.0750231677344466E-3</v>
      </c>
    </row>
    <row r="2548" spans="1:23" x14ac:dyDescent="0.2">
      <c r="A2548" s="14">
        <v>45279</v>
      </c>
      <c r="B2548" s="3">
        <v>619717825546924</v>
      </c>
      <c r="C2548" s="3">
        <f>[1]!nefin_factors__1[[#This Row],[Rm_minus_Rf]]/B2547-1</f>
        <v>4.6462166653317816E-2</v>
      </c>
      <c r="D2548" s="3">
        <v>-440057637117738</v>
      </c>
      <c r="E2548" s="3">
        <f>[1]!nefin_factors__1[[#This Row],[SMB]]/D2547-1</f>
        <v>0.13151538925046058</v>
      </c>
      <c r="F2548" s="3">
        <v>-605753722489762</v>
      </c>
      <c r="G2548" s="3">
        <f>[1]!nefin_factors__1[[#This Row],[HML]]/F2547-1</f>
        <v>2.674291522715261</v>
      </c>
      <c r="H2548" s="3">
        <v>437392423015881</v>
      </c>
      <c r="I2548" s="4">
        <f>[1]!nefin_factors__1[[#This Row],[Risk_Free]]/H2547-1</f>
        <v>0</v>
      </c>
      <c r="J2548">
        <v>126124</v>
      </c>
      <c r="K2548">
        <v>128039</v>
      </c>
      <c r="L2548">
        <v>126121</v>
      </c>
      <c r="M2548">
        <v>127668</v>
      </c>
      <c r="N2548">
        <v>9483700</v>
      </c>
      <c r="O2548">
        <v>127668</v>
      </c>
      <c r="P2548">
        <v>1.2241920649519501E-2</v>
      </c>
      <c r="Q2548">
        <v>1.2167594322108099E-2</v>
      </c>
      <c r="R2548" s="8">
        <v>3.3900001049041699</v>
      </c>
      <c r="S2548" s="8">
        <v>3.3536626363992197E-2</v>
      </c>
      <c r="T2548" s="9">
        <v>3.2986538664121198E-2</v>
      </c>
      <c r="U2548" s="12">
        <v>4.1957000000000001E-2</v>
      </c>
      <c r="V2548" s="16">
        <v>4.9349999999999996</v>
      </c>
      <c r="W2548" s="17">
        <f t="shared" si="39"/>
        <v>-3.7347330170587334E-3</v>
      </c>
    </row>
    <row r="2549" spans="1:23" x14ac:dyDescent="0.2">
      <c r="A2549" s="15">
        <v>45280</v>
      </c>
      <c r="B2549" s="5">
        <v>-687829290978179</v>
      </c>
      <c r="C2549" s="5">
        <f>[1]!nefin_factors__1[[#This Row],[Rm_minus_Rf]]/B2548-1</f>
        <v>-2.1099072232933498</v>
      </c>
      <c r="D2549" s="5">
        <v>57588482732725</v>
      </c>
      <c r="E2549" s="5">
        <f>[1]!nefin_factors__1[[#This Row],[SMB]]/D2548-1</f>
        <v>-1.1308657727426672</v>
      </c>
      <c r="F2549" s="5">
        <v>922420677565527</v>
      </c>
      <c r="G2549" s="5">
        <f>[1]!nefin_factors__1[[#This Row],[HML]]/F2548-1</f>
        <v>-2.522765182150601</v>
      </c>
      <c r="H2549" s="5">
        <v>437392423015881</v>
      </c>
      <c r="I2549" s="6">
        <f>[1]!nefin_factors__1[[#This Row],[Risk_Free]]/H2548-1</f>
        <v>0</v>
      </c>
      <c r="J2549">
        <v>127668</v>
      </c>
      <c r="K2549">
        <v>128530</v>
      </c>
      <c r="L2549">
        <v>127439</v>
      </c>
      <c r="M2549">
        <v>128006</v>
      </c>
      <c r="N2549">
        <v>8837200</v>
      </c>
      <c r="O2549">
        <v>128006</v>
      </c>
      <c r="P2549">
        <v>2.6474919321990398E-3</v>
      </c>
      <c r="Q2549">
        <v>2.6439934987892901E-3</v>
      </c>
      <c r="R2549" s="8">
        <v>3.4200000762939502</v>
      </c>
      <c r="S2549" s="8">
        <v>8.8495488086772801E-3</v>
      </c>
      <c r="T2549" s="9">
        <v>8.8106210451419798E-3</v>
      </c>
      <c r="U2549" s="12">
        <v>4.1957000000000001E-2</v>
      </c>
      <c r="V2549" s="16">
        <v>4.9470999999999998</v>
      </c>
      <c r="W2549" s="17">
        <f t="shared" si="39"/>
        <v>2.4518743667680809E-3</v>
      </c>
    </row>
    <row r="2550" spans="1:23" x14ac:dyDescent="0.2">
      <c r="A2550" s="14">
        <v>45281</v>
      </c>
      <c r="B2550" s="3">
        <v>822729334402881</v>
      </c>
      <c r="C2550" s="3">
        <f>[1]!nefin_factors__1[[#This Row],[Rm_minus_Rf]]/B2549-1</f>
        <v>-2.1961243075776222</v>
      </c>
      <c r="D2550" s="3">
        <v>-819427742671953</v>
      </c>
      <c r="E2550" s="3">
        <f>[1]!nefin_factors__1[[#This Row],[SMB]]/D2549-1</f>
        <v>-15.229021217228706</v>
      </c>
      <c r="F2550" s="3">
        <v>-230645764393734</v>
      </c>
      <c r="G2550" s="3">
        <f>[1]!nefin_factors__1[[#This Row],[HML]]/F2549-1</f>
        <v>-1.2500440092067964</v>
      </c>
      <c r="H2550" s="3">
        <v>437392423015881</v>
      </c>
      <c r="I2550" s="4">
        <f>[1]!nefin_factors__1[[#This Row],[Risk_Free]]/H2549-1</f>
        <v>0</v>
      </c>
      <c r="J2550">
        <v>127992</v>
      </c>
      <c r="K2550">
        <v>128256</v>
      </c>
      <c r="L2550">
        <v>127192</v>
      </c>
      <c r="M2550">
        <v>127690</v>
      </c>
      <c r="N2550">
        <v>9292600</v>
      </c>
      <c r="O2550">
        <v>127690</v>
      </c>
      <c r="P2550">
        <v>-2.4686342827679999E-3</v>
      </c>
      <c r="Q2550">
        <v>-2.47168638442892E-3</v>
      </c>
      <c r="R2550" s="8">
        <v>3.3599998950958301</v>
      </c>
      <c r="S2550" s="8">
        <v>-1.7543912239656699E-2</v>
      </c>
      <c r="T2550" s="9">
        <v>-1.7699630629052901E-2</v>
      </c>
      <c r="U2550" s="12">
        <v>4.1957000000000001E-2</v>
      </c>
      <c r="V2550" s="16">
        <v>5.0053000000000001</v>
      </c>
      <c r="W2550" s="17">
        <f t="shared" si="39"/>
        <v>1.1764468072203993E-2</v>
      </c>
    </row>
    <row r="2551" spans="1:23" x14ac:dyDescent="0.2">
      <c r="A2551" s="15">
        <v>45282</v>
      </c>
      <c r="B2551" s="5">
        <v>517775762998345</v>
      </c>
      <c r="C2551" s="5">
        <f>[1]!nefin_factors__1[[#This Row],[Rm_minus_Rf]]/B2550-1</f>
        <v>-0.37066087065664755</v>
      </c>
      <c r="D2551" s="5">
        <v>122519673296534</v>
      </c>
      <c r="E2551" s="5">
        <f>[1]!nefin_factors__1[[#This Row],[SMB]]/D2550-1</f>
        <v>-1.149518580975825</v>
      </c>
      <c r="F2551" s="5">
        <v>835216830871064</v>
      </c>
      <c r="G2551" s="5">
        <f>[1]!nefin_factors__1[[#This Row],[HML]]/F2550-1</f>
        <v>-4.6212103572180512</v>
      </c>
      <c r="H2551" s="5">
        <v>437392423015881</v>
      </c>
      <c r="I2551" s="6">
        <f>[1]!nefin_factors__1[[#This Row],[Risk_Free]]/H2550-1</f>
        <v>0</v>
      </c>
      <c r="J2551">
        <v>127682</v>
      </c>
      <c r="K2551">
        <v>127957</v>
      </c>
      <c r="L2551">
        <v>126502</v>
      </c>
      <c r="M2551">
        <v>126742</v>
      </c>
      <c r="N2551">
        <v>14992400</v>
      </c>
      <c r="O2551">
        <v>126742</v>
      </c>
      <c r="P2551">
        <v>-7.4242305583835898E-3</v>
      </c>
      <c r="Q2551">
        <v>-7.4519273280278598E-3</v>
      </c>
      <c r="R2551" s="8">
        <v>3.3900001049041699</v>
      </c>
      <c r="S2551" s="8">
        <v>8.9286341502978796E-3</v>
      </c>
      <c r="T2551" s="9">
        <v>8.8890095839110096E-3</v>
      </c>
      <c r="U2551" s="12">
        <v>4.1957000000000001E-2</v>
      </c>
      <c r="V2551" s="16">
        <v>4.9687000000000001</v>
      </c>
      <c r="W2551" s="17">
        <f t="shared" si="39"/>
        <v>-7.3122490160429932E-3</v>
      </c>
    </row>
    <row r="2552" spans="1:23" x14ac:dyDescent="0.2">
      <c r="A2552" s="14">
        <v>45286</v>
      </c>
      <c r="B2552" s="3">
        <v>544969867292582</v>
      </c>
      <c r="C2552" s="3">
        <f>[1]!nefin_factors__1[[#This Row],[Rm_minus_Rf]]/B2551-1</f>
        <v>5.2521006655006142E-2</v>
      </c>
      <c r="D2552" s="3">
        <v>27088849436372</v>
      </c>
      <c r="E2552" s="3">
        <f>[1]!nefin_factors__1[[#This Row],[SMB]]/D2551-1</f>
        <v>-0.77890204317792344</v>
      </c>
      <c r="F2552" s="3">
        <v>219586022746874</v>
      </c>
      <c r="G2552" s="3">
        <f>[1]!nefin_factors__1[[#This Row],[HML]]/F2551-1</f>
        <v>-0.73709099885132412</v>
      </c>
      <c r="H2552" s="3">
        <v>437392423015881</v>
      </c>
      <c r="I2552" s="4">
        <f>[1]!nefin_factors__1[[#This Row],[Risk_Free]]/H2551-1</f>
        <v>0</v>
      </c>
      <c r="J2552">
        <v>126758</v>
      </c>
      <c r="K2552">
        <v>127540</v>
      </c>
      <c r="L2552">
        <v>126272</v>
      </c>
      <c r="M2552">
        <v>126954</v>
      </c>
      <c r="N2552">
        <v>10512100</v>
      </c>
      <c r="O2552">
        <v>126954</v>
      </c>
      <c r="P2552">
        <v>1.67268940051435E-3</v>
      </c>
      <c r="Q2552">
        <v>1.67129201364484E-3</v>
      </c>
      <c r="R2552" s="8">
        <v>3.3599998950958301</v>
      </c>
      <c r="S2552" s="8">
        <v>-8.8496191386394606E-3</v>
      </c>
      <c r="T2552" s="9">
        <v>-8.8890095839109905E-3</v>
      </c>
      <c r="U2552" s="12">
        <v>4.1957000000000001E-2</v>
      </c>
      <c r="V2552" s="16">
        <v>4.9607999999999999</v>
      </c>
      <c r="W2552" s="17">
        <f t="shared" si="39"/>
        <v>-1.5899531064463845E-3</v>
      </c>
    </row>
    <row r="2553" spans="1:23" x14ac:dyDescent="0.2">
      <c r="A2553" s="15">
        <v>45287</v>
      </c>
      <c r="B2553" s="5">
        <v>451340148906086</v>
      </c>
      <c r="C2553" s="5">
        <f>[1]!nefin_factors__1[[#This Row],[Rm_minus_Rf]]/B2552-1</f>
        <v>-0.17180714752477921</v>
      </c>
      <c r="D2553" s="5">
        <v>499005822560669</v>
      </c>
      <c r="E2553" s="5">
        <f>[1]!nefin_factors__1[[#This Row],[SMB]]/D2552-1</f>
        <v>17.421078522835213</v>
      </c>
      <c r="F2553" s="5">
        <v>859669220394063</v>
      </c>
      <c r="G2553" s="5">
        <f>[1]!nefin_factors__1[[#This Row],[HML]]/F2552-1</f>
        <v>2.9149541926219946</v>
      </c>
      <c r="H2553" s="5">
        <v>437392423015881</v>
      </c>
      <c r="I2553" s="6">
        <f>[1]!nefin_factors__1[[#This Row],[Risk_Free]]/H2552-1</f>
        <v>0</v>
      </c>
      <c r="J2553">
        <v>126955</v>
      </c>
      <c r="K2553">
        <v>128000</v>
      </c>
      <c r="L2553">
        <v>126955</v>
      </c>
      <c r="M2553">
        <v>127529</v>
      </c>
      <c r="N2553">
        <v>11184800</v>
      </c>
      <c r="O2553">
        <v>127529</v>
      </c>
      <c r="P2553">
        <v>4.5291995525937904E-3</v>
      </c>
      <c r="Q2553">
        <v>4.5189735936134899E-3</v>
      </c>
      <c r="R2553" s="8">
        <v>3.3900001049041699</v>
      </c>
      <c r="S2553" s="8">
        <v>8.9286341502978796E-3</v>
      </c>
      <c r="T2553" s="9">
        <v>8.8890095839110096E-3</v>
      </c>
      <c r="U2553" s="12">
        <v>4.1957000000000001E-2</v>
      </c>
      <c r="V2553" s="16">
        <v>4.9804000000000004</v>
      </c>
      <c r="W2553" s="17">
        <f t="shared" si="39"/>
        <v>3.9509756490889725E-3</v>
      </c>
    </row>
    <row r="2554" spans="1:23" x14ac:dyDescent="0.2">
      <c r="A2554" s="14">
        <v>45288</v>
      </c>
      <c r="B2554" s="3">
        <v>333829314521237</v>
      </c>
      <c r="C2554" s="3">
        <f>[1]!nefin_factors__1[[#This Row],[Rm_minus_Rf]]/B2553-1</f>
        <v>-0.26035980771854716</v>
      </c>
      <c r="D2554" s="3">
        <v>414489386149618</v>
      </c>
      <c r="E2554" s="3">
        <f>[1]!nefin_factors__1[[#This Row],[SMB]]/D2553-1</f>
        <v>-0.16936963977163921</v>
      </c>
      <c r="F2554" s="3">
        <v>10630569589189</v>
      </c>
      <c r="G2554" s="3">
        <f>[1]!nefin_factors__1[[#This Row],[HML]]/F2553-1</f>
        <v>-0.98763411631241604</v>
      </c>
      <c r="H2554" s="3">
        <v>437392423015881</v>
      </c>
      <c r="I2554" s="4">
        <f>[1]!nefin_factors__1[[#This Row],[Risk_Free]]/H2553-1</f>
        <v>0</v>
      </c>
      <c r="J2554">
        <v>127534</v>
      </c>
      <c r="K2554">
        <v>129210</v>
      </c>
      <c r="L2554">
        <v>127349</v>
      </c>
      <c r="M2554">
        <v>129125</v>
      </c>
      <c r="N2554">
        <v>10819300</v>
      </c>
      <c r="O2554">
        <v>129125</v>
      </c>
      <c r="P2554">
        <v>1.25148005551678E-2</v>
      </c>
      <c r="Q2554">
        <v>1.24371377239822E-2</v>
      </c>
      <c r="R2554" s="8">
        <v>3.5699999332428001</v>
      </c>
      <c r="S2554" s="8">
        <v>5.3097292852063403E-2</v>
      </c>
      <c r="T2554" s="9">
        <v>5.1735624754508297E-2</v>
      </c>
      <c r="U2554" s="12">
        <v>4.1957000000000001E-2</v>
      </c>
      <c r="V2554" s="16">
        <v>4.9717000000000002</v>
      </c>
      <c r="W2554" s="17">
        <f t="shared" si="39"/>
        <v>-1.7468476427596746E-3</v>
      </c>
    </row>
    <row r="2555" spans="1:23" x14ac:dyDescent="0.2">
      <c r="A2555" s="15">
        <v>45293</v>
      </c>
      <c r="B2555" s="5">
        <v>-121514208551869</v>
      </c>
      <c r="C2555" s="5">
        <f>[1]!nefin_factors__1[[#This Row],[Rm_minus_Rf]]/B2554-1</f>
        <v>-1.3640010126915882</v>
      </c>
      <c r="D2555" s="5">
        <v>-56264808236376</v>
      </c>
      <c r="E2555" s="5">
        <f>[1]!nefin_factors__1[[#This Row],[SMB]]/D2554-1</f>
        <v>-1.1357448709580855</v>
      </c>
      <c r="F2555" s="5">
        <v>15280928710558</v>
      </c>
      <c r="G2555" s="5">
        <f>[1]!nefin_factors__1[[#This Row],[HML]]/F2554-1</f>
        <v>0.43745154785481</v>
      </c>
      <c r="H2555" s="5">
        <v>437392423015881</v>
      </c>
      <c r="I2555" s="6">
        <f>[1]!nefin_factors__1[[#This Row],[Risk_Free]]/H2554-1</f>
        <v>0</v>
      </c>
      <c r="J2555">
        <v>129125</v>
      </c>
      <c r="K2555">
        <v>129556</v>
      </c>
      <c r="L2555">
        <v>128093</v>
      </c>
      <c r="M2555">
        <v>128159</v>
      </c>
      <c r="N2555">
        <v>9570800</v>
      </c>
      <c r="O2555">
        <v>128159</v>
      </c>
      <c r="P2555">
        <v>-7.4811229428848299E-3</v>
      </c>
      <c r="Q2555">
        <v>-7.5092468967619397E-3</v>
      </c>
      <c r="R2555" s="8">
        <v>3.3900001049041699</v>
      </c>
      <c r="S2555" s="8">
        <v>-5.0420120925638398E-2</v>
      </c>
      <c r="T2555" s="9">
        <v>-5.1735624754508401E-2</v>
      </c>
      <c r="U2555" s="12">
        <v>4.1957000000000001E-2</v>
      </c>
      <c r="V2555" s="16">
        <v>4.9722999999999997</v>
      </c>
      <c r="W2555" s="17">
        <f t="shared" si="39"/>
        <v>1.2068306615442559E-4</v>
      </c>
    </row>
    <row r="2556" spans="1:23" x14ac:dyDescent="0.2">
      <c r="A2556" s="14">
        <v>45294</v>
      </c>
      <c r="B2556" s="3">
        <v>125215231196916</v>
      </c>
      <c r="C2556" s="3">
        <f>[1]!nefin_factors__1[[#This Row],[Rm_minus_Rf]]/B2555-1</f>
        <v>-2.0304575299395315</v>
      </c>
      <c r="D2556" s="3">
        <v>-149258572698453</v>
      </c>
      <c r="E2556" s="3">
        <f>[1]!nefin_factors__1[[#This Row],[SMB]]/D2555-1</f>
        <v>1.6527873705958034</v>
      </c>
      <c r="F2556" s="3">
        <v>-487054050881109</v>
      </c>
      <c r="G2556" s="3">
        <f>[1]!nefin_factors__1[[#This Row],[HML]]/F2555-1</f>
        <v>-32.873327865510582</v>
      </c>
      <c r="H2556" s="3">
        <v>43668121050211</v>
      </c>
      <c r="I2556" s="4">
        <f>[1]!nefin_factors__1[[#This Row],[Risk_Free]]/H2555-1</f>
        <v>-0.90016260284274408</v>
      </c>
      <c r="J2556">
        <v>128159</v>
      </c>
      <c r="K2556">
        <v>128159</v>
      </c>
      <c r="L2556">
        <v>126879</v>
      </c>
      <c r="M2556">
        <v>127027</v>
      </c>
      <c r="N2556">
        <v>9367800</v>
      </c>
      <c r="O2556">
        <v>127027</v>
      </c>
      <c r="P2556">
        <v>-8.8327780335364404E-3</v>
      </c>
      <c r="Q2556">
        <v>-8.8720182550952494E-3</v>
      </c>
      <c r="R2556" s="8">
        <v>3.2599999904632599</v>
      </c>
      <c r="S2556" s="8">
        <v>-3.8348115167563597E-2</v>
      </c>
      <c r="T2556" s="9">
        <v>-3.9102759884307801E-2</v>
      </c>
      <c r="U2556" s="12">
        <v>4.1957000000000001E-2</v>
      </c>
      <c r="V2556" s="16">
        <v>4.9710000000000001</v>
      </c>
      <c r="W2556" s="17">
        <f t="shared" si="39"/>
        <v>-2.6144842427033854E-4</v>
      </c>
    </row>
    <row r="2557" spans="1:23" x14ac:dyDescent="0.2">
      <c r="A2557" s="15">
        <v>45295</v>
      </c>
      <c r="B2557" s="5">
        <v>-116926287012325</v>
      </c>
      <c r="C2557" s="5">
        <f>[1]!nefin_factors__1[[#This Row],[Rm_minus_Rf]]/B2556-1</f>
        <v>-1.9338024287831594</v>
      </c>
      <c r="D2557" s="5">
        <v>-208826051695975</v>
      </c>
      <c r="E2557" s="5">
        <f>[1]!nefin_factors__1[[#This Row],[SMB]]/D2556-1</f>
        <v>0.39908916399640337</v>
      </c>
      <c r="F2557" s="5">
        <v>-110194921939283</v>
      </c>
      <c r="G2557" s="5">
        <f>[1]!nefin_factors__1[[#This Row],[HML]]/F2556-1</f>
        <v>-0.77375217033934118</v>
      </c>
      <c r="H2557" s="5">
        <v>437036832622084</v>
      </c>
      <c r="I2557" s="6">
        <f>[1]!nefin_factors__1[[#This Row],[Risk_Free]]/H2556-1</f>
        <v>9.0081437467750245</v>
      </c>
      <c r="J2557">
        <v>127027</v>
      </c>
      <c r="K2557">
        <v>127224</v>
      </c>
      <c r="L2557">
        <v>126750</v>
      </c>
      <c r="M2557">
        <v>126931</v>
      </c>
      <c r="N2557">
        <v>8060500</v>
      </c>
      <c r="O2557">
        <v>126931</v>
      </c>
      <c r="P2557">
        <v>-7.5574484164786504E-4</v>
      </c>
      <c r="Q2557">
        <v>-7.5603056074359499E-4</v>
      </c>
      <c r="R2557" s="8">
        <v>3.2999999523162802</v>
      </c>
      <c r="S2557" s="8">
        <v>1.22699269846755E-2</v>
      </c>
      <c r="T2557" s="9">
        <v>1.2195261569588599E-2</v>
      </c>
      <c r="U2557" s="12">
        <v>4.1957000000000001E-2</v>
      </c>
      <c r="V2557" s="16">
        <v>4.9760999999999997</v>
      </c>
      <c r="W2557" s="17">
        <f t="shared" si="39"/>
        <v>1.0259505129752711E-3</v>
      </c>
    </row>
    <row r="2558" spans="1:23" x14ac:dyDescent="0.2">
      <c r="A2558" s="14">
        <v>45296</v>
      </c>
      <c r="B2558" s="3">
        <v>532673018090313</v>
      </c>
      <c r="C2558" s="3">
        <f>[1]!nefin_factors__1[[#This Row],[Rm_minus_Rf]]/B2557-1</f>
        <v>-5.5556310022413085</v>
      </c>
      <c r="D2558" s="3">
        <v>-296572590631005</v>
      </c>
      <c r="E2558" s="3">
        <f>[1]!nefin_factors__1[[#This Row],[SMB]]/D2557-1</f>
        <v>0.42018961821285661</v>
      </c>
      <c r="F2558" s="3">
        <v>-382336547116913</v>
      </c>
      <c r="G2558" s="3">
        <f>[1]!nefin_factors__1[[#This Row],[HML]]/F2557-1</f>
        <v>2.4696385313252369</v>
      </c>
      <c r="H2558" s="3">
        <v>436325556649741</v>
      </c>
      <c r="I2558" s="4">
        <f>[1]!nefin_factors__1[[#This Row],[Risk_Free]]/H2557-1</f>
        <v>-1.6274966301480509E-3</v>
      </c>
      <c r="J2558">
        <v>126931</v>
      </c>
      <c r="K2558">
        <v>127193</v>
      </c>
      <c r="L2558">
        <v>126591</v>
      </c>
      <c r="M2558">
        <v>126863</v>
      </c>
      <c r="N2558">
        <v>9435700</v>
      </c>
      <c r="O2558">
        <v>126863</v>
      </c>
      <c r="P2558">
        <v>-5.3572413358438098E-4</v>
      </c>
      <c r="Q2558">
        <v>-5.3586768502963901E-4</v>
      </c>
      <c r="R2558" s="8">
        <v>3.2400000095367401</v>
      </c>
      <c r="S2558" s="8">
        <v>-1.8181801105005099E-2</v>
      </c>
      <c r="T2558" s="9">
        <v>-1.8349121275146301E-2</v>
      </c>
      <c r="U2558" s="12">
        <v>4.1957000000000001E-2</v>
      </c>
      <c r="V2558" s="16">
        <v>4.9584999999999999</v>
      </c>
      <c r="W2558" s="17">
        <f t="shared" si="39"/>
        <v>-3.5369064126524741E-3</v>
      </c>
    </row>
    <row r="2559" spans="1:23" x14ac:dyDescent="0.2">
      <c r="A2559" s="15">
        <v>45299</v>
      </c>
      <c r="B2559" s="5">
        <v>345268965294756</v>
      </c>
      <c r="C2559" s="5">
        <f>[1]!nefin_factors__1[[#This Row],[Rm_minus_Rf]]/B2558-1</f>
        <v>-0.35181818194475034</v>
      </c>
      <c r="D2559" s="5">
        <v>125676145494525</v>
      </c>
      <c r="E2559" s="5">
        <f>[1]!nefin_factors__1[[#This Row],[SMB]]/D2558-1</f>
        <v>-1.4237618359374653</v>
      </c>
      <c r="F2559" s="5">
        <v>-618175635487022</v>
      </c>
      <c r="G2559" s="5">
        <f>[1]!nefin_factors__1[[#This Row],[HML]]/F2558-1</f>
        <v>0.61683637138144887</v>
      </c>
      <c r="H2559" s="5">
        <v>434190966840831</v>
      </c>
      <c r="I2559" s="6">
        <f>[1]!nefin_factors__1[[#This Row],[Risk_Free]]/H2558-1</f>
        <v>-4.8921952344486153E-3</v>
      </c>
      <c r="J2559">
        <v>126863</v>
      </c>
      <c r="K2559">
        <v>127756</v>
      </c>
      <c r="L2559">
        <v>126223</v>
      </c>
      <c r="M2559">
        <v>127691</v>
      </c>
      <c r="N2559">
        <v>9918200</v>
      </c>
      <c r="O2559">
        <v>127691</v>
      </c>
      <c r="P2559">
        <v>6.5267256804584202E-3</v>
      </c>
      <c r="Q2559">
        <v>6.5055188305854902E-3</v>
      </c>
      <c r="R2559" s="8">
        <v>3.0299999713897701</v>
      </c>
      <c r="S2559" s="8">
        <v>-6.4814826397793304E-2</v>
      </c>
      <c r="T2559" s="9">
        <v>-6.7010722668719505E-2</v>
      </c>
      <c r="U2559" s="12">
        <v>4.1957000000000001E-2</v>
      </c>
      <c r="V2559" s="16">
        <v>4.9408000000000003</v>
      </c>
      <c r="W2559" s="17">
        <f t="shared" si="39"/>
        <v>-3.5696279116667062E-3</v>
      </c>
    </row>
    <row r="2560" spans="1:23" x14ac:dyDescent="0.2">
      <c r="A2560" s="14">
        <v>45300</v>
      </c>
      <c r="B2560" s="3">
        <v>-781515241918754</v>
      </c>
      <c r="C2560" s="3">
        <f>[1]!nefin_factors__1[[#This Row],[Rm_minus_Rf]]/B2559-1</f>
        <v>-3.2634969269583052</v>
      </c>
      <c r="D2560" s="3">
        <v>811828270965283</v>
      </c>
      <c r="E2560" s="3">
        <f>[1]!nefin_factors__1[[#This Row],[SMB]]/D2559-1</f>
        <v>5.4596846742140874</v>
      </c>
      <c r="F2560" s="3">
        <v>28554317135174</v>
      </c>
      <c r="G2560" s="3">
        <f>[1]!nefin_factors__1[[#This Row],[HML]]/F2559-1</f>
        <v>-1.0461912691086213</v>
      </c>
      <c r="H2560" s="3">
        <v>433479182789576</v>
      </c>
      <c r="I2560" s="4">
        <f>[1]!nefin_factors__1[[#This Row],[Risk_Free]]/H2559-1</f>
        <v>-1.6393340848013249E-3</v>
      </c>
      <c r="J2560">
        <v>127689</v>
      </c>
      <c r="K2560">
        <v>128364</v>
      </c>
      <c r="L2560">
        <v>127270</v>
      </c>
      <c r="M2560">
        <v>128106</v>
      </c>
      <c r="N2560">
        <v>9943400</v>
      </c>
      <c r="O2560">
        <v>128106</v>
      </c>
      <c r="P2560">
        <v>3.2500332834732898E-3</v>
      </c>
      <c r="Q2560">
        <v>3.24476334054092E-3</v>
      </c>
      <c r="R2560" s="8">
        <v>2.9000000953674299</v>
      </c>
      <c r="S2560" s="8">
        <v>-4.29042499174387E-2</v>
      </c>
      <c r="T2560" s="9">
        <v>-4.3851840201208699E-2</v>
      </c>
      <c r="U2560" s="12">
        <v>4.1957000000000001E-2</v>
      </c>
      <c r="V2560" s="16">
        <v>4.9302999999999999</v>
      </c>
      <c r="W2560" s="17">
        <f t="shared" si="39"/>
        <v>-2.1251619170985503E-3</v>
      </c>
    </row>
    <row r="2561" spans="1:23" x14ac:dyDescent="0.2">
      <c r="A2561" s="15">
        <v>45301</v>
      </c>
      <c r="B2561" s="5">
        <v>-540628273155674</v>
      </c>
      <c r="C2561" s="5">
        <f>[1]!nefin_factors__1[[#This Row],[Rm_minus_Rf]]/B2560-1</f>
        <v>-0.30823067272707461</v>
      </c>
      <c r="D2561" s="5">
        <v>-582562082439147</v>
      </c>
      <c r="E2561" s="5">
        <f>[1]!nefin_factors__1[[#This Row],[SMB]]/D2560-1</f>
        <v>-1.7175927511694891</v>
      </c>
      <c r="F2561" s="5">
        <v>-148381882779023</v>
      </c>
      <c r="G2561" s="5">
        <f>[1]!nefin_factors__1[[#This Row],[HML]]/F2560-1</f>
        <v>-6.1964780693789407</v>
      </c>
      <c r="H2561" s="5">
        <v>432411268323163</v>
      </c>
      <c r="I2561" s="6">
        <f>[1]!nefin_factors__1[[#This Row],[Risk_Free]]/H2560-1</f>
        <v>-2.4635888153627938E-3</v>
      </c>
      <c r="J2561">
        <v>128106</v>
      </c>
      <c r="K2561">
        <v>128659</v>
      </c>
      <c r="L2561">
        <v>126772</v>
      </c>
      <c r="M2561">
        <v>126990</v>
      </c>
      <c r="N2561">
        <v>9372600</v>
      </c>
      <c r="O2561">
        <v>126990</v>
      </c>
      <c r="P2561">
        <v>-8.7115357594491592E-3</v>
      </c>
      <c r="Q2561">
        <v>-8.7497030123566896E-3</v>
      </c>
      <c r="R2561" s="8">
        <v>2.7300000190734899</v>
      </c>
      <c r="S2561" s="8">
        <v>-5.8620714035668403E-2</v>
      </c>
      <c r="T2561" s="9">
        <v>-6.0409153694255702E-2</v>
      </c>
      <c r="U2561" s="12">
        <v>4.1957000000000001E-2</v>
      </c>
      <c r="V2561" s="16">
        <v>4.9419000000000004</v>
      </c>
      <c r="W2561" s="17">
        <f t="shared" si="39"/>
        <v>2.3527980041784247E-3</v>
      </c>
    </row>
    <row r="2562" spans="1:23" x14ac:dyDescent="0.2">
      <c r="A2562" s="14">
        <v>45302</v>
      </c>
      <c r="B2562" s="3">
        <v>-318883384239766</v>
      </c>
      <c r="C2562" s="3">
        <f>[1]!nefin_factors__1[[#This Row],[Rm_minus_Rf]]/B2561-1</f>
        <v>-0.41016147309790529</v>
      </c>
      <c r="D2562" s="3">
        <v>-325632977669548</v>
      </c>
      <c r="E2562" s="3">
        <f>[1]!nefin_factors__1[[#This Row],[SMB]]/D2561-1</f>
        <v>-0.4410330032017441</v>
      </c>
      <c r="F2562" s="3">
        <v>-577267879797672</v>
      </c>
      <c r="G2562" s="3">
        <f>[1]!nefin_factors__1[[#This Row],[HML]]/F2561-1</f>
        <v>2.8904202385500484</v>
      </c>
      <c r="H2562" s="3">
        <v>433835090704049</v>
      </c>
      <c r="I2562" s="4">
        <f>[1]!nefin_factors__1[[#This Row],[Risk_Free]]/H2561-1</f>
        <v>3.2927504095983107E-3</v>
      </c>
      <c r="J2562">
        <v>126990</v>
      </c>
      <c r="K2562">
        <v>127654</v>
      </c>
      <c r="L2562">
        <v>126669</v>
      </c>
      <c r="M2562">
        <v>127549</v>
      </c>
      <c r="N2562">
        <v>9073600</v>
      </c>
      <c r="O2562">
        <v>127549</v>
      </c>
      <c r="P2562">
        <v>4.4019214111348202E-3</v>
      </c>
      <c r="Q2562">
        <v>4.3922612934245197E-3</v>
      </c>
      <c r="R2562" s="8">
        <v>2.6900000572204599</v>
      </c>
      <c r="S2562" s="8">
        <v>-1.4652000576396601E-2</v>
      </c>
      <c r="T2562" s="9">
        <v>-1.4760401298199799E-2</v>
      </c>
      <c r="U2562" s="12">
        <v>4.1957000000000001E-2</v>
      </c>
      <c r="V2562" s="16">
        <v>4.9851000000000001</v>
      </c>
      <c r="W2562" s="17">
        <f t="shared" si="39"/>
        <v>8.7415771262064901E-3</v>
      </c>
    </row>
    <row r="2563" spans="1:23" x14ac:dyDescent="0.2">
      <c r="A2563" s="15">
        <v>45303</v>
      </c>
      <c r="B2563" s="5">
        <v>242103843678689</v>
      </c>
      <c r="C2563" s="5">
        <f>[1]!nefin_factors__1[[#This Row],[Rm_minus_Rf]]/B2562-1</f>
        <v>-1.7592237653143226</v>
      </c>
      <c r="D2563" s="5">
        <v>517260987379543</v>
      </c>
      <c r="E2563" s="5">
        <f>[1]!nefin_factors__1[[#This Row],[SMB]]/D2562-1</f>
        <v>-2.5884785106269517</v>
      </c>
      <c r="F2563" s="5">
        <v>995558194921364</v>
      </c>
      <c r="G2563" s="5">
        <f>[1]!nefin_factors__1[[#This Row],[HML]]/F2562-1</f>
        <v>-2.7246034809182516</v>
      </c>
      <c r="H2563" s="5">
        <v>432767271604684</v>
      </c>
      <c r="I2563" s="6">
        <f>[1]!nefin_factors__1[[#This Row],[Risk_Free]]/H2562-1</f>
        <v>-2.4613479228526858E-3</v>
      </c>
      <c r="J2563">
        <v>127546</v>
      </c>
      <c r="K2563">
        <v>127694</v>
      </c>
      <c r="L2563">
        <v>126181</v>
      </c>
      <c r="M2563">
        <v>127318</v>
      </c>
      <c r="N2563">
        <v>11032700</v>
      </c>
      <c r="O2563">
        <v>127318</v>
      </c>
      <c r="P2563">
        <v>-1.81106868732805E-3</v>
      </c>
      <c r="Q2563">
        <v>-1.81271065500015E-3</v>
      </c>
      <c r="R2563" s="8">
        <v>2.7000000476837198</v>
      </c>
      <c r="S2563" s="8">
        <v>3.7174684946250599E-3</v>
      </c>
      <c r="T2563" s="9">
        <v>3.71057578562506E-3</v>
      </c>
      <c r="U2563" s="12">
        <v>4.1957000000000001E-2</v>
      </c>
      <c r="V2563" s="16">
        <v>4.9819000000000004</v>
      </c>
      <c r="W2563" s="17">
        <f t="shared" si="39"/>
        <v>-6.4191290044324223E-4</v>
      </c>
    </row>
    <row r="2564" spans="1:23" x14ac:dyDescent="0.2">
      <c r="A2564" s="14">
        <v>45306</v>
      </c>
      <c r="B2564" s="3">
        <v>271501949947456</v>
      </c>
      <c r="C2564" s="3">
        <f>[1]!nefin_factors__1[[#This Row],[Rm_minus_Rf]]/B2563-1</f>
        <v>0.12142767261383525</v>
      </c>
      <c r="D2564" s="3">
        <v>630788498836344</v>
      </c>
      <c r="E2564" s="3">
        <f>[1]!nefin_factors__1[[#This Row],[SMB]]/D2563-1</f>
        <v>0.21947820196519019</v>
      </c>
      <c r="F2564" s="3">
        <v>82067792941761</v>
      </c>
      <c r="G2564" s="3">
        <f>[1]!nefin_factors__1[[#This Row],[HML]]/F2563-1</f>
        <v>-0.91756605152726078</v>
      </c>
      <c r="H2564" s="3">
        <v>430986937135502</v>
      </c>
      <c r="I2564" s="4">
        <f>[1]!nefin_factors__1[[#This Row],[Risk_Free]]/H2563-1</f>
        <v>-4.1138380510628014E-3</v>
      </c>
      <c r="J2564">
        <v>127313</v>
      </c>
      <c r="K2564">
        <v>129627</v>
      </c>
      <c r="L2564">
        <v>127178</v>
      </c>
      <c r="M2564">
        <v>127428</v>
      </c>
      <c r="N2564">
        <v>13229200</v>
      </c>
      <c r="O2564">
        <v>127428</v>
      </c>
      <c r="P2564">
        <v>8.6397838483165401E-4</v>
      </c>
      <c r="Q2564">
        <v>8.6360537034243503E-4</v>
      </c>
      <c r="R2564" s="8">
        <v>2.7699999809265101</v>
      </c>
      <c r="S2564" s="8">
        <v>2.5925900743168299E-2</v>
      </c>
      <c r="T2564" s="9">
        <v>2.5595522642593099E-2</v>
      </c>
      <c r="U2564" s="12">
        <v>4.1957000000000001E-2</v>
      </c>
      <c r="V2564" s="16">
        <v>4.9574999999999996</v>
      </c>
      <c r="W2564" s="17">
        <f t="shared" ref="W2564:W2627" si="40">V2564/V2563-1</f>
        <v>-4.897729781810356E-3</v>
      </c>
    </row>
    <row r="2565" spans="1:23" x14ac:dyDescent="0.2">
      <c r="A2565" s="15">
        <v>45307</v>
      </c>
      <c r="B2565" s="5">
        <v>-165063983436636</v>
      </c>
      <c r="C2565" s="5">
        <f>[1]!nefin_factors__1[[#This Row],[Rm_minus_Rf]]/B2564-1</f>
        <v>-1.6079661065733819</v>
      </c>
      <c r="D2565" s="5">
        <v>-667373615346846</v>
      </c>
      <c r="E2565" s="5">
        <f>[1]!nefin_factors__1[[#This Row],[SMB]]/D2564-1</f>
        <v>-2.0579990227754514</v>
      </c>
      <c r="F2565" s="5">
        <v>-733733865867028</v>
      </c>
      <c r="G2565" s="5">
        <f>[1]!nefin_factors__1[[#This Row],[HML]]/F2564-1</f>
        <v>-9.9405824083476766</v>
      </c>
      <c r="H2565" s="5">
        <v>4302745806255</v>
      </c>
      <c r="I2565" s="6">
        <f>[1]!nefin_factors__1[[#This Row],[Risk_Free]]/H2564-1</f>
        <v>-0.99001652849422161</v>
      </c>
      <c r="J2565">
        <v>127422</v>
      </c>
      <c r="K2565">
        <v>127432</v>
      </c>
      <c r="L2565">
        <v>126394</v>
      </c>
      <c r="M2565">
        <v>126795</v>
      </c>
      <c r="N2565">
        <v>9101300</v>
      </c>
      <c r="O2565">
        <v>126795</v>
      </c>
      <c r="P2565">
        <v>-4.9675110650720901E-3</v>
      </c>
      <c r="Q2565">
        <v>-4.9798901607081801E-3</v>
      </c>
      <c r="R2565" s="8">
        <v>2.7300000190734899</v>
      </c>
      <c r="S2565" s="8">
        <v>-1.4440419540958999E-2</v>
      </c>
      <c r="T2565" s="9">
        <v>-1.45456971300186E-2</v>
      </c>
      <c r="U2565" s="12">
        <v>4.1957000000000001E-2</v>
      </c>
      <c r="V2565" s="16">
        <v>4.9557000000000002</v>
      </c>
      <c r="W2565" s="17">
        <f t="shared" si="40"/>
        <v>-3.6308623298020315E-4</v>
      </c>
    </row>
    <row r="2566" spans="1:23" x14ac:dyDescent="0.2">
      <c r="A2566" s="14">
        <v>45308</v>
      </c>
      <c r="B2566" s="3">
        <v>-411080950250092</v>
      </c>
      <c r="C2566" s="3">
        <f>[1]!nefin_factors__1[[#This Row],[Rm_minus_Rf]]/B2565-1</f>
        <v>1.490433961978725</v>
      </c>
      <c r="D2566" s="3">
        <v>-735129867104066</v>
      </c>
      <c r="E2566" s="3">
        <f>[1]!nefin_factors__1[[#This Row],[SMB]]/D2565-1</f>
        <v>0.10152671636862043</v>
      </c>
      <c r="F2566" s="3">
        <v>282506120307022</v>
      </c>
      <c r="G2566" s="3">
        <f>[1]!nefin_factors__1[[#This Row],[HML]]/F2565-1</f>
        <v>-1.385025325188165</v>
      </c>
      <c r="H2566" s="3">
        <v>429205807086497</v>
      </c>
      <c r="I2566" s="4">
        <f>[1]!nefin_factors__1[[#This Row],[Risk_Free]]/H2565-1</f>
        <v>98.751606628156068</v>
      </c>
      <c r="J2566">
        <v>126796</v>
      </c>
      <c r="K2566">
        <v>129178</v>
      </c>
      <c r="L2566">
        <v>126796</v>
      </c>
      <c r="M2566">
        <v>128857</v>
      </c>
      <c r="N2566">
        <v>8128300</v>
      </c>
      <c r="O2566">
        <v>128857</v>
      </c>
      <c r="P2566">
        <v>1.6262470917622899E-2</v>
      </c>
      <c r="Q2566">
        <v>1.6131653310244999E-2</v>
      </c>
      <c r="R2566" s="8">
        <v>2.6700000762939502</v>
      </c>
      <c r="S2566" s="8">
        <v>-2.19780008645949E-2</v>
      </c>
      <c r="T2566" s="9">
        <v>-2.2223115196824302E-2</v>
      </c>
      <c r="U2566" s="12">
        <v>4.1957000000000001E-2</v>
      </c>
      <c r="V2566" s="16">
        <v>4.9832999999999998</v>
      </c>
      <c r="W2566" s="17">
        <f t="shared" si="40"/>
        <v>5.5693443913069629E-3</v>
      </c>
    </row>
    <row r="2567" spans="1:23" x14ac:dyDescent="0.2">
      <c r="A2567" s="15">
        <v>45309</v>
      </c>
      <c r="B2567" s="5">
        <v>-896504957295171</v>
      </c>
      <c r="C2567" s="5">
        <f>[1]!nefin_factors__1[[#This Row],[Rm_minus_Rf]]/B2566-1</f>
        <v>1.1808477302335669</v>
      </c>
      <c r="D2567" s="5">
        <v>-718211304324854</v>
      </c>
      <c r="E2567" s="5">
        <f>[1]!nefin_factors__1[[#This Row],[SMB]]/D2566-1</f>
        <v>-2.3014386350346694E-2</v>
      </c>
      <c r="F2567" s="5">
        <v>-518012776612626</v>
      </c>
      <c r="G2567" s="5">
        <f>[1]!nefin_factors__1[[#This Row],[HML]]/F2566-1</f>
        <v>-2.8336338202147977</v>
      </c>
      <c r="H2567" s="5">
        <v>428849485544447</v>
      </c>
      <c r="I2567" s="6">
        <f>[1]!nefin_factors__1[[#This Row],[Risk_Free]]/H2566-1</f>
        <v>-8.3018807333656852E-4</v>
      </c>
      <c r="J2567">
        <v>128858</v>
      </c>
      <c r="K2567">
        <v>129956</v>
      </c>
      <c r="L2567">
        <v>128826</v>
      </c>
      <c r="M2567">
        <v>129890</v>
      </c>
      <c r="N2567">
        <v>8489700</v>
      </c>
      <c r="O2567">
        <v>129890</v>
      </c>
      <c r="P2567">
        <v>8.01663859937762E-3</v>
      </c>
      <c r="Q2567">
        <v>7.9846760599469394E-3</v>
      </c>
      <c r="R2567" s="8">
        <v>2.5999999046325701</v>
      </c>
      <c r="S2567" s="8">
        <v>-2.62172920079237E-2</v>
      </c>
      <c r="T2567" s="9">
        <v>-2.65670926390148E-2</v>
      </c>
      <c r="U2567" s="12">
        <v>4.1957000000000001E-2</v>
      </c>
      <c r="V2567" s="16">
        <v>4.9596</v>
      </c>
      <c r="W2567" s="17">
        <f t="shared" si="40"/>
        <v>-4.7558846547468558E-3</v>
      </c>
    </row>
    <row r="2568" spans="1:23" x14ac:dyDescent="0.2">
      <c r="A2568" s="14">
        <v>45310</v>
      </c>
      <c r="B2568" s="3">
        <v>276379409137431</v>
      </c>
      <c r="C2568" s="3">
        <f>[1]!nefin_factors__1[[#This Row],[Rm_minus_Rf]]/B2567-1</f>
        <v>-1.3082854220586693</v>
      </c>
      <c r="D2568" s="3">
        <v>364744758303663</v>
      </c>
      <c r="E2568" s="3">
        <f>[1]!nefin_factors__1[[#This Row],[SMB]]/D2567-1</f>
        <v>-1.5078515975831612</v>
      </c>
      <c r="F2568" s="3">
        <v>564285370656061</v>
      </c>
      <c r="G2568" s="3">
        <f>[1]!nefin_factors__1[[#This Row],[HML]]/F2567-1</f>
        <v>-2.0893271288519548</v>
      </c>
      <c r="H2568" s="3">
        <v>428136746882135</v>
      </c>
      <c r="I2568" s="4">
        <f>[1]!nefin_factors__1[[#This Row],[Risk_Free]]/H2567-1</f>
        <v>-1.6619785876789139E-3</v>
      </c>
      <c r="J2568">
        <v>129872</v>
      </c>
      <c r="K2568">
        <v>129872</v>
      </c>
      <c r="L2568">
        <v>127732</v>
      </c>
      <c r="M2568">
        <v>128054</v>
      </c>
      <c r="N2568">
        <v>10451800</v>
      </c>
      <c r="O2568">
        <v>128054</v>
      </c>
      <c r="P2568">
        <v>-1.41350373392871E-2</v>
      </c>
      <c r="Q2568">
        <v>-1.4235888463813001E-2</v>
      </c>
      <c r="R2568" s="8">
        <v>2.46000003814697</v>
      </c>
      <c r="S2568" s="8">
        <v>-5.3846104469523197E-2</v>
      </c>
      <c r="T2568" s="9">
        <v>-5.5350042896483501E-2</v>
      </c>
      <c r="U2568" s="12">
        <v>4.1957000000000001E-2</v>
      </c>
      <c r="V2568" s="16">
        <v>4.9474999999999998</v>
      </c>
      <c r="W2568" s="17">
        <f t="shared" si="40"/>
        <v>-2.4397128800710544E-3</v>
      </c>
    </row>
    <row r="2569" spans="1:23" x14ac:dyDescent="0.2">
      <c r="A2569" s="15">
        <v>45313</v>
      </c>
      <c r="B2569" s="5">
        <v>-866050163720065</v>
      </c>
      <c r="C2569" s="5">
        <f>[1]!nefin_factors__1[[#This Row],[Rm_minus_Rf]]/B2568-1</f>
        <v>-4.133555305089379</v>
      </c>
      <c r="D2569" s="5">
        <v>-737498086303208</v>
      </c>
      <c r="E2569" s="5">
        <f>[1]!nefin_factors__1[[#This Row],[SMB]]/D2568-1</f>
        <v>-3.0219566409483933</v>
      </c>
      <c r="F2569" s="5">
        <v>287241004142071</v>
      </c>
      <c r="G2569" s="5">
        <f>[1]!nefin_factors__1[[#This Row],[HML]]/F2568-1</f>
        <v>-0.49096499913135616</v>
      </c>
      <c r="H2569" s="5">
        <v>426710887086124</v>
      </c>
      <c r="I2569" s="6">
        <f>[1]!nefin_factors__1[[#This Row],[Risk_Free]]/H2568-1</f>
        <v>-3.3303840569507415E-3</v>
      </c>
      <c r="J2569">
        <v>128051</v>
      </c>
      <c r="K2569">
        <v>128051</v>
      </c>
      <c r="L2569">
        <v>127069</v>
      </c>
      <c r="M2569">
        <v>127396</v>
      </c>
      <c r="N2569">
        <v>8882900</v>
      </c>
      <c r="O2569">
        <v>127396</v>
      </c>
      <c r="P2569">
        <v>-5.13845721336315E-3</v>
      </c>
      <c r="Q2569">
        <v>-5.15170448447264E-3</v>
      </c>
      <c r="R2569" s="8">
        <v>2.3599998950958301</v>
      </c>
      <c r="S2569" s="8">
        <v>-4.0650464024575297E-2</v>
      </c>
      <c r="T2569" s="9">
        <v>-4.1499790864574497E-2</v>
      </c>
      <c r="U2569" s="12">
        <v>4.1957000000000001E-2</v>
      </c>
      <c r="V2569" s="16">
        <v>4.9488000000000003</v>
      </c>
      <c r="W2569" s="17">
        <f t="shared" si="40"/>
        <v>2.6275896917637986E-4</v>
      </c>
    </row>
    <row r="2570" spans="1:23" x14ac:dyDescent="0.2">
      <c r="A2570" s="14">
        <v>45314</v>
      </c>
      <c r="B2570" s="3">
        <v>112846354044697</v>
      </c>
      <c r="C2570" s="3">
        <f>[1]!nefin_factors__1[[#This Row],[Rm_minus_Rf]]/B2569-1</f>
        <v>-1.1303000204514395</v>
      </c>
      <c r="D2570" s="3">
        <v>167996841576199</v>
      </c>
      <c r="E2570" s="3">
        <f>[1]!nefin_factors__1[[#This Row],[SMB]]/D2569-1</f>
        <v>-1.2277929186478327</v>
      </c>
      <c r="F2570" s="3">
        <v>-35948083903882</v>
      </c>
      <c r="G2570" s="3">
        <f>[1]!nefin_factors__1[[#This Row],[HML]]/F2569-1</f>
        <v>-1.125149555201046</v>
      </c>
      <c r="H2570" s="3">
        <v>425997765860719</v>
      </c>
      <c r="I2570" s="4">
        <f>[1]!nefin_factors__1[[#This Row],[Risk_Free]]/H2569-1</f>
        <v>-1.6712046657039181E-3</v>
      </c>
      <c r="J2570">
        <v>127396</v>
      </c>
      <c r="K2570">
        <v>127640</v>
      </c>
      <c r="L2570">
        <v>125635</v>
      </c>
      <c r="M2570">
        <v>125946</v>
      </c>
      <c r="N2570">
        <v>10246600</v>
      </c>
      <c r="O2570">
        <v>125946</v>
      </c>
      <c r="P2570">
        <v>-1.13818330245847E-2</v>
      </c>
      <c r="Q2570">
        <v>-1.1447101810982701E-2</v>
      </c>
      <c r="R2570" s="8">
        <v>2.2400000095367401</v>
      </c>
      <c r="S2570" s="8">
        <v>-5.0847411395418603E-2</v>
      </c>
      <c r="T2570" s="9">
        <v>-5.2185704462173098E-2</v>
      </c>
      <c r="U2570" s="12">
        <v>4.1957000000000001E-2</v>
      </c>
      <c r="V2570" s="16">
        <v>4.9398</v>
      </c>
      <c r="W2570" s="17">
        <f t="shared" si="40"/>
        <v>-1.8186226964113095E-3</v>
      </c>
    </row>
    <row r="2571" spans="1:23" x14ac:dyDescent="0.2">
      <c r="A2571" s="15">
        <v>45315</v>
      </c>
      <c r="B2571" s="5">
        <v>-417831290965798</v>
      </c>
      <c r="C2571" s="5">
        <f>[1]!nefin_factors__1[[#This Row],[Rm_minus_Rf]]/B2570-1</f>
        <v>-4.7026565413030568</v>
      </c>
      <c r="D2571" s="5">
        <v>41127386507712</v>
      </c>
      <c r="E2571" s="5">
        <f>[1]!nefin_factors__1[[#This Row],[SMB]]/D2570-1</f>
        <v>-0.75518952545868134</v>
      </c>
      <c r="F2571" s="5">
        <v>397795556397713</v>
      </c>
      <c r="G2571" s="5">
        <f>[1]!nefin_factors__1[[#This Row],[HML]]/F2570-1</f>
        <v>-12.065834759408565</v>
      </c>
      <c r="H2571" s="5">
        <v>424927844735246</v>
      </c>
      <c r="I2571" s="6">
        <f>[1]!nefin_factors__1[[#This Row],[Risk_Free]]/H2570-1</f>
        <v>-2.5115651095287683E-3</v>
      </c>
      <c r="J2571">
        <v>125946</v>
      </c>
      <c r="K2571">
        <v>126250</v>
      </c>
      <c r="L2571">
        <v>125034</v>
      </c>
      <c r="M2571">
        <v>125334</v>
      </c>
      <c r="N2571">
        <v>13504500</v>
      </c>
      <c r="O2571">
        <v>125334</v>
      </c>
      <c r="P2571">
        <v>-4.8592253823066499E-3</v>
      </c>
      <c r="Q2571">
        <v>-4.8710698033499504E-3</v>
      </c>
      <c r="R2571" s="8">
        <v>2.0299999713897701</v>
      </c>
      <c r="S2571" s="8">
        <v>-9.37500166307602E-2</v>
      </c>
      <c r="T2571" s="9">
        <v>-9.8440091164436402E-2</v>
      </c>
      <c r="U2571" s="12">
        <v>4.1957000000000001E-2</v>
      </c>
      <c r="V2571" s="16">
        <v>4.9363999999999999</v>
      </c>
      <c r="W2571" s="17">
        <f t="shared" si="40"/>
        <v>-6.8828697518119597E-4</v>
      </c>
    </row>
    <row r="2572" spans="1:23" x14ac:dyDescent="0.2">
      <c r="A2572" s="14">
        <v>45316</v>
      </c>
      <c r="B2572" s="3">
        <v>276101269870418</v>
      </c>
      <c r="C2572" s="3">
        <f>[1]!nefin_factors__1[[#This Row],[Rm_minus_Rf]]/B2571-1</f>
        <v>-1.6607960577395304</v>
      </c>
      <c r="D2572" s="3">
        <v>815317707534625</v>
      </c>
      <c r="E2572" s="3">
        <f>[1]!nefin_factors__1[[#This Row],[SMB]]/D2571-1</f>
        <v>18.82420418038819</v>
      </c>
      <c r="F2572" s="3">
        <v>435303940142397</v>
      </c>
      <c r="G2572" s="3">
        <f>[1]!nefin_factors__1[[#This Row],[HML]]/F2571-1</f>
        <v>9.4290605164989216E-2</v>
      </c>
      <c r="H2572" s="3">
        <v>424214404392886</v>
      </c>
      <c r="I2572" s="4">
        <f>[1]!nefin_factors__1[[#This Row],[Risk_Free]]/H2571-1</f>
        <v>-1.6789682088367286E-3</v>
      </c>
      <c r="J2572">
        <v>125316</v>
      </c>
      <c r="K2572">
        <v>125316</v>
      </c>
      <c r="L2572">
        <v>123756</v>
      </c>
      <c r="M2572">
        <v>124389</v>
      </c>
      <c r="N2572">
        <v>14009800</v>
      </c>
      <c r="O2572">
        <v>124389</v>
      </c>
      <c r="P2572">
        <v>-7.5398535114175004E-3</v>
      </c>
      <c r="Q2572">
        <v>-7.5684218984653799E-3</v>
      </c>
      <c r="R2572" s="8">
        <v>1.9800000190734901</v>
      </c>
      <c r="S2572" s="8">
        <v>-2.46305187295414E-2</v>
      </c>
      <c r="T2572" s="9">
        <v>-2.4938924620469E-2</v>
      </c>
      <c r="U2572" s="12">
        <v>4.1957000000000001E-2</v>
      </c>
      <c r="V2572" s="16">
        <v>4.9751000000000003</v>
      </c>
      <c r="W2572" s="17">
        <f t="shared" si="40"/>
        <v>7.8397212543555028E-3</v>
      </c>
    </row>
    <row r="2573" spans="1:23" x14ac:dyDescent="0.2">
      <c r="A2573" s="15">
        <v>45317</v>
      </c>
      <c r="B2573" s="5">
        <v>494212887041809</v>
      </c>
      <c r="C2573" s="5">
        <f>[1]!nefin_factors__1[[#This Row],[Rm_minus_Rf]]/B2572-1</f>
        <v>0.78996962699141826</v>
      </c>
      <c r="D2573" s="5">
        <v>-118844055458742</v>
      </c>
      <c r="E2573" s="5">
        <f>[1]!nefin_factors__1[[#This Row],[SMB]]/D2572-1</f>
        <v>-1.1457641044226858</v>
      </c>
      <c r="F2573" s="5">
        <v>7968545400.0506802</v>
      </c>
      <c r="G2573" s="5">
        <f>[1]!nefin_factors__1[[#This Row],[HML]]/F2572-1</f>
        <v>-0.99998169429526085</v>
      </c>
      <c r="H2573" s="5">
        <v>423500836323587</v>
      </c>
      <c r="I2573" s="6">
        <f>[1]!nefin_factors__1[[#This Row],[Risk_Free]]/H2572-1</f>
        <v>-1.6820929744717494E-3</v>
      </c>
      <c r="J2573">
        <v>124389</v>
      </c>
      <c r="K2573">
        <v>125301</v>
      </c>
      <c r="L2573">
        <v>123642</v>
      </c>
      <c r="M2573">
        <v>124171</v>
      </c>
      <c r="N2573">
        <v>11370900</v>
      </c>
      <c r="O2573">
        <v>124171</v>
      </c>
      <c r="P2573">
        <v>-1.75256654527334E-3</v>
      </c>
      <c r="Q2573">
        <v>-1.75410408671288E-3</v>
      </c>
      <c r="R2573" s="8">
        <v>1.87999999523163</v>
      </c>
      <c r="S2573" s="8">
        <v>-5.0505062059873901E-2</v>
      </c>
      <c r="T2573" s="9">
        <v>-5.1825080034027797E-2</v>
      </c>
      <c r="U2573" s="12">
        <v>4.1957000000000001E-2</v>
      </c>
      <c r="V2573" s="16">
        <v>4.9776999999999996</v>
      </c>
      <c r="W2573" s="17">
        <f t="shared" si="40"/>
        <v>5.2260256075231659E-4</v>
      </c>
    </row>
    <row r="2574" spans="1:23" x14ac:dyDescent="0.2">
      <c r="A2574" s="14">
        <v>45320</v>
      </c>
      <c r="B2574" s="3">
        <v>-370923913032796</v>
      </c>
      <c r="C2574" s="3">
        <f>[1]!nefin_factors__1[[#This Row],[Rm_minus_Rf]]/B2573-1</f>
        <v>-1.7505346840569476</v>
      </c>
      <c r="D2574" s="3">
        <v>-717393392715062</v>
      </c>
      <c r="E2574" s="3">
        <f>[1]!nefin_factors__1[[#This Row],[SMB]]/D2573-1</f>
        <v>5.0364263904147304</v>
      </c>
      <c r="F2574" s="3">
        <v>-544282546576236</v>
      </c>
      <c r="G2574" s="3">
        <f>[1]!nefin_factors__1[[#This Row],[HML]]/F2573-1</f>
        <v>-68304.87721362224</v>
      </c>
      <c r="H2574" s="3">
        <v>422073316820537</v>
      </c>
      <c r="I2574" s="4">
        <f>[1]!nefin_factors__1[[#This Row],[Risk_Free]]/H2573-1</f>
        <v>-3.3707595844256755E-3</v>
      </c>
      <c r="J2574">
        <v>124171</v>
      </c>
      <c r="K2574">
        <v>125140</v>
      </c>
      <c r="L2574">
        <v>123397</v>
      </c>
      <c r="M2574">
        <v>124196</v>
      </c>
      <c r="N2574">
        <v>10662400</v>
      </c>
      <c r="O2574">
        <v>124196</v>
      </c>
      <c r="P2574">
        <v>2.0133525541399201E-4</v>
      </c>
      <c r="Q2574">
        <v>2.0131499019147999E-4</v>
      </c>
      <c r="R2574" s="8">
        <v>1.79999995231628</v>
      </c>
      <c r="S2574" s="8">
        <v>-4.2553214424602998E-2</v>
      </c>
      <c r="T2574" s="9">
        <v>-4.3485135894324498E-2</v>
      </c>
      <c r="U2574" s="12">
        <v>4.1957000000000001E-2</v>
      </c>
      <c r="V2574" s="16">
        <v>4.9813000000000001</v>
      </c>
      <c r="W2574" s="17">
        <f t="shared" si="40"/>
        <v>7.2322558611426224E-4</v>
      </c>
    </row>
    <row r="2575" spans="1:23" x14ac:dyDescent="0.2">
      <c r="A2575" s="15">
        <v>45321</v>
      </c>
      <c r="B2575" s="5">
        <v>-883233847474458</v>
      </c>
      <c r="C2575" s="5">
        <f>[1]!nefin_factors__1[[#This Row],[Rm_minus_Rf]]/B2574-1</f>
        <v>1.3811725705491655</v>
      </c>
      <c r="D2575" s="5">
        <v>-111773928484131</v>
      </c>
      <c r="E2575" s="5">
        <f>[1]!nefin_factors__1[[#This Row],[SMB]]/D2574-1</f>
        <v>-0.84419437142972686</v>
      </c>
      <c r="F2575" s="5">
        <v>408630521897789</v>
      </c>
      <c r="G2575" s="5">
        <f>[1]!nefin_factors__1[[#This Row],[HML]]/F2574-1</f>
        <v>-1.7507691078250538</v>
      </c>
      <c r="H2575" s="5">
        <v>421359365295304</v>
      </c>
      <c r="I2575" s="6">
        <f>[1]!nefin_factors__1[[#This Row],[Risk_Free]]/H2574-1</f>
        <v>-1.6915343775133485E-3</v>
      </c>
      <c r="J2575">
        <v>124197</v>
      </c>
      <c r="K2575">
        <v>125509</v>
      </c>
      <c r="L2575">
        <v>124056</v>
      </c>
      <c r="M2575">
        <v>125124</v>
      </c>
      <c r="N2575">
        <v>13604100</v>
      </c>
      <c r="O2575">
        <v>125124</v>
      </c>
      <c r="P2575">
        <v>7.4720602917968098E-3</v>
      </c>
      <c r="Q2575">
        <v>7.4442827338687999E-3</v>
      </c>
      <c r="R2575" s="8">
        <v>1.91999995708466</v>
      </c>
      <c r="S2575" s="8">
        <v>6.6666671081825599E-2</v>
      </c>
      <c r="T2575" s="9">
        <v>6.4538525276782596E-2</v>
      </c>
      <c r="U2575" s="12">
        <v>4.1957000000000001E-2</v>
      </c>
      <c r="V2575" s="16">
        <v>4.9802999999999997</v>
      </c>
      <c r="W2575" s="17">
        <f t="shared" si="40"/>
        <v>-2.0075080802206546E-4</v>
      </c>
    </row>
    <row r="2576" spans="1:23" x14ac:dyDescent="0.2">
      <c r="A2576" s="14">
        <v>45322</v>
      </c>
      <c r="B2576" s="3">
        <v>322464603199832</v>
      </c>
      <c r="C2576" s="3">
        <f>[1]!nefin_factors__1[[#This Row],[Rm_minus_Rf]]/B2575-1</f>
        <v>-1.3650953868241076</v>
      </c>
      <c r="D2576" s="3">
        <v>119097467471845</v>
      </c>
      <c r="E2576" s="3">
        <f>[1]!nefin_factors__1[[#This Row],[SMB]]/D2575-1</f>
        <v>-2.0655209948065281</v>
      </c>
      <c r="F2576" s="3">
        <v>442968601861938</v>
      </c>
      <c r="G2576" s="3">
        <f>[1]!nefin_factors__1[[#This Row],[HML]]/F2575-1</f>
        <v>8.403209776076892E-2</v>
      </c>
      <c r="H2576" s="3">
        <v>420288198160979</v>
      </c>
      <c r="I2576" s="4">
        <f>[1]!nefin_factors__1[[#This Row],[Risk_Free]]/H2575-1</f>
        <v>-2.5421699920548102E-3</v>
      </c>
      <c r="J2576">
        <v>125124</v>
      </c>
      <c r="K2576">
        <v>126081</v>
      </c>
      <c r="L2576">
        <v>124633</v>
      </c>
      <c r="M2576">
        <v>125573</v>
      </c>
      <c r="N2576">
        <v>10264100</v>
      </c>
      <c r="O2576">
        <v>125573</v>
      </c>
      <c r="P2576">
        <v>3.5884402672547999E-3</v>
      </c>
      <c r="Q2576">
        <v>3.58201717681037E-3</v>
      </c>
      <c r="R2576" s="8">
        <v>2.1300001144409202</v>
      </c>
      <c r="S2576" s="8">
        <v>0.10937508440111</v>
      </c>
      <c r="T2576" s="9">
        <v>0.103796869761515</v>
      </c>
      <c r="U2576" s="12">
        <v>4.1957000000000001E-2</v>
      </c>
      <c r="V2576" s="16">
        <v>4.9767999999999999</v>
      </c>
      <c r="W2576" s="17">
        <f t="shared" si="40"/>
        <v>-7.0276890950338178E-4</v>
      </c>
    </row>
    <row r="2577" spans="1:23" x14ac:dyDescent="0.2">
      <c r="A2577" s="15">
        <v>45323</v>
      </c>
      <c r="B2577" s="5">
        <v>548560777302841</v>
      </c>
      <c r="C2577" s="5">
        <f>[1]!nefin_factors__1[[#This Row],[Rm_minus_Rf]]/B2576-1</f>
        <v>0.70115036459644142</v>
      </c>
      <c r="D2577" s="5">
        <v>-892854457069635</v>
      </c>
      <c r="E2577" s="5">
        <f>[1]!nefin_factors__1[[#This Row],[SMB]]/D2576-1</f>
        <v>-8.4968383125418558</v>
      </c>
      <c r="F2577" s="5">
        <v>-185530729545532</v>
      </c>
      <c r="G2577" s="5">
        <f>[1]!nefin_factors__1[[#This Row],[HML]]/F2576-1</f>
        <v>-1.418834943979522</v>
      </c>
      <c r="H2577" s="5">
        <v>419573926773387</v>
      </c>
      <c r="I2577" s="6">
        <f>[1]!nefin_factors__1[[#This Row],[Risk_Free]]/H2576-1</f>
        <v>-1.6994800013833133E-3</v>
      </c>
      <c r="J2577">
        <v>125572</v>
      </c>
      <c r="K2577">
        <v>125826</v>
      </c>
      <c r="L2577">
        <v>124310</v>
      </c>
      <c r="M2577">
        <v>125148</v>
      </c>
      <c r="N2577">
        <v>11257800</v>
      </c>
      <c r="O2577">
        <v>125148</v>
      </c>
      <c r="P2577">
        <v>-3.3844855183837699E-3</v>
      </c>
      <c r="Q2577">
        <v>-3.39022584519075E-3</v>
      </c>
      <c r="R2577" s="8">
        <v>2.0799999237060498</v>
      </c>
      <c r="S2577" s="8">
        <v>-2.3474266689411501E-2</v>
      </c>
      <c r="T2577" s="9">
        <v>-2.3754176416018201E-2</v>
      </c>
      <c r="U2577" s="12">
        <v>4.1957000000000001E-2</v>
      </c>
      <c r="V2577" s="16">
        <v>4.9936999999999996</v>
      </c>
      <c r="W2577" s="17">
        <f t="shared" si="40"/>
        <v>3.395756309275022E-3</v>
      </c>
    </row>
    <row r="2578" spans="1:23" x14ac:dyDescent="0.2">
      <c r="A2578" s="14">
        <v>45324</v>
      </c>
      <c r="B2578" s="3">
        <v>-855525254366128</v>
      </c>
      <c r="C2578" s="3">
        <f>[1]!nefin_factors__1[[#This Row],[Rm_minus_Rf]]/B2577-1</f>
        <v>-2.559581526358059</v>
      </c>
      <c r="D2578" s="3">
        <v>-718932134964347</v>
      </c>
      <c r="E2578" s="3">
        <f>[1]!nefin_factors__1[[#This Row],[SMB]]/D2577-1</f>
        <v>-0.19479358671300617</v>
      </c>
      <c r="F2578" s="3">
        <v>-24187152666178</v>
      </c>
      <c r="G2578" s="3">
        <f>[1]!nefin_factors__1[[#This Row],[HML]]/F2577-1</f>
        <v>-0.86963263322779039</v>
      </c>
      <c r="H2578" s="3">
        <v>419573926773387</v>
      </c>
      <c r="I2578" s="4">
        <f>[1]!nefin_factors__1[[#This Row],[Risk_Free]]/H2577-1</f>
        <v>0</v>
      </c>
      <c r="J2578">
        <v>125149</v>
      </c>
      <c r="K2578">
        <v>125473</v>
      </c>
      <c r="L2578">
        <v>124556</v>
      </c>
      <c r="M2578">
        <v>124741</v>
      </c>
      <c r="N2578">
        <v>10526300</v>
      </c>
      <c r="O2578">
        <v>124741</v>
      </c>
      <c r="P2578">
        <v>-3.2521494550452599E-3</v>
      </c>
      <c r="Q2578">
        <v>-3.2574491865496298E-3</v>
      </c>
      <c r="R2578" s="8">
        <v>2</v>
      </c>
      <c r="S2578" s="8">
        <v>-3.8461503192516601E-2</v>
      </c>
      <c r="T2578" s="9">
        <v>-3.9220676473499298E-2</v>
      </c>
      <c r="U2578" s="12">
        <v>4.1957000000000001E-2</v>
      </c>
      <c r="V2578" s="16">
        <v>5.0124000000000004</v>
      </c>
      <c r="W2578" s="17">
        <f t="shared" si="40"/>
        <v>3.7447183451149169E-3</v>
      </c>
    </row>
    <row r="2579" spans="1:23" x14ac:dyDescent="0.2">
      <c r="A2579" s="15">
        <v>45327</v>
      </c>
      <c r="B2579" s="5">
        <v>34829988027428</v>
      </c>
      <c r="C2579" s="5">
        <f>[1]!nefin_factors__1[[#This Row],[Rm_minus_Rf]]/B2578-1</f>
        <v>-1.0407118175058832</v>
      </c>
      <c r="D2579" s="5">
        <v>-207908682689717</v>
      </c>
      <c r="E2579" s="5">
        <f>[1]!nefin_factors__1[[#This Row],[SMB]]/D2578-1</f>
        <v>-0.71080902830970616</v>
      </c>
      <c r="F2579" s="5">
        <v>-633929381426006</v>
      </c>
      <c r="G2579" s="5">
        <f>[1]!nefin_factors__1[[#This Row],[HML]]/F2578-1</f>
        <v>25.209343041541985</v>
      </c>
      <c r="H2579" s="5">
        <v>418859527360427</v>
      </c>
      <c r="I2579" s="6">
        <f>[1]!nefin_factors__1[[#This Row],[Risk_Free]]/H2578-1</f>
        <v>-1.7026782823562625E-3</v>
      </c>
      <c r="J2579">
        <v>124718</v>
      </c>
      <c r="K2579">
        <v>124732</v>
      </c>
      <c r="L2579">
        <v>123703</v>
      </c>
      <c r="M2579">
        <v>124646</v>
      </c>
      <c r="N2579">
        <v>10093100</v>
      </c>
      <c r="O2579">
        <v>124646</v>
      </c>
      <c r="P2579">
        <v>-7.6157798959442002E-4</v>
      </c>
      <c r="Q2579">
        <v>-7.6186813743436203E-4</v>
      </c>
      <c r="R2579" s="8">
        <v>2.0099999904632599</v>
      </c>
      <c r="S2579" s="8">
        <v>4.9999952316284197E-3</v>
      </c>
      <c r="T2579" s="9">
        <v>4.9875367663907199E-3</v>
      </c>
      <c r="U2579" s="12">
        <v>4.1957000000000001E-2</v>
      </c>
      <c r="V2579" s="16">
        <v>5.0351999999999997</v>
      </c>
      <c r="W2579" s="17">
        <f t="shared" si="40"/>
        <v>4.5487191764421731E-3</v>
      </c>
    </row>
    <row r="2580" spans="1:23" x14ac:dyDescent="0.2">
      <c r="A2580" s="14">
        <v>45328</v>
      </c>
      <c r="B2580" s="3">
        <v>19822520629747</v>
      </c>
      <c r="C2580" s="3">
        <f>[1]!nefin_factors__1[[#This Row],[Rm_minus_Rf]]/B2579-1</f>
        <v>-0.43087776504151776</v>
      </c>
      <c r="D2580" s="3">
        <v>-24985182358928</v>
      </c>
      <c r="E2580" s="3">
        <f>[1]!nefin_factors__1[[#This Row],[SMB]]/D2579-1</f>
        <v>-0.87982617158795673</v>
      </c>
      <c r="F2580" s="3">
        <v>578872698366916</v>
      </c>
      <c r="G2580" s="3">
        <f>[1]!nefin_factors__1[[#This Row],[HML]]/F2579-1</f>
        <v>-1.9131501320616477</v>
      </c>
      <c r="H2580" s="3">
        <v>41850227963014</v>
      </c>
      <c r="I2580" s="4">
        <f>[1]!nefin_factors__1[[#This Row],[Risk_Free]]/H2579-1</f>
        <v>-0.90008529058239128</v>
      </c>
      <c r="J2580">
        <v>124651</v>
      </c>
      <c r="K2580">
        <v>126826</v>
      </c>
      <c r="L2580">
        <v>124651</v>
      </c>
      <c r="M2580">
        <v>126526</v>
      </c>
      <c r="N2580">
        <v>8900000</v>
      </c>
      <c r="O2580">
        <v>126526</v>
      </c>
      <c r="P2580">
        <v>1.5082714246746899E-2</v>
      </c>
      <c r="Q2580">
        <v>1.4970101042184899E-2</v>
      </c>
      <c r="R2580" s="8">
        <v>2.0099999904632599</v>
      </c>
      <c r="S2580" s="8">
        <v>0</v>
      </c>
      <c r="T2580" s="9">
        <v>0</v>
      </c>
      <c r="U2580" s="12">
        <v>4.1957000000000001E-2</v>
      </c>
      <c r="V2580" s="16">
        <v>5.0119999999999996</v>
      </c>
      <c r="W2580" s="17">
        <f t="shared" si="40"/>
        <v>-4.6075627581824152E-3</v>
      </c>
    </row>
    <row r="2581" spans="1:23" x14ac:dyDescent="0.2">
      <c r="A2581" s="15">
        <v>45329</v>
      </c>
      <c r="B2581" s="5">
        <v>-329352293842747</v>
      </c>
      <c r="C2581" s="5">
        <f>[1]!nefin_factors__1[[#This Row],[Rm_minus_Rf]]/B2580-1</f>
        <v>-17.615056177492328</v>
      </c>
      <c r="D2581" s="5">
        <v>142734076575172</v>
      </c>
      <c r="E2581" s="5">
        <f>[1]!nefin_factors__1[[#This Row],[SMB]]/D2580-1</f>
        <v>-6.712749041600194</v>
      </c>
      <c r="F2581" s="5">
        <v>-97533570815059</v>
      </c>
      <c r="G2581" s="5">
        <f>[1]!nefin_factors__1[[#This Row],[HML]]/F2580-1</f>
        <v>-1.1684888077987015</v>
      </c>
      <c r="H2581" s="5">
        <v>41850227963014</v>
      </c>
      <c r="I2581" s="6">
        <f>[1]!nefin_factors__1[[#This Row],[Risk_Free]]/H2580-1</f>
        <v>0</v>
      </c>
      <c r="J2581">
        <v>126527</v>
      </c>
      <c r="K2581">
        <v>127352</v>
      </c>
      <c r="L2581">
        <v>126467</v>
      </c>
      <c r="M2581">
        <v>127352</v>
      </c>
      <c r="N2581">
        <v>8385100</v>
      </c>
      <c r="O2581">
        <v>127352</v>
      </c>
      <c r="P2581">
        <v>6.5283024832840696E-3</v>
      </c>
      <c r="Q2581">
        <v>6.5070854075578903E-3</v>
      </c>
      <c r="R2581" s="8">
        <v>2.0799999237060498</v>
      </c>
      <c r="S2581" s="8">
        <v>3.4825837599464102E-2</v>
      </c>
      <c r="T2581" s="9">
        <v>3.4233139707108499E-2</v>
      </c>
      <c r="U2581" s="12">
        <v>4.0168000000000002E-2</v>
      </c>
      <c r="V2581" s="16">
        <v>4.9806999999999997</v>
      </c>
      <c r="W2581" s="17">
        <f t="shared" si="40"/>
        <v>-6.2450119712689212E-3</v>
      </c>
    </row>
    <row r="2582" spans="1:23" x14ac:dyDescent="0.2">
      <c r="A2582" s="14">
        <v>45330</v>
      </c>
      <c r="B2582" s="3">
        <v>-141400844170057</v>
      </c>
      <c r="C2582" s="3">
        <f>[1]!nefin_factors__1[[#This Row],[Rm_minus_Rf]]/B2581-1</f>
        <v>-0.57066992757132451</v>
      </c>
      <c r="D2582" s="3">
        <v>-357925692092054</v>
      </c>
      <c r="E2582" s="3">
        <f>[1]!nefin_factors__1[[#This Row],[SMB]]/D2581-1</f>
        <v>-3.5076400862379185</v>
      </c>
      <c r="F2582" s="3">
        <v>-652330963884602</v>
      </c>
      <c r="G2582" s="3">
        <f>[1]!nefin_factors__1[[#This Row],[HML]]/F2581-1</f>
        <v>5.688271109457661</v>
      </c>
      <c r="H2582" s="3">
        <v>41850227963014</v>
      </c>
      <c r="I2582" s="4">
        <f>[1]!nefin_factors__1[[#This Row],[Risk_Free]]/H2581-1</f>
        <v>0</v>
      </c>
      <c r="J2582">
        <v>127352</v>
      </c>
      <c r="K2582">
        <v>127352</v>
      </c>
      <c r="L2582">
        <v>125856</v>
      </c>
      <c r="M2582">
        <v>125924</v>
      </c>
      <c r="N2582">
        <v>10889600</v>
      </c>
      <c r="O2582">
        <v>125924</v>
      </c>
      <c r="P2582">
        <v>-1.12130158929581E-2</v>
      </c>
      <c r="Q2582">
        <v>-1.12763556875144E-2</v>
      </c>
      <c r="R2582" s="8">
        <v>2.0099999904632599</v>
      </c>
      <c r="S2582" s="8">
        <v>-3.3653815293452002E-2</v>
      </c>
      <c r="T2582" s="9">
        <v>-3.4233139707108499E-2</v>
      </c>
      <c r="U2582" s="12">
        <v>4.0168000000000002E-2</v>
      </c>
      <c r="V2582" s="16">
        <v>4.9897</v>
      </c>
      <c r="W2582" s="17">
        <f t="shared" si="40"/>
        <v>1.8069749232036969E-3</v>
      </c>
    </row>
    <row r="2583" spans="1:23" x14ac:dyDescent="0.2">
      <c r="A2583" s="15">
        <v>45331</v>
      </c>
      <c r="B2583" s="5">
        <v>-229576417042174</v>
      </c>
      <c r="C2583" s="5">
        <f>[1]!nefin_factors__1[[#This Row],[Rm_minus_Rf]]/B2582-1</f>
        <v>0.62358590141139358</v>
      </c>
      <c r="D2583" s="5">
        <v>134848352342034</v>
      </c>
      <c r="E2583" s="5">
        <f>[1]!nefin_factors__1[[#This Row],[SMB]]/D2582-1</f>
        <v>-1.3767495749015768</v>
      </c>
      <c r="F2583" s="5">
        <v>866177150577836</v>
      </c>
      <c r="G2583" s="5">
        <f>[1]!nefin_factors__1[[#This Row],[HML]]/F2582-1</f>
        <v>-2.3278185438566172</v>
      </c>
      <c r="H2583" s="5">
        <v>418144999876136</v>
      </c>
      <c r="I2583" s="6">
        <f>[1]!nefin_factors__1[[#This Row],[Risk_Free]]/H2582-1</f>
        <v>8.9914628958695335</v>
      </c>
      <c r="J2583">
        <v>125926</v>
      </c>
      <c r="K2583">
        <v>127670</v>
      </c>
      <c r="L2583">
        <v>125926</v>
      </c>
      <c r="M2583">
        <v>127122</v>
      </c>
      <c r="N2583">
        <v>11547800</v>
      </c>
      <c r="O2583">
        <v>127122</v>
      </c>
      <c r="P2583">
        <v>9.5136749150281901E-3</v>
      </c>
      <c r="Q2583">
        <v>9.4687049048881606E-3</v>
      </c>
      <c r="R2583" s="8">
        <v>2.2599999904632599</v>
      </c>
      <c r="S2583" s="8">
        <v>0.124378110042867</v>
      </c>
      <c r="T2583" s="9">
        <v>0.117230091738061</v>
      </c>
      <c r="U2583" s="12">
        <v>4.0168000000000002E-2</v>
      </c>
      <c r="V2583" s="16">
        <v>4.9869000000000003</v>
      </c>
      <c r="W2583" s="17">
        <f t="shared" si="40"/>
        <v>-5.6115598132144839E-4</v>
      </c>
    </row>
    <row r="2584" spans="1:23" x14ac:dyDescent="0.2">
      <c r="A2584" s="14">
        <v>45336</v>
      </c>
      <c r="B2584" s="3">
        <v>-745727949158371</v>
      </c>
      <c r="C2584" s="3">
        <f>[1]!nefin_factors__1[[#This Row],[Rm_minus_Rf]]/B2583-1</f>
        <v>2.248277670529975</v>
      </c>
      <c r="D2584" s="3">
        <v>-20762796679183</v>
      </c>
      <c r="E2584" s="3">
        <f>[1]!nefin_factors__1[[#This Row],[SMB]]/D2583-1</f>
        <v>-1.1539714525137061</v>
      </c>
      <c r="F2584" s="3">
        <v>120802544965278</v>
      </c>
      <c r="G2584" s="3">
        <f>[1]!nefin_factors__1[[#This Row],[HML]]/F2583-1</f>
        <v>-0.86053367387411528</v>
      </c>
      <c r="H2584" s="3">
        <v>417430344274772</v>
      </c>
      <c r="I2584" s="4">
        <f>[1]!nefin_factors__1[[#This Row],[Risk_Free]]/H2583-1</f>
        <v>-1.709109523193364E-3</v>
      </c>
      <c r="J2584">
        <v>127130</v>
      </c>
      <c r="K2584">
        <v>128787</v>
      </c>
      <c r="L2584">
        <v>127130</v>
      </c>
      <c r="M2584">
        <v>128509</v>
      </c>
      <c r="N2584">
        <v>12799200</v>
      </c>
      <c r="O2584">
        <v>128509</v>
      </c>
      <c r="P2584">
        <v>1.0910778622110999E-2</v>
      </c>
      <c r="Q2584">
        <v>1.08516855229618E-2</v>
      </c>
      <c r="R2584" s="8">
        <v>2.3900001049041699</v>
      </c>
      <c r="S2584" s="8">
        <v>5.7522174774111499E-2</v>
      </c>
      <c r="T2584" s="9">
        <v>5.59286007719818E-2</v>
      </c>
      <c r="U2584" s="12">
        <v>4.0168000000000002E-2</v>
      </c>
      <c r="V2584" s="16">
        <v>4.9870000000000001</v>
      </c>
      <c r="W2584" s="17">
        <f t="shared" si="40"/>
        <v>2.0052537648584945E-5</v>
      </c>
    </row>
    <row r="2585" spans="1:23" x14ac:dyDescent="0.2">
      <c r="A2585" s="15">
        <v>45337</v>
      </c>
      <c r="B2585" s="5">
        <v>646659081183941</v>
      </c>
      <c r="C2585" s="5">
        <f>[1]!nefin_factors__1[[#This Row],[Rm_minus_Rf]]/B2584-1</f>
        <v>-1.8671514617545995</v>
      </c>
      <c r="D2585" s="5">
        <v>-3389812772425</v>
      </c>
      <c r="E2585" s="5">
        <f>[1]!nefin_factors__1[[#This Row],[SMB]]/D2584-1</f>
        <v>-0.83673621502908313</v>
      </c>
      <c r="F2585" s="5">
        <v>-145219570084455</v>
      </c>
      <c r="G2585" s="5">
        <f>[1]!nefin_factors__1[[#This Row],[HML]]/F2584-1</f>
        <v>-2.2021234331296178</v>
      </c>
      <c r="H2585" s="5">
        <v>417430344274772</v>
      </c>
      <c r="I2585" s="6">
        <f>[1]!nefin_factors__1[[#This Row],[Risk_Free]]/H2584-1</f>
        <v>0</v>
      </c>
      <c r="J2585">
        <v>128506</v>
      </c>
      <c r="K2585">
        <v>129181</v>
      </c>
      <c r="L2585">
        <v>128294</v>
      </c>
      <c r="M2585">
        <v>128466</v>
      </c>
      <c r="N2585">
        <v>8779100</v>
      </c>
      <c r="O2585">
        <v>128466</v>
      </c>
      <c r="P2585">
        <v>-3.3460691469078301E-4</v>
      </c>
      <c r="Q2585">
        <v>-3.3466290807532598E-4</v>
      </c>
      <c r="R2585" s="8">
        <v>2.3699998855590798</v>
      </c>
      <c r="S2585" s="8">
        <v>-8.3682922457004594E-3</v>
      </c>
      <c r="T2585" s="9">
        <v>-8.4035029766470603E-3</v>
      </c>
      <c r="U2585" s="12">
        <v>4.0168000000000002E-2</v>
      </c>
      <c r="V2585" s="16">
        <v>4.9855999999999998</v>
      </c>
      <c r="W2585" s="17">
        <f t="shared" si="40"/>
        <v>-2.8072989773419987E-4</v>
      </c>
    </row>
    <row r="2586" spans="1:23" x14ac:dyDescent="0.2">
      <c r="A2586" s="14">
        <v>45338</v>
      </c>
      <c r="B2586" s="3">
        <v>502846561416729</v>
      </c>
      <c r="C2586" s="3">
        <f>[1]!nefin_factors__1[[#This Row],[Rm_minus_Rf]]/B2585-1</f>
        <v>-0.22239310318492966</v>
      </c>
      <c r="D2586" s="3">
        <v>741164959318122</v>
      </c>
      <c r="E2586" s="3">
        <f>[1]!nefin_factors__1[[#This Row],[SMB]]/D2585-1</f>
        <v>-219.64480697791114</v>
      </c>
      <c r="F2586" s="3">
        <v>693464985357081</v>
      </c>
      <c r="G2586" s="3">
        <f>[1]!nefin_factors__1[[#This Row],[HML]]/F2585-1</f>
        <v>-5.7752860372316501</v>
      </c>
      <c r="H2586" s="3">
        <v>417072968415644</v>
      </c>
      <c r="I2586" s="4">
        <f>[1]!nefin_factors__1[[#This Row],[Risk_Free]]/H2585-1</f>
        <v>-8.56132919011654E-4</v>
      </c>
      <c r="J2586">
        <v>128466</v>
      </c>
      <c r="K2586">
        <v>129745</v>
      </c>
      <c r="L2586">
        <v>128464</v>
      </c>
      <c r="M2586">
        <v>129210</v>
      </c>
      <c r="N2586">
        <v>10177500</v>
      </c>
      <c r="O2586">
        <v>129210</v>
      </c>
      <c r="P2586">
        <v>5.7914156274812001E-3</v>
      </c>
      <c r="Q2586">
        <v>5.7747098490338903E-3</v>
      </c>
      <c r="R2586" s="8">
        <v>2.3199999332428001</v>
      </c>
      <c r="S2586" s="8">
        <v>-2.1097027312509401E-2</v>
      </c>
      <c r="T2586" s="9">
        <v>-2.1322749956169399E-2</v>
      </c>
      <c r="U2586" s="12">
        <v>4.0168000000000002E-2</v>
      </c>
      <c r="V2586" s="16">
        <v>4.9962</v>
      </c>
      <c r="W2586" s="17">
        <f t="shared" si="40"/>
        <v>2.126123234916566E-3</v>
      </c>
    </row>
    <row r="2587" spans="1:23" x14ac:dyDescent="0.2">
      <c r="A2587" s="15">
        <v>45341</v>
      </c>
      <c r="B2587" s="5">
        <v>186487184809275</v>
      </c>
      <c r="C2587" s="5">
        <f>[1]!nefin_factors__1[[#This Row],[Rm_minus_Rf]]/B2586-1</f>
        <v>-0.62913699900052489</v>
      </c>
      <c r="D2587" s="5">
        <v>91081163416378</v>
      </c>
      <c r="E2587" s="5">
        <f>[1]!nefin_factors__1[[#This Row],[SMB]]/D2586-1</f>
        <v>-0.87711080742379743</v>
      </c>
      <c r="F2587" s="5">
        <v>585377917977764</v>
      </c>
      <c r="G2587" s="5">
        <f>[1]!nefin_factors__1[[#This Row],[HML]]/F2586-1</f>
        <v>-0.15586521260862296</v>
      </c>
      <c r="H2587" s="5">
        <v>416715560509706</v>
      </c>
      <c r="I2587" s="6">
        <f>[1]!nefin_factors__1[[#This Row],[Risk_Free]]/H2586-1</f>
        <v>-8.5694334805663797E-4</v>
      </c>
      <c r="J2587">
        <v>129210</v>
      </c>
      <c r="K2587">
        <v>129564</v>
      </c>
      <c r="L2587">
        <v>128048</v>
      </c>
      <c r="M2587">
        <v>129481</v>
      </c>
      <c r="N2587">
        <v>9788900</v>
      </c>
      <c r="O2587">
        <v>129481</v>
      </c>
      <c r="P2587">
        <v>2.0973608853804798E-3</v>
      </c>
      <c r="Q2587">
        <v>2.0951644945853198E-3</v>
      </c>
      <c r="R2587" s="8">
        <v>2.3699998855590798</v>
      </c>
      <c r="S2587" s="8">
        <v>2.1551704204748199E-2</v>
      </c>
      <c r="T2587" s="9">
        <v>2.13227499561695E-2</v>
      </c>
      <c r="U2587" s="12">
        <v>4.0168000000000002E-2</v>
      </c>
      <c r="V2587" s="16">
        <v>5.0532000000000004</v>
      </c>
      <c r="W2587" s="17">
        <f t="shared" si="40"/>
        <v>1.1408670589648118E-2</v>
      </c>
    </row>
    <row r="2588" spans="1:23" x14ac:dyDescent="0.2">
      <c r="A2588" s="14">
        <v>45342</v>
      </c>
      <c r="B2588" s="3">
        <v>771911404745268</v>
      </c>
      <c r="C2588" s="3">
        <f>[1]!nefin_factors__1[[#This Row],[Rm_minus_Rf]]/B2587-1</f>
        <v>3.1392195690804208</v>
      </c>
      <c r="D2588" s="3">
        <v>132802060377685</v>
      </c>
      <c r="E2588" s="3">
        <f>[1]!nefin_factors__1[[#This Row],[SMB]]/D2587-1</f>
        <v>0.45806284632728844</v>
      </c>
      <c r="F2588" s="3">
        <v>413812220895147</v>
      </c>
      <c r="G2588" s="3">
        <f>[1]!nefin_factors__1[[#This Row],[HML]]/F2587-1</f>
        <v>-0.29308535872911767</v>
      </c>
      <c r="H2588" s="3">
        <v>41635812055163</v>
      </c>
      <c r="I2588" s="4">
        <f>[1]!nefin_factors__1[[#This Row],[Risk_Free]]/H2587-1</f>
        <v>-0.90008577552459013</v>
      </c>
      <c r="J2588">
        <v>129468</v>
      </c>
      <c r="K2588">
        <v>129468</v>
      </c>
      <c r="L2588">
        <v>127376</v>
      </c>
      <c r="M2588">
        <v>128188</v>
      </c>
      <c r="N2588">
        <v>13369000</v>
      </c>
      <c r="O2588">
        <v>128188</v>
      </c>
      <c r="P2588">
        <v>-9.9860211150670803E-3</v>
      </c>
      <c r="Q2588">
        <v>-1.0036215867398101E-2</v>
      </c>
      <c r="R2588" s="8">
        <v>2.2699999809265101</v>
      </c>
      <c r="S2588" s="8">
        <v>-4.2194054625018899E-2</v>
      </c>
      <c r="T2588" s="9">
        <v>-4.3110083768837203E-2</v>
      </c>
      <c r="U2588" s="12">
        <v>4.0168000000000002E-2</v>
      </c>
      <c r="V2588" s="16">
        <v>5.0476000000000001</v>
      </c>
      <c r="W2588" s="17">
        <f t="shared" si="40"/>
        <v>-1.1082086598591667E-3</v>
      </c>
    </row>
    <row r="2589" spans="1:23" x14ac:dyDescent="0.2">
      <c r="A2589" s="15">
        <v>45343</v>
      </c>
      <c r="B2589" s="5">
        <v>704712031229798</v>
      </c>
      <c r="C2589" s="5">
        <f>[1]!nefin_factors__1[[#This Row],[Rm_minus_Rf]]/B2588-1</f>
        <v>-8.7055811201087074E-2</v>
      </c>
      <c r="D2589" s="5">
        <v>-640556428210358</v>
      </c>
      <c r="E2589" s="5">
        <f>[1]!nefin_factors__1[[#This Row],[SMB]]/D2588-1</f>
        <v>-5.8233922454865166</v>
      </c>
      <c r="F2589" s="5">
        <v>310276568030569</v>
      </c>
      <c r="G2589" s="5">
        <f>[1]!nefin_factors__1[[#This Row],[HML]]/F2588-1</f>
        <v>-0.25019960174354583</v>
      </c>
      <c r="H2589" s="5">
        <v>41600064853542</v>
      </c>
      <c r="I2589" s="6">
        <f>[1]!nefin_factors__1[[#This Row],[Risk_Free]]/H2588-1</f>
        <v>-8.585686181318275E-4</v>
      </c>
      <c r="J2589">
        <v>128188</v>
      </c>
      <c r="K2589">
        <v>129022</v>
      </c>
      <c r="L2589">
        <v>127467</v>
      </c>
      <c r="M2589">
        <v>127600</v>
      </c>
      <c r="N2589">
        <v>12574200</v>
      </c>
      <c r="O2589">
        <v>127600</v>
      </c>
      <c r="P2589">
        <v>-4.5870128249133604E-3</v>
      </c>
      <c r="Q2589">
        <v>-4.5975654506264898E-3</v>
      </c>
      <c r="R2589" s="8">
        <v>2.25</v>
      </c>
      <c r="S2589" s="8">
        <v>-8.8105643588378708E-3</v>
      </c>
      <c r="T2589" s="9">
        <v>-8.8496068745656693E-3</v>
      </c>
      <c r="U2589" s="12">
        <v>4.0168000000000002E-2</v>
      </c>
      <c r="V2589" s="16">
        <v>5.0724</v>
      </c>
      <c r="W2589" s="17">
        <f t="shared" si="40"/>
        <v>4.9132260876456613E-3</v>
      </c>
    </row>
    <row r="2590" spans="1:23" x14ac:dyDescent="0.2">
      <c r="A2590" s="14">
        <v>45344</v>
      </c>
      <c r="B2590" s="3">
        <v>239927615191645</v>
      </c>
      <c r="C2590" s="3">
        <f>[1]!nefin_factors__1[[#This Row],[Rm_minus_Rf]]/B2589-1</f>
        <v>-0.65953807433520661</v>
      </c>
      <c r="D2590" s="3">
        <v>518857734738862</v>
      </c>
      <c r="E2590" s="3">
        <f>[1]!nefin_factors__1[[#This Row],[SMB]]/D2589-1</f>
        <v>-1.8100109715368742</v>
      </c>
      <c r="F2590" s="3">
        <v>374511510163502</v>
      </c>
      <c r="G2590" s="3">
        <f>[1]!nefin_factors__1[[#This Row],[HML]]/F2589-1</f>
        <v>0.20702479256056638</v>
      </c>
      <c r="H2590" s="3">
        <v>41600064853542</v>
      </c>
      <c r="I2590" s="4">
        <f>[1]!nefin_factors__1[[#This Row],[Risk_Free]]/H2589-1</f>
        <v>0</v>
      </c>
      <c r="J2590">
        <v>127600</v>
      </c>
      <c r="K2590">
        <v>128669</v>
      </c>
      <c r="L2590">
        <v>127599</v>
      </c>
      <c r="M2590">
        <v>128155</v>
      </c>
      <c r="N2590">
        <v>8917300</v>
      </c>
      <c r="O2590">
        <v>128155</v>
      </c>
      <c r="P2590">
        <v>4.3495297805642404E-3</v>
      </c>
      <c r="Q2590">
        <v>4.34009791547014E-3</v>
      </c>
      <c r="R2590" s="8">
        <v>2.21000003814697</v>
      </c>
      <c r="S2590" s="8">
        <v>-1.77777608235677E-2</v>
      </c>
      <c r="T2590" s="9">
        <v>-1.79376834255939E-2</v>
      </c>
      <c r="U2590" s="12">
        <v>4.0168000000000002E-2</v>
      </c>
      <c r="V2590" s="16">
        <v>5.0236999999999998</v>
      </c>
      <c r="W2590" s="17">
        <f t="shared" si="40"/>
        <v>-9.6009778408643331E-3</v>
      </c>
    </row>
    <row r="2591" spans="1:23" x14ac:dyDescent="0.2">
      <c r="A2591" s="15">
        <v>45345</v>
      </c>
      <c r="B2591" s="5">
        <v>-700559754604761</v>
      </c>
      <c r="C2591" s="5">
        <f>[1]!nefin_factors__1[[#This Row],[Rm_minus_Rf]]/B2590-1</f>
        <v>-3.9198796230487294</v>
      </c>
      <c r="D2591" s="5">
        <v>-93182945324355</v>
      </c>
      <c r="E2591" s="5">
        <f>[1]!nefin_factors__1[[#This Row],[SMB]]/D2590-1</f>
        <v>-1.1795924760980068</v>
      </c>
      <c r="F2591" s="5">
        <v>-468505473995911</v>
      </c>
      <c r="G2591" s="5">
        <f>[1]!nefin_factors__1[[#This Row],[HML]]/F2590-1</f>
        <v>-2.250977503445418</v>
      </c>
      <c r="H2591" s="5">
        <v>415643144455302</v>
      </c>
      <c r="I2591" s="6">
        <f>[1]!nefin_factors__1[[#This Row],[Risk_Free]]/H2590-1</f>
        <v>8.9914061653178514</v>
      </c>
      <c r="J2591">
        <v>128155</v>
      </c>
      <c r="K2591">
        <v>128965</v>
      </c>
      <c r="L2591">
        <v>127962</v>
      </c>
      <c r="M2591">
        <v>128515</v>
      </c>
      <c r="N2591">
        <v>11886800</v>
      </c>
      <c r="O2591">
        <v>128515</v>
      </c>
      <c r="P2591">
        <v>2.8090983574577998E-3</v>
      </c>
      <c r="Q2591">
        <v>2.8051602140311501E-3</v>
      </c>
      <c r="R2591" s="8">
        <v>2.2300000190734899</v>
      </c>
      <c r="S2591" s="8">
        <v>9.0497649689107503E-3</v>
      </c>
      <c r="T2591" s="9">
        <v>9.0090612344254292E-3</v>
      </c>
      <c r="U2591" s="12">
        <v>4.0168000000000002E-2</v>
      </c>
      <c r="V2591" s="16">
        <v>5.0519999999999996</v>
      </c>
      <c r="W2591" s="17">
        <f t="shared" si="40"/>
        <v>5.6332981666897819E-3</v>
      </c>
    </row>
    <row r="2592" spans="1:23" x14ac:dyDescent="0.2">
      <c r="A2592" s="14">
        <v>45348</v>
      </c>
      <c r="B2592" s="3">
        <v>26051055676375</v>
      </c>
      <c r="C2592" s="3">
        <f>[1]!nefin_factors__1[[#This Row],[Rm_minus_Rf]]/B2591-1</f>
        <v>-1.0371860580130989</v>
      </c>
      <c r="D2592" s="3">
        <v>-926023869180226</v>
      </c>
      <c r="E2592" s="3">
        <f>[1]!nefin_factors__1[[#This Row],[SMB]]/D2591-1</f>
        <v>8.9376969246559472</v>
      </c>
      <c r="F2592" s="3">
        <v>-109946497108949</v>
      </c>
      <c r="G2592" s="3">
        <f>[1]!nefin_factors__1[[#This Row],[HML]]/F2591-1</f>
        <v>-0.76532505336339229</v>
      </c>
      <c r="H2592" s="3">
        <v>415643144455302</v>
      </c>
      <c r="I2592" s="4">
        <f>[1]!nefin_factors__1[[#This Row],[Risk_Free]]/H2591-1</f>
        <v>0</v>
      </c>
      <c r="J2592">
        <v>128514</v>
      </c>
      <c r="K2592">
        <v>128646</v>
      </c>
      <c r="L2592">
        <v>127029</v>
      </c>
      <c r="M2592">
        <v>128028</v>
      </c>
      <c r="N2592">
        <v>10855600</v>
      </c>
      <c r="O2592">
        <v>128028</v>
      </c>
      <c r="P2592">
        <v>-3.78944092129319E-3</v>
      </c>
      <c r="Q2592">
        <v>-3.7966390428662202E-3</v>
      </c>
      <c r="R2592" s="8">
        <v>2.1500000953674299</v>
      </c>
      <c r="S2592" s="8">
        <v>-3.5874404942513399E-2</v>
      </c>
      <c r="T2592" s="9">
        <v>-3.6533707528644897E-2</v>
      </c>
      <c r="U2592" s="12">
        <v>4.0168000000000002E-2</v>
      </c>
      <c r="V2592" s="16">
        <v>5.0420999999999996</v>
      </c>
      <c r="W2592" s="17">
        <f t="shared" si="40"/>
        <v>-1.9596199524940516E-3</v>
      </c>
    </row>
    <row r="2593" spans="1:23" x14ac:dyDescent="0.2">
      <c r="A2593" s="15">
        <v>45349</v>
      </c>
      <c r="B2593" s="5">
        <v>153968654848578</v>
      </c>
      <c r="C2593" s="5">
        <f>[1]!nefin_factors__1[[#This Row],[Rm_minus_Rf]]/B2592-1</f>
        <v>4.9102654710537514</v>
      </c>
      <c r="D2593" s="5">
        <v>248284500888302</v>
      </c>
      <c r="E2593" s="5">
        <f>[1]!nefin_factors__1[[#This Row],[SMB]]/D2592-1</f>
        <v>-1.2681188996867854</v>
      </c>
      <c r="F2593" s="5">
        <v>259076363184172</v>
      </c>
      <c r="G2593" s="5">
        <f>[1]!nefin_factors__1[[#This Row],[HML]]/F2592-1</f>
        <v>-3.3563857876021839</v>
      </c>
      <c r="H2593" s="5">
        <v>415285608305505</v>
      </c>
      <c r="I2593" s="6">
        <f>[1]!nefin_factors__1[[#This Row],[Risk_Free]]/H2592-1</f>
        <v>-8.6019980015683561E-4</v>
      </c>
      <c r="J2593">
        <v>128029</v>
      </c>
      <c r="K2593">
        <v>128965</v>
      </c>
      <c r="L2593">
        <v>127922</v>
      </c>
      <c r="M2593">
        <v>128284</v>
      </c>
      <c r="N2593">
        <v>9852200</v>
      </c>
      <c r="O2593">
        <v>128284</v>
      </c>
      <c r="P2593">
        <v>1.9995625956821298E-3</v>
      </c>
      <c r="Q2593">
        <v>1.9975661313224101E-3</v>
      </c>
      <c r="R2593" s="8">
        <v>1.9900000095367401</v>
      </c>
      <c r="S2593" s="8">
        <v>-7.4418641271429706E-2</v>
      </c>
      <c r="T2593" s="9">
        <v>-7.7333242967781199E-2</v>
      </c>
      <c r="U2593" s="12">
        <v>4.0168000000000002E-2</v>
      </c>
      <c r="V2593" s="16">
        <v>5.008</v>
      </c>
      <c r="W2593" s="17">
        <f t="shared" si="40"/>
        <v>-6.7630550762578512E-3</v>
      </c>
    </row>
    <row r="2594" spans="1:23" x14ac:dyDescent="0.2">
      <c r="A2594" s="14">
        <v>45350</v>
      </c>
      <c r="B2594" s="3">
        <v>-10620160639751</v>
      </c>
      <c r="C2594" s="3">
        <f>[1]!nefin_factors__1[[#This Row],[Rm_minus_Rf]]/B2593-1</f>
        <v>-1.0689761214722275</v>
      </c>
      <c r="D2594" s="3">
        <v>650472286971607</v>
      </c>
      <c r="E2594" s="3">
        <f>[1]!nefin_factors__1[[#This Row],[SMB]]/D2593-1</f>
        <v>1.6198666636232799</v>
      </c>
      <c r="F2594" s="3">
        <v>119396737510341</v>
      </c>
      <c r="G2594" s="3">
        <f>[1]!nefin_factors__1[[#This Row],[HML]]/F2593-1</f>
        <v>-0.53914461341475473</v>
      </c>
      <c r="H2594" s="3">
        <v>414928040080254</v>
      </c>
      <c r="I2594" s="4">
        <f>[1]!nefin_factors__1[[#This Row],[Risk_Free]]/H2593-1</f>
        <v>-8.6101761799550758E-4</v>
      </c>
      <c r="J2594">
        <v>128280</v>
      </c>
      <c r="K2594">
        <v>128464</v>
      </c>
      <c r="L2594">
        <v>127696</v>
      </c>
      <c r="M2594">
        <v>128151</v>
      </c>
      <c r="N2594">
        <v>10262600</v>
      </c>
      <c r="O2594">
        <v>128151</v>
      </c>
      <c r="P2594">
        <v>-1.0367621839044701E-3</v>
      </c>
      <c r="Q2594">
        <v>-1.03729999357007E-3</v>
      </c>
      <c r="R2594" s="8">
        <v>2.0099999904632599</v>
      </c>
      <c r="S2594" s="8">
        <v>1.00502416234507E-2</v>
      </c>
      <c r="T2594" s="9">
        <v>1.00000737976017E-2</v>
      </c>
      <c r="U2594" s="12">
        <v>4.0168000000000002E-2</v>
      </c>
      <c r="V2594" s="16">
        <v>5.0654000000000003</v>
      </c>
      <c r="W2594" s="17">
        <f t="shared" si="40"/>
        <v>1.1461661341853002E-2</v>
      </c>
    </row>
    <row r="2595" spans="1:23" x14ac:dyDescent="0.2">
      <c r="A2595" s="15">
        <v>45351</v>
      </c>
      <c r="B2595" s="5">
        <v>-114987707761458</v>
      </c>
      <c r="C2595" s="5">
        <f>[1]!nefin_factors__1[[#This Row],[Rm_minus_Rf]]/B2594-1</f>
        <v>9.8273039986854656</v>
      </c>
      <c r="D2595" s="5">
        <v>325776784882489</v>
      </c>
      <c r="E2595" s="5">
        <f>[1]!nefin_factors__1[[#This Row],[SMB]]/D2594-1</f>
        <v>-0.49916884791633087</v>
      </c>
      <c r="F2595" s="5">
        <v>260756930822118</v>
      </c>
      <c r="G2595" s="5">
        <f>[1]!nefin_factors__1[[#This Row],[HML]]/F2594-1</f>
        <v>1.1839535674040822</v>
      </c>
      <c r="H2595" s="5">
        <v>414928040080254</v>
      </c>
      <c r="I2595" s="6">
        <f>[1]!nefin_factors__1[[#This Row],[Risk_Free]]/H2594-1</f>
        <v>0</v>
      </c>
      <c r="J2595">
        <v>128151</v>
      </c>
      <c r="K2595">
        <v>128730</v>
      </c>
      <c r="L2595">
        <v>127488</v>
      </c>
      <c r="M2595">
        <v>127751</v>
      </c>
      <c r="N2595">
        <v>9340300</v>
      </c>
      <c r="O2595">
        <v>127751</v>
      </c>
      <c r="P2595">
        <v>-3.1213178203837199E-3</v>
      </c>
      <c r="Q2595">
        <v>-3.1261992932503399E-3</v>
      </c>
      <c r="R2595" s="8">
        <v>2.03999996185303</v>
      </c>
      <c r="S2595" s="8">
        <v>1.49253589711988E-2</v>
      </c>
      <c r="T2595" s="9">
        <v>1.4815071830292299E-2</v>
      </c>
      <c r="U2595" s="12">
        <v>4.0168000000000002E-2</v>
      </c>
      <c r="V2595" s="16">
        <v>5.0765000000000002</v>
      </c>
      <c r="W2595" s="17">
        <f t="shared" si="40"/>
        <v>2.191337308011132E-3</v>
      </c>
    </row>
    <row r="2596" spans="1:23" x14ac:dyDescent="0.2">
      <c r="A2596" s="14">
        <v>45352</v>
      </c>
      <c r="B2596" s="3">
        <v>944065989810363</v>
      </c>
      <c r="C2596" s="3">
        <f>[1]!nefin_factors__1[[#This Row],[Rm_minus_Rf]]/B2595-1</f>
        <v>-9.2101470512728874</v>
      </c>
      <c r="D2596" s="3">
        <v>551485674537152</v>
      </c>
      <c r="E2596" s="3">
        <f>[1]!nefin_factors__1[[#This Row],[SMB]]/D2595-1</f>
        <v>0.69283294614156898</v>
      </c>
      <c r="F2596" s="3">
        <v>494021090756189</v>
      </c>
      <c r="G2596" s="3">
        <f>[1]!nefin_factors__1[[#This Row],[HML]]/F2595-1</f>
        <v>0.89456552199257966</v>
      </c>
      <c r="H2596" s="3">
        <v>414570439773998</v>
      </c>
      <c r="I2596" s="4">
        <f>[1]!nefin_factors__1[[#This Row],[Risk_Free]]/H2595-1</f>
        <v>-8.6183692523367217E-4</v>
      </c>
      <c r="J2596">
        <v>127754</v>
      </c>
      <c r="K2596">
        <v>128272</v>
      </c>
      <c r="L2596">
        <v>127205</v>
      </c>
      <c r="M2596">
        <v>127412</v>
      </c>
      <c r="N2596">
        <v>9138500</v>
      </c>
      <c r="O2596">
        <v>127412</v>
      </c>
      <c r="P2596">
        <v>-2.6535995804337601E-3</v>
      </c>
      <c r="Q2596">
        <v>-2.6571266167435101E-3</v>
      </c>
      <c r="R2596" s="8">
        <v>2.0499999523162802</v>
      </c>
      <c r="S2596" s="8">
        <v>4.90195620110367E-3</v>
      </c>
      <c r="T2596" s="9">
        <v>4.8899807333388501E-3</v>
      </c>
      <c r="U2596" s="12">
        <v>4.0168000000000002E-2</v>
      </c>
      <c r="V2596" s="16">
        <v>5.1364000000000001</v>
      </c>
      <c r="W2596" s="17">
        <f t="shared" si="40"/>
        <v>1.1799468137496216E-2</v>
      </c>
    </row>
    <row r="2597" spans="1:23" x14ac:dyDescent="0.2">
      <c r="A2597" s="15">
        <v>45355</v>
      </c>
      <c r="B2597" s="5">
        <v>-716801809541164</v>
      </c>
      <c r="C2597" s="5">
        <f>[1]!nefin_factors__1[[#This Row],[Rm_minus_Rf]]/B2596-1</f>
        <v>-1.7592708743645662</v>
      </c>
      <c r="D2597" s="5">
        <v>-714509192446967</v>
      </c>
      <c r="E2597" s="5">
        <f>[1]!nefin_factors__1[[#This Row],[SMB]]/D2596-1</f>
        <v>-2.2956078923475873</v>
      </c>
      <c r="F2597" s="5">
        <v>-188203938726634</v>
      </c>
      <c r="G2597" s="5">
        <f>[1]!nefin_factors__1[[#This Row],[HML]]/F2596-1</f>
        <v>-1.3809633682613707</v>
      </c>
      <c r="H2597" s="5">
        <v>413139717621247</v>
      </c>
      <c r="I2597" s="6">
        <f>[1]!nefin_factors__1[[#This Row],[Risk_Free]]/H2596-1</f>
        <v>-3.4510954363532464E-3</v>
      </c>
      <c r="J2597">
        <v>127412</v>
      </c>
      <c r="K2597">
        <v>127412</v>
      </c>
      <c r="L2597">
        <v>125524</v>
      </c>
      <c r="M2597">
        <v>125650</v>
      </c>
      <c r="N2597">
        <v>12403500</v>
      </c>
      <c r="O2597">
        <v>125650</v>
      </c>
      <c r="P2597">
        <v>-1.38291526700782E-2</v>
      </c>
      <c r="Q2597">
        <v>-1.3925666235481899E-2</v>
      </c>
      <c r="R2597" s="8">
        <v>2</v>
      </c>
      <c r="S2597" s="8">
        <v>-2.4390221209414899E-2</v>
      </c>
      <c r="T2597" s="9">
        <v>-2.4692589330022101E-2</v>
      </c>
      <c r="U2597" s="12">
        <v>4.0168000000000002E-2</v>
      </c>
      <c r="V2597" s="16">
        <v>5.1745999999999999</v>
      </c>
      <c r="W2597" s="17">
        <f t="shared" si="40"/>
        <v>7.4371154894479208E-3</v>
      </c>
    </row>
    <row r="2598" spans="1:23" x14ac:dyDescent="0.2">
      <c r="A2598" s="14">
        <v>45356</v>
      </c>
      <c r="B2598" s="3">
        <v>-333526552803739</v>
      </c>
      <c r="C2598" s="3">
        <f>[1]!nefin_factors__1[[#This Row],[Rm_minus_Rf]]/B2597-1</f>
        <v>-0.53470185431418682</v>
      </c>
      <c r="D2598" s="3">
        <v>394276916410042</v>
      </c>
      <c r="E2598" s="3">
        <f>[1]!nefin_factors__1[[#This Row],[SMB]]/D2597-1</f>
        <v>-1.5518150369203352</v>
      </c>
      <c r="F2598" s="3">
        <v>-176130515358304</v>
      </c>
      <c r="G2598" s="3">
        <f>[1]!nefin_factors__1[[#This Row],[HML]]/F2597-1</f>
        <v>-6.4150747588054613E-2</v>
      </c>
      <c r="H2598" s="3">
        <v>412066338871364</v>
      </c>
      <c r="I2598" s="4">
        <f>[1]!nefin_factors__1[[#This Row],[Risk_Free]]/H2597-1</f>
        <v>-2.5981010880852251E-3</v>
      </c>
      <c r="J2598">
        <v>125650</v>
      </c>
      <c r="K2598">
        <v>125665</v>
      </c>
      <c r="L2598">
        <v>124431</v>
      </c>
      <c r="M2598">
        <v>124729</v>
      </c>
      <c r="N2598">
        <v>9985400</v>
      </c>
      <c r="O2598">
        <v>124729</v>
      </c>
      <c r="P2598">
        <v>-7.3298846000795503E-3</v>
      </c>
      <c r="Q2598">
        <v>-7.35688020152786E-3</v>
      </c>
      <c r="R2598" s="8">
        <v>2.0499999523162802</v>
      </c>
      <c r="S2598" s="8">
        <v>2.49999761581421E-2</v>
      </c>
      <c r="T2598" s="9">
        <v>2.4692589330022E-2</v>
      </c>
      <c r="U2598" s="12">
        <v>4.0168000000000002E-2</v>
      </c>
      <c r="V2598" s="16">
        <v>5.2634999999999996</v>
      </c>
      <c r="W2598" s="17">
        <f t="shared" si="40"/>
        <v>1.7180071889614679E-2</v>
      </c>
    </row>
    <row r="2599" spans="1:23" x14ac:dyDescent="0.2">
      <c r="A2599" s="15">
        <v>45357</v>
      </c>
      <c r="B2599" s="5">
        <v>509966179680621</v>
      </c>
      <c r="C2599" s="5">
        <f>[1]!nefin_factors__1[[#This Row],[Rm_minus_Rf]]/B2598-1</f>
        <v>-2.5290122342394321</v>
      </c>
      <c r="D2599" s="5">
        <v>-340112440825016</v>
      </c>
      <c r="E2599" s="5">
        <f>[1]!nefin_factors__1[[#This Row],[SMB]]/D2598-1</f>
        <v>-1.8626232646886796</v>
      </c>
      <c r="F2599" s="5">
        <v>-510708087817865</v>
      </c>
      <c r="G2599" s="5">
        <f>[1]!nefin_factors__1[[#This Row],[HML]]/F2598-1</f>
        <v>1.8996002582455778</v>
      </c>
      <c r="H2599" s="5">
        <v>411350592411042</v>
      </c>
      <c r="I2599" s="6">
        <f>[1]!nefin_factors__1[[#This Row],[Risk_Free]]/H2598-1</f>
        <v>-1.7369690091222356E-3</v>
      </c>
      <c r="J2599">
        <v>124731</v>
      </c>
      <c r="K2599">
        <v>125257</v>
      </c>
      <c r="L2599">
        <v>124259</v>
      </c>
      <c r="M2599">
        <v>124306</v>
      </c>
      <c r="N2599">
        <v>9211500</v>
      </c>
      <c r="O2599">
        <v>124306</v>
      </c>
      <c r="P2599">
        <v>-3.3913524521161898E-3</v>
      </c>
      <c r="Q2599">
        <v>-3.3971161226249301E-3</v>
      </c>
      <c r="R2599" s="8">
        <v>2.03999996185303</v>
      </c>
      <c r="S2599" s="8">
        <v>-4.8780442418829796E-3</v>
      </c>
      <c r="T2599" s="9">
        <v>-4.8899807333389099E-3</v>
      </c>
      <c r="U2599" s="12">
        <v>4.0168000000000002E-2</v>
      </c>
      <c r="V2599" s="16">
        <v>5.2469000000000001</v>
      </c>
      <c r="W2599" s="17">
        <f t="shared" si="40"/>
        <v>-3.1537950033246887E-3</v>
      </c>
    </row>
    <row r="2600" spans="1:23" x14ac:dyDescent="0.2">
      <c r="A2600" s="14">
        <v>45358</v>
      </c>
      <c r="B2600" s="3">
        <v>-267113876763846</v>
      </c>
      <c r="C2600" s="3">
        <f>[1]!nefin_factors__1[[#This Row],[Rm_minus_Rf]]/B2599-1</f>
        <v>-1.5237874341610902</v>
      </c>
      <c r="D2600" s="3">
        <v>-16135053998843</v>
      </c>
      <c r="E2600" s="3">
        <f>[1]!nefin_factors__1[[#This Row],[SMB]]/D2599-1</f>
        <v>-0.95255964774559865</v>
      </c>
      <c r="F2600" s="3">
        <v>-376213138057376</v>
      </c>
      <c r="G2600" s="3">
        <f>[1]!nefin_factors__1[[#This Row],[HML]]/F2599-1</f>
        <v>-0.26334995072264111</v>
      </c>
      <c r="H2600" s="3">
        <v>410992670975219</v>
      </c>
      <c r="I2600" s="4">
        <f>[1]!nefin_factors__1[[#This Row],[Risk_Free]]/H2599-1</f>
        <v>-8.70112848811333E-4</v>
      </c>
      <c r="J2600">
        <v>124297</v>
      </c>
      <c r="K2600">
        <v>124535</v>
      </c>
      <c r="L2600">
        <v>124081</v>
      </c>
      <c r="M2600">
        <v>124496</v>
      </c>
      <c r="N2600">
        <v>4327600</v>
      </c>
      <c r="O2600">
        <v>124496</v>
      </c>
      <c r="P2600">
        <v>1.5284861551332399E-3</v>
      </c>
      <c r="Q2600">
        <v>1.5273192091258901E-3</v>
      </c>
      <c r="R2600" s="8">
        <v>2.1099998950958301</v>
      </c>
      <c r="S2600" s="8">
        <v>3.4313693407726199E-2</v>
      </c>
      <c r="T2600" s="9">
        <v>3.3738108613727003E-2</v>
      </c>
      <c r="U2600" s="12">
        <v>4.0168000000000002E-2</v>
      </c>
      <c r="V2600" s="16">
        <v>5.2511999999999999</v>
      </c>
      <c r="W2600" s="17">
        <f t="shared" si="40"/>
        <v>8.1953153290514891E-4</v>
      </c>
    </row>
    <row r="2601" spans="1:23" x14ac:dyDescent="0.2">
      <c r="A2601" s="15">
        <v>45359</v>
      </c>
      <c r="B2601" s="5">
        <v>-105905187552533</v>
      </c>
      <c r="C2601" s="5">
        <f>[1]!nefin_factors__1[[#This Row],[Rm_minus_Rf]]/B2600-1</f>
        <v>-0.603520457882601</v>
      </c>
      <c r="D2601" s="5">
        <v>627115560230949</v>
      </c>
      <c r="E2601" s="5">
        <f>[1]!nefin_factors__1[[#This Row],[SMB]]/D2600-1</f>
        <v>-39.866653949588127</v>
      </c>
      <c r="F2601" s="5">
        <v>938981080272603</v>
      </c>
      <c r="G2601" s="5">
        <f>[1]!nefin_factors__1[[#This Row],[HML]]/F2600-1</f>
        <v>-3.4958753038800032</v>
      </c>
      <c r="H2601" s="5">
        <v>410276731663828</v>
      </c>
      <c r="I2601" s="6">
        <f>[1]!nefin_factors__1[[#This Row],[Risk_Free]]/H2600-1</f>
        <v>-1.7419758597937429E-3</v>
      </c>
      <c r="J2601">
        <v>124498</v>
      </c>
      <c r="K2601">
        <v>125392</v>
      </c>
      <c r="L2601">
        <v>123537</v>
      </c>
      <c r="M2601">
        <v>123780</v>
      </c>
      <c r="N2601">
        <v>9179800</v>
      </c>
      <c r="O2601">
        <v>123780</v>
      </c>
      <c r="P2601">
        <v>-5.7511887932142304E-3</v>
      </c>
      <c r="Q2601">
        <v>-5.7677905633588596E-3</v>
      </c>
      <c r="R2601" s="8">
        <v>2.03999996185303</v>
      </c>
      <c r="S2601" s="8">
        <v>-3.3175325461150797E-2</v>
      </c>
      <c r="T2601" s="9">
        <v>-3.37381086137271E-2</v>
      </c>
      <c r="U2601" s="12">
        <v>4.0168000000000002E-2</v>
      </c>
      <c r="V2601" s="16">
        <v>5.2268999999999997</v>
      </c>
      <c r="W2601" s="17">
        <f t="shared" si="40"/>
        <v>-4.6275137111517761E-3</v>
      </c>
    </row>
    <row r="2602" spans="1:23" x14ac:dyDescent="0.2">
      <c r="A2602" s="14">
        <v>45362</v>
      </c>
      <c r="B2602" s="3">
        <v>-608303843925975</v>
      </c>
      <c r="C2602" s="3">
        <f>[1]!nefin_factors__1[[#This Row],[Rm_minus_Rf]]/B2601-1</f>
        <v>4.7438531386787179</v>
      </c>
      <c r="D2602" s="3">
        <v>-140180747620786</v>
      </c>
      <c r="E2602" s="3">
        <f>[1]!nefin_factors__1[[#This Row],[SMB]]/D2601-1</f>
        <v>-1.2235325616369037</v>
      </c>
      <c r="F2602" s="3">
        <v>83665845.666170001</v>
      </c>
      <c r="G2602" s="3">
        <f>[1]!nefin_factors__1[[#This Row],[HML]]/F2601-1</f>
        <v>-0.99999991089719753</v>
      </c>
      <c r="H2602" s="3">
        <v>408844467119085</v>
      </c>
      <c r="I2602" s="4">
        <f>[1]!nefin_factors__1[[#This Row],[Risk_Free]]/H2601-1</f>
        <v>-3.4909719079964097E-3</v>
      </c>
      <c r="J2602">
        <v>123780</v>
      </c>
      <c r="K2602">
        <v>123780</v>
      </c>
      <c r="L2602">
        <v>122458</v>
      </c>
      <c r="M2602">
        <v>122707</v>
      </c>
      <c r="N2602">
        <v>8257700</v>
      </c>
      <c r="O2602">
        <v>122707</v>
      </c>
      <c r="P2602">
        <v>-8.6686055905639305E-3</v>
      </c>
      <c r="Q2602">
        <v>-8.7063965068713903E-3</v>
      </c>
      <c r="R2602" s="8">
        <v>1.9800000190734901</v>
      </c>
      <c r="S2602" s="8">
        <v>-2.94117372066224E-2</v>
      </c>
      <c r="T2602" s="9">
        <v>-2.98529348171107E-2</v>
      </c>
      <c r="U2602" s="12">
        <v>4.0168000000000002E-2</v>
      </c>
      <c r="V2602" s="16">
        <v>5.2042999999999999</v>
      </c>
      <c r="W2602" s="17">
        <f t="shared" si="40"/>
        <v>-4.3237865656506891E-3</v>
      </c>
    </row>
    <row r="2603" spans="1:23" x14ac:dyDescent="0.2">
      <c r="A2603" s="15">
        <v>45363</v>
      </c>
      <c r="B2603" s="5">
        <v>107174134324776</v>
      </c>
      <c r="C2603" s="5">
        <f>[1]!nefin_factors__1[[#This Row],[Rm_minus_Rf]]/B2602-1</f>
        <v>-1.1761851998716255</v>
      </c>
      <c r="D2603" s="5">
        <v>293233602016486</v>
      </c>
      <c r="E2603" s="5">
        <f>[1]!nefin_factors__1[[#This Row],[SMB]]/D2602-1</f>
        <v>-3.091825068658753</v>
      </c>
      <c r="F2603" s="5">
        <v>-116100546159504</v>
      </c>
      <c r="G2603" s="5">
        <f>[1]!nefin_factors__1[[#This Row],[HML]]/F2602-1</f>
        <v>-1387670.5470544782</v>
      </c>
      <c r="H2603" s="5">
        <v>407769930846458</v>
      </c>
      <c r="I2603" s="6">
        <f>[1]!nefin_factors__1[[#This Row],[Risk_Free]]/H2602-1</f>
        <v>-2.6282275022545543E-3</v>
      </c>
      <c r="J2603">
        <v>122704</v>
      </c>
      <c r="K2603">
        <v>122837</v>
      </c>
      <c r="L2603">
        <v>121929</v>
      </c>
      <c r="M2603">
        <v>122098</v>
      </c>
      <c r="N2603">
        <v>15918600</v>
      </c>
      <c r="O2603">
        <v>122098</v>
      </c>
      <c r="P2603">
        <v>-4.9630420432411598E-3</v>
      </c>
      <c r="Q2603">
        <v>-4.9753988382189897E-3</v>
      </c>
      <c r="R2603" s="8">
        <v>1.9299999475479099</v>
      </c>
      <c r="S2603" s="8">
        <v>-2.5252561133292599E-2</v>
      </c>
      <c r="T2603" s="9">
        <v>-2.5576878599971199E-2</v>
      </c>
      <c r="U2603" s="12">
        <v>4.0168000000000002E-2</v>
      </c>
      <c r="V2603" s="16">
        <v>5.1626000000000003</v>
      </c>
      <c r="W2603" s="17">
        <f t="shared" si="40"/>
        <v>-8.0126049612819772E-3</v>
      </c>
    </row>
    <row r="2604" spans="1:23" x14ac:dyDescent="0.2">
      <c r="A2604" s="14">
        <v>45364</v>
      </c>
      <c r="B2604" s="3">
        <v>12131388933684</v>
      </c>
      <c r="C2604" s="3">
        <f>[1]!nefin_factors__1[[#This Row],[Rm_minus_Rf]]/B2603-1</f>
        <v>-0.88680674670138648</v>
      </c>
      <c r="D2604" s="3">
        <v>517287902102157</v>
      </c>
      <c r="E2604" s="3">
        <f>[1]!nefin_factors__1[[#This Row],[SMB]]/D2603-1</f>
        <v>0.76408125994057929</v>
      </c>
      <c r="F2604" s="3">
        <v>-33501203359369</v>
      </c>
      <c r="G2604" s="3">
        <f>[1]!nefin_factors__1[[#This Row],[HML]]/F2603-1</f>
        <v>-0.71144663425317933</v>
      </c>
      <c r="H2604" s="3">
        <v>407053412356806</v>
      </c>
      <c r="I2604" s="4">
        <f>[1]!nefin_factors__1[[#This Row],[Risk_Free]]/H2603-1</f>
        <v>-1.7571636245091726E-3</v>
      </c>
      <c r="J2604">
        <v>122100</v>
      </c>
      <c r="K2604">
        <v>122495</v>
      </c>
      <c r="L2604">
        <v>121496</v>
      </c>
      <c r="M2604">
        <v>122032</v>
      </c>
      <c r="N2604">
        <v>8428100</v>
      </c>
      <c r="O2604">
        <v>122032</v>
      </c>
      <c r="P2604">
        <v>-5.4054939474845699E-4</v>
      </c>
      <c r="Q2604">
        <v>-5.4069554424225901E-4</v>
      </c>
      <c r="R2604" s="8">
        <v>1.95000004768372</v>
      </c>
      <c r="S2604" s="8">
        <v>1.0362746465985E-2</v>
      </c>
      <c r="T2604" s="9">
        <v>1.03094212892964E-2</v>
      </c>
      <c r="U2604" s="12">
        <v>4.0168000000000002E-2</v>
      </c>
      <c r="V2604" s="16">
        <v>5.1592000000000002</v>
      </c>
      <c r="W2604" s="17">
        <f t="shared" si="40"/>
        <v>-6.5858288459308412E-4</v>
      </c>
    </row>
    <row r="2605" spans="1:23" x14ac:dyDescent="0.2">
      <c r="A2605" s="15">
        <v>45365</v>
      </c>
      <c r="B2605" s="5">
        <v>-176088346391463</v>
      </c>
      <c r="C2605" s="5">
        <f>[1]!nefin_factors__1[[#This Row],[Rm_minus_Rf]]/B2604-1</f>
        <v>-15.515101886028591</v>
      </c>
      <c r="D2605" s="5">
        <v>-18192437131295</v>
      </c>
      <c r="E2605" s="5">
        <f>[1]!nefin_factors__1[[#This Row],[SMB]]/D2604-1</f>
        <v>-1.0351688818883342</v>
      </c>
      <c r="F2605" s="5">
        <v>203259585401668</v>
      </c>
      <c r="G2605" s="5">
        <f>[1]!nefin_factors__1[[#This Row],[HML]]/F2604-1</f>
        <v>-7.0672323683807043</v>
      </c>
      <c r="H2605" s="5">
        <v>40669510480229</v>
      </c>
      <c r="I2605" s="6">
        <f>[1]!nefin_factors__1[[#This Row],[Risk_Free]]/H2604-1</f>
        <v>-0.9000880247023213</v>
      </c>
      <c r="J2605">
        <v>122032</v>
      </c>
      <c r="K2605">
        <v>122032</v>
      </c>
      <c r="L2605">
        <v>120878</v>
      </c>
      <c r="M2605">
        <v>121802</v>
      </c>
      <c r="N2605">
        <v>8529300</v>
      </c>
      <c r="O2605">
        <v>121802</v>
      </c>
      <c r="P2605">
        <v>-1.8847515405795399E-3</v>
      </c>
      <c r="Q2605">
        <v>-1.8865299196508499E-3</v>
      </c>
      <c r="R2605" s="8">
        <v>1.9400000572204601</v>
      </c>
      <c r="S2605" s="8">
        <v>-5.1282001121667501E-3</v>
      </c>
      <c r="T2605" s="9">
        <v>-5.1413944585244299E-3</v>
      </c>
      <c r="U2605" s="12">
        <v>4.0168000000000002E-2</v>
      </c>
      <c r="V2605" s="16">
        <v>5.1679000000000004</v>
      </c>
      <c r="W2605" s="17">
        <f t="shared" si="40"/>
        <v>1.6863079547217996E-3</v>
      </c>
    </row>
    <row r="2606" spans="1:23" x14ac:dyDescent="0.2">
      <c r="A2606" s="14">
        <v>45366</v>
      </c>
      <c r="B2606" s="3">
        <v>-59041144140372</v>
      </c>
      <c r="C2606" s="3">
        <f>[1]!nefin_factors__1[[#This Row],[Rm_minus_Rf]]/B2605-1</f>
        <v>-0.66470726001868807</v>
      </c>
      <c r="D2606" s="3">
        <v>-142416817847642</v>
      </c>
      <c r="E2606" s="3">
        <f>[1]!nefin_factors__1[[#This Row],[SMB]]/D2605-1</f>
        <v>6.8283528930081445</v>
      </c>
      <c r="F2606" s="3">
        <v>-19247401717496</v>
      </c>
      <c r="G2606" s="3">
        <f>[1]!nefin_factors__1[[#This Row],[HML]]/F2605-1</f>
        <v>-1.0946936976155912</v>
      </c>
      <c r="H2606" s="3">
        <v>405619988829597</v>
      </c>
      <c r="I2606" s="4">
        <f>[1]!nefin_factors__1[[#This Row],[Risk_Free]]/H2605-1</f>
        <v>8.9735645706083513</v>
      </c>
      <c r="J2606">
        <v>121803</v>
      </c>
      <c r="K2606">
        <v>122170</v>
      </c>
      <c r="L2606">
        <v>121253</v>
      </c>
      <c r="M2606">
        <v>121407</v>
      </c>
      <c r="N2606">
        <v>8768700</v>
      </c>
      <c r="O2606">
        <v>121407</v>
      </c>
      <c r="P2606">
        <v>-3.2429680957619701E-3</v>
      </c>
      <c r="Q2606">
        <v>-3.2482379131143898E-3</v>
      </c>
      <c r="R2606" s="8">
        <v>1.9099999666214</v>
      </c>
      <c r="S2606" s="8">
        <v>-1.54639637702088E-2</v>
      </c>
      <c r="T2606" s="9">
        <v>-1.55847779874873E-2</v>
      </c>
      <c r="U2606" s="12">
        <v>4.0168000000000002E-2</v>
      </c>
      <c r="V2606" s="16">
        <v>5.1184000000000003</v>
      </c>
      <c r="W2606" s="17">
        <f t="shared" si="40"/>
        <v>-9.5783587143714044E-3</v>
      </c>
    </row>
    <row r="2607" spans="1:23" x14ac:dyDescent="0.2">
      <c r="A2607" s="15">
        <v>45369</v>
      </c>
      <c r="B2607" s="5">
        <v>724930173316384</v>
      </c>
      <c r="C2607" s="5">
        <f>[1]!nefin_factors__1[[#This Row],[Rm_minus_Rf]]/B2606-1</f>
        <v>-13.278389653033178</v>
      </c>
      <c r="D2607" s="5">
        <v>-873335368393224</v>
      </c>
      <c r="E2607" s="5">
        <f>[1]!nefin_factors__1[[#This Row],[SMB]]/D2606-1</f>
        <v>5.1322488565045816</v>
      </c>
      <c r="F2607" s="5">
        <v>317752743429126</v>
      </c>
      <c r="G2607" s="5">
        <f>[1]!nefin_factors__1[[#This Row],[HML]]/F2606-1</f>
        <v>-17.508864318049064</v>
      </c>
      <c r="H2607" s="5">
        <v>404903083699226</v>
      </c>
      <c r="I2607" s="6">
        <f>[1]!nefin_factors__1[[#This Row],[Risk_Free]]/H2606-1</f>
        <v>-1.7674304770818328E-3</v>
      </c>
      <c r="J2607">
        <v>121408</v>
      </c>
      <c r="K2607">
        <v>123246</v>
      </c>
      <c r="L2607">
        <v>121377</v>
      </c>
      <c r="M2607">
        <v>122899</v>
      </c>
      <c r="N2607">
        <v>8404200</v>
      </c>
      <c r="O2607">
        <v>122899</v>
      </c>
      <c r="P2607">
        <v>1.2289241971220799E-2</v>
      </c>
      <c r="Q2607">
        <v>1.2214342253267301E-2</v>
      </c>
      <c r="R2607" s="8">
        <v>1.9400000572204601</v>
      </c>
      <c r="S2607" s="8">
        <v>1.5706853991273698E-2</v>
      </c>
      <c r="T2607" s="9">
        <v>1.5584777987487201E-2</v>
      </c>
      <c r="U2607" s="12">
        <v>4.0168000000000002E-2</v>
      </c>
      <c r="V2607" s="16">
        <v>5.1154999999999999</v>
      </c>
      <c r="W2607" s="17">
        <f t="shared" si="40"/>
        <v>-5.6658330728354134E-4</v>
      </c>
    </row>
    <row r="2608" spans="1:23" x14ac:dyDescent="0.2">
      <c r="A2608" s="14">
        <v>45370</v>
      </c>
      <c r="B2608" s="3">
        <v>280408250075816</v>
      </c>
      <c r="C2608" s="3">
        <f>[1]!nefin_factors__1[[#This Row],[Rm_minus_Rf]]/B2607-1</f>
        <v>-0.61319274545710434</v>
      </c>
      <c r="D2608" s="3">
        <v>-684225704801369</v>
      </c>
      <c r="E2608" s="3">
        <f>[1]!nefin_factors__1[[#This Row],[SMB]]/D2607-1</f>
        <v>-0.21653727815899848</v>
      </c>
      <c r="F2608" s="3">
        <v>-160865413612178</v>
      </c>
      <c r="G2608" s="3">
        <f>[1]!nefin_factors__1[[#This Row],[HML]]/F2607-1</f>
        <v>-1.5062597158915125</v>
      </c>
      <c r="H2608" s="3">
        <v>403827484164232</v>
      </c>
      <c r="I2608" s="4">
        <f>[1]!nefin_factors__1[[#This Row],[Risk_Free]]/H2607-1</f>
        <v>-2.6564370050413677E-3</v>
      </c>
      <c r="J2608">
        <v>122899</v>
      </c>
      <c r="K2608">
        <v>122899</v>
      </c>
      <c r="L2608">
        <v>120679</v>
      </c>
      <c r="M2608">
        <v>120767</v>
      </c>
      <c r="N2608">
        <v>9801200</v>
      </c>
      <c r="O2608">
        <v>120767</v>
      </c>
      <c r="P2608">
        <v>-1.7347578092580099E-2</v>
      </c>
      <c r="Q2608">
        <v>-1.7499810469744699E-2</v>
      </c>
      <c r="R2608" s="8">
        <v>1.8999999761581401</v>
      </c>
      <c r="S2608" s="8">
        <v>-2.0618597877583099E-2</v>
      </c>
      <c r="T2608" s="9">
        <v>-2.08341289462699E-2</v>
      </c>
      <c r="U2608" s="12">
        <v>4.0168000000000002E-2</v>
      </c>
      <c r="V2608" s="16">
        <v>5.1718000000000002</v>
      </c>
      <c r="W2608" s="17">
        <f t="shared" si="40"/>
        <v>1.1005766787215432E-2</v>
      </c>
    </row>
    <row r="2609" spans="1:23" x14ac:dyDescent="0.2">
      <c r="A2609" s="15">
        <v>45371</v>
      </c>
      <c r="B2609" s="5">
        <v>119734432397188</v>
      </c>
      <c r="C2609" s="5">
        <f>[1]!nefin_factors__1[[#This Row],[Rm_minus_Rf]]/B2608-1</f>
        <v>-0.57299960908848246</v>
      </c>
      <c r="D2609" s="5">
        <v>157952375574055</v>
      </c>
      <c r="E2609" s="5">
        <f>[1]!nefin_factors__1[[#This Row],[SMB]]/D2608-1</f>
        <v>-1.2308483508667782</v>
      </c>
      <c r="F2609" s="5">
        <v>-321081608598831</v>
      </c>
      <c r="G2609" s="5">
        <f>[1]!nefin_factors__1[[#This Row],[HML]]/F2608-1</f>
        <v>0.99596421249946143</v>
      </c>
      <c r="H2609" s="5">
        <v>402751594282824</v>
      </c>
      <c r="I2609" s="6">
        <f>[1]!nefin_factors__1[[#This Row],[Risk_Free]]/H2608-1</f>
        <v>-2.6642314443621196E-3</v>
      </c>
      <c r="J2609">
        <v>120769</v>
      </c>
      <c r="K2609">
        <v>121421</v>
      </c>
      <c r="L2609">
        <v>120540</v>
      </c>
      <c r="M2609">
        <v>120760</v>
      </c>
      <c r="N2609">
        <v>6568400</v>
      </c>
      <c r="O2609">
        <v>120760</v>
      </c>
      <c r="P2609">
        <v>-5.7962854090987101E-5</v>
      </c>
      <c r="Q2609">
        <v>-5.79645340021296E-5</v>
      </c>
      <c r="R2609" s="8">
        <v>1.87000000476837</v>
      </c>
      <c r="S2609" s="8">
        <v>-1.5789458824326599E-2</v>
      </c>
      <c r="T2609" s="9">
        <v>-1.5915440207621801E-2</v>
      </c>
      <c r="U2609" s="12">
        <v>4.0168000000000002E-2</v>
      </c>
      <c r="V2609" s="16">
        <v>5.1184000000000003</v>
      </c>
      <c r="W2609" s="17">
        <f t="shared" si="40"/>
        <v>-1.0325225260064186E-2</v>
      </c>
    </row>
    <row r="2610" spans="1:23" x14ac:dyDescent="0.2">
      <c r="A2610" s="14">
        <v>45372</v>
      </c>
      <c r="B2610" s="3">
        <v>-670812395305782</v>
      </c>
      <c r="C2610" s="3">
        <f>[1]!nefin_factors__1[[#This Row],[Rm_minus_Rf]]/B2609-1</f>
        <v>-6.602501986066426</v>
      </c>
      <c r="D2610" s="3">
        <v>-105376918872219</v>
      </c>
      <c r="E2610" s="3">
        <f>[1]!nefin_factors__1[[#This Row],[SMB]]/D2609-1</f>
        <v>-1.6671436152146613</v>
      </c>
      <c r="F2610" s="3">
        <v>-218754772190497</v>
      </c>
      <c r="G2610" s="3">
        <f>[1]!nefin_factors__1[[#This Row],[HML]]/F2609-1</f>
        <v>-0.31869416892134805</v>
      </c>
      <c r="H2610" s="3">
        <v>401675413897573</v>
      </c>
      <c r="I2610" s="4">
        <f>[1]!nefin_factors__1[[#This Row],[Risk_Free]]/H2609-1</f>
        <v>-2.6720698329384396E-3</v>
      </c>
      <c r="J2610">
        <v>120760</v>
      </c>
      <c r="K2610">
        <v>121759</v>
      </c>
      <c r="L2610">
        <v>120757</v>
      </c>
      <c r="M2610">
        <v>121635</v>
      </c>
      <c r="N2610">
        <v>7477000</v>
      </c>
      <c r="O2610">
        <v>121635</v>
      </c>
      <c r="P2610">
        <v>7.2457767472673398E-3</v>
      </c>
      <c r="Q2610">
        <v>7.21965222599229E-3</v>
      </c>
      <c r="R2610" s="8">
        <v>1.9299999475479099</v>
      </c>
      <c r="S2610" s="8">
        <v>3.2085530816334397E-2</v>
      </c>
      <c r="T2610" s="9">
        <v>3.1581542323119903E-2</v>
      </c>
      <c r="U2610" s="12">
        <v>4.0168000000000002E-2</v>
      </c>
      <c r="V2610" s="16">
        <v>5.0667999999999997</v>
      </c>
      <c r="W2610" s="17">
        <f t="shared" si="40"/>
        <v>-1.0081275398562184E-2</v>
      </c>
    </row>
    <row r="2611" spans="1:23" x14ac:dyDescent="0.2">
      <c r="A2611" s="15">
        <v>45373</v>
      </c>
      <c r="B2611" s="5">
        <v>-859617091039862</v>
      </c>
      <c r="C2611" s="5">
        <f>[1]!nefin_factors__1[[#This Row],[Rm_minus_Rf]]/B2610-1</f>
        <v>0.28145677846041517</v>
      </c>
      <c r="D2611" s="5">
        <v>-691130576721171</v>
      </c>
      <c r="E2611" s="5">
        <f>[1]!nefin_factors__1[[#This Row],[SMB]]/D2610-1</f>
        <v>5.5586523511779857</v>
      </c>
      <c r="F2611" s="5">
        <v>-236119798981631</v>
      </c>
      <c r="G2611" s="5">
        <f>[1]!nefin_factors__1[[#This Row],[HML]]/F2610-1</f>
        <v>7.9381247856902037E-2</v>
      </c>
      <c r="H2611" s="5">
        <v>402034172980459</v>
      </c>
      <c r="I2611" s="6">
        <f>[1]!nefin_factors__1[[#This Row],[Risk_Free]]/H2610-1</f>
        <v>8.9315668938971804E-4</v>
      </c>
      <c r="J2611">
        <v>121644</v>
      </c>
      <c r="K2611">
        <v>122483</v>
      </c>
      <c r="L2611">
        <v>119544</v>
      </c>
      <c r="M2611">
        <v>119936</v>
      </c>
      <c r="N2611">
        <v>11278800</v>
      </c>
      <c r="O2611">
        <v>119936</v>
      </c>
      <c r="P2611">
        <v>-1.39680190734575E-2</v>
      </c>
      <c r="Q2611">
        <v>-1.4066489888728001E-2</v>
      </c>
      <c r="R2611" s="8">
        <v>1.8999999761581401</v>
      </c>
      <c r="S2611" s="8">
        <v>-1.5544027049267901E-2</v>
      </c>
      <c r="T2611" s="9">
        <v>-1.5666102115498001E-2</v>
      </c>
      <c r="U2611" s="12">
        <v>4.0168000000000002E-2</v>
      </c>
      <c r="V2611" s="16">
        <v>5.0727000000000002</v>
      </c>
      <c r="W2611" s="17">
        <f t="shared" si="40"/>
        <v>1.1644430409727402E-3</v>
      </c>
    </row>
    <row r="2612" spans="1:23" x14ac:dyDescent="0.2">
      <c r="A2612" s="14">
        <v>45376</v>
      </c>
      <c r="B2612" s="3">
        <v>-299953189461656</v>
      </c>
      <c r="C2612" s="3">
        <f>[1]!nefin_factors__1[[#This Row],[Rm_minus_Rf]]/B2611-1</f>
        <v>-0.65106185929969296</v>
      </c>
      <c r="D2612" s="3">
        <v>-868813496285426</v>
      </c>
      <c r="E2612" s="3">
        <f>[1]!nefin_factors__1[[#This Row],[SMB]]/D2611-1</f>
        <v>0.25709023091875038</v>
      </c>
      <c r="F2612" s="3">
        <v>-766933764938967</v>
      </c>
      <c r="G2612" s="3">
        <f>[1]!nefin_factors__1[[#This Row],[HML]]/F2611-1</f>
        <v>2.24807054828397</v>
      </c>
      <c r="H2612" s="3">
        <v>402034172980459</v>
      </c>
      <c r="I2612" s="4">
        <f>[1]!nefin_factors__1[[#This Row],[Risk_Free]]/H2611-1</f>
        <v>0</v>
      </c>
      <c r="J2612">
        <v>119936</v>
      </c>
      <c r="K2612">
        <v>120222</v>
      </c>
      <c r="L2612">
        <v>119171</v>
      </c>
      <c r="M2612">
        <v>119568</v>
      </c>
      <c r="N2612">
        <v>8543000</v>
      </c>
      <c r="O2612">
        <v>119568</v>
      </c>
      <c r="P2612">
        <v>-3.06830309498396E-3</v>
      </c>
      <c r="Q2612">
        <v>-3.0730199879679702E-3</v>
      </c>
      <c r="R2612" s="8">
        <v>1.9299999475479099</v>
      </c>
      <c r="S2612" s="8">
        <v>1.5789458824326599E-2</v>
      </c>
      <c r="T2612" s="9">
        <v>1.5666102115498001E-2</v>
      </c>
      <c r="U2612" s="12">
        <v>4.0168000000000002E-2</v>
      </c>
      <c r="V2612" s="16">
        <v>5.0609999999999999</v>
      </c>
      <c r="W2612" s="17">
        <f t="shared" si="40"/>
        <v>-2.3064640132474112E-3</v>
      </c>
    </row>
    <row r="2613" spans="1:23" x14ac:dyDescent="0.2">
      <c r="A2613" s="15">
        <v>45377</v>
      </c>
      <c r="B2613" s="5">
        <v>-114314712192985</v>
      </c>
      <c r="C2613" s="5">
        <f>[1]!nefin_factors__1[[#This Row],[Rm_minus_Rf]]/B2612-1</f>
        <v>-0.61889149304212276</v>
      </c>
      <c r="D2613" s="5">
        <v>648463458908135</v>
      </c>
      <c r="E2613" s="5">
        <f>[1]!nefin_factors__1[[#This Row],[SMB]]/D2612-1</f>
        <v>-1.7463782062325368</v>
      </c>
      <c r="F2613" s="5">
        <v>287184169653025</v>
      </c>
      <c r="G2613" s="5">
        <f>[1]!nefin_factors__1[[#This Row],[HML]]/F2612-1</f>
        <v>-1.3744575904489995</v>
      </c>
      <c r="H2613" s="5">
        <v>402034172980459</v>
      </c>
      <c r="I2613" s="6">
        <f>[1]!nefin_factors__1[[#This Row],[Risk_Free]]/H2612-1</f>
        <v>0</v>
      </c>
      <c r="J2613">
        <v>119558</v>
      </c>
      <c r="K2613">
        <v>120214</v>
      </c>
      <c r="L2613">
        <v>118828</v>
      </c>
      <c r="M2613">
        <v>119662</v>
      </c>
      <c r="N2613">
        <v>7847600</v>
      </c>
      <c r="O2613">
        <v>119662</v>
      </c>
      <c r="P2613">
        <v>7.8616352201255101E-4</v>
      </c>
      <c r="Q2613">
        <v>7.8585465733903802E-4</v>
      </c>
      <c r="R2613" s="8">
        <v>2.0099999904632599</v>
      </c>
      <c r="S2613" s="8">
        <v>4.1450800564520898E-2</v>
      </c>
      <c r="T2613" s="9">
        <v>4.0614741586789599E-2</v>
      </c>
      <c r="U2613" s="12">
        <v>4.0168000000000002E-2</v>
      </c>
      <c r="V2613" s="16">
        <v>5.0887000000000002</v>
      </c>
      <c r="W2613" s="17">
        <f t="shared" si="40"/>
        <v>5.4732266350523417E-3</v>
      </c>
    </row>
    <row r="2614" spans="1:23" x14ac:dyDescent="0.2">
      <c r="A2614" s="14">
        <v>45378</v>
      </c>
      <c r="B2614" s="3">
        <v>662310984919897</v>
      </c>
      <c r="C2614" s="3">
        <f>[1]!nefin_factors__1[[#This Row],[Rm_minus_Rf]]/B2613-1</f>
        <v>-6.7937510598092565</v>
      </c>
      <c r="D2614" s="3">
        <v>-376673828481609</v>
      </c>
      <c r="E2614" s="3">
        <f>[1]!nefin_factors__1[[#This Row],[SMB]]/D2613-1</f>
        <v>-1.5808713248327702</v>
      </c>
      <c r="F2614" s="3">
        <v>-27439997910588</v>
      </c>
      <c r="G2614" s="3">
        <f>[1]!nefin_factors__1[[#This Row],[HML]]/F2613-1</f>
        <v>-1.0955484348031472</v>
      </c>
      <c r="H2614" s="3">
        <v>401675413897573</v>
      </c>
      <c r="I2614" s="4">
        <f>[1]!nefin_factors__1[[#This Row],[Risk_Free]]/H2613-1</f>
        <v>-8.9235967237899505E-4</v>
      </c>
      <c r="J2614">
        <v>119663</v>
      </c>
      <c r="K2614">
        <v>119663</v>
      </c>
      <c r="L2614">
        <v>118685</v>
      </c>
      <c r="M2614">
        <v>119138</v>
      </c>
      <c r="N2614">
        <v>7380600</v>
      </c>
      <c r="O2614">
        <v>119138</v>
      </c>
      <c r="P2614">
        <v>-4.3790008524009503E-3</v>
      </c>
      <c r="Q2614">
        <v>-4.3886167589435301E-3</v>
      </c>
      <c r="R2614" s="8">
        <v>2.0199999809265101</v>
      </c>
      <c r="S2614" s="8">
        <v>4.9751196570662097E-3</v>
      </c>
      <c r="T2614" s="9">
        <v>4.9627846444572502E-3</v>
      </c>
      <c r="U2614" s="12">
        <v>3.9269999999999999E-2</v>
      </c>
      <c r="V2614" s="16">
        <v>5.1577000000000002</v>
      </c>
      <c r="W2614" s="17">
        <f t="shared" si="40"/>
        <v>1.3559455263623343E-2</v>
      </c>
    </row>
    <row r="2615" spans="1:23" x14ac:dyDescent="0.2">
      <c r="A2615" s="15">
        <v>45379</v>
      </c>
      <c r="B2615" s="5">
        <v>271547675735592</v>
      </c>
      <c r="C2615" s="5">
        <f>[1]!nefin_factors__1[[#This Row],[Rm_minus_Rf]]/B2614-1</f>
        <v>-0.58999974042641878</v>
      </c>
      <c r="D2615" s="5">
        <v>180669229127228</v>
      </c>
      <c r="E2615" s="5">
        <f>[1]!nefin_factors__1[[#This Row],[SMB]]/D2614-1</f>
        <v>-1.479643700905674</v>
      </c>
      <c r="F2615" s="5">
        <v>978252399494296</v>
      </c>
      <c r="G2615" s="5">
        <f>[1]!nefin_factors__1[[#This Row],[HML]]/F2614-1</f>
        <v>-36.650600363815165</v>
      </c>
      <c r="H2615" s="5">
        <v>402034172980459</v>
      </c>
      <c r="I2615" s="6">
        <f>[1]!nefin_factors__1[[#This Row],[Risk_Free]]/H2614-1</f>
        <v>8.9315668938971804E-4</v>
      </c>
      <c r="J2615">
        <v>119138</v>
      </c>
      <c r="K2615">
        <v>120109</v>
      </c>
      <c r="L2615">
        <v>118872</v>
      </c>
      <c r="M2615">
        <v>119630</v>
      </c>
      <c r="N2615">
        <v>8100100</v>
      </c>
      <c r="O2615">
        <v>119630</v>
      </c>
      <c r="P2615">
        <v>4.1296647585153902E-3</v>
      </c>
      <c r="Q2615">
        <v>4.1211610964830298E-3</v>
      </c>
      <c r="R2615" s="8">
        <v>1.9099999666214</v>
      </c>
      <c r="S2615" s="8">
        <v>-5.4455453140480302E-2</v>
      </c>
      <c r="T2615" s="9">
        <v>-5.59942773879624E-2</v>
      </c>
      <c r="U2615" s="12">
        <v>3.9269999999999999E-2</v>
      </c>
      <c r="V2615" s="16">
        <v>5.1463999999999999</v>
      </c>
      <c r="W2615" s="17">
        <f t="shared" si="40"/>
        <v>-2.1908990441475984E-3</v>
      </c>
    </row>
    <row r="2616" spans="1:23" x14ac:dyDescent="0.2">
      <c r="A2616" s="14">
        <v>45383</v>
      </c>
      <c r="B2616" s="3">
        <v>-917413879564647</v>
      </c>
      <c r="C2616" s="3">
        <f>[1]!nefin_factors__1[[#This Row],[Rm_minus_Rf]]/B2615-1</f>
        <v>-4.3784633843006624</v>
      </c>
      <c r="D2616" s="3">
        <v>-314136649919534</v>
      </c>
      <c r="E2616" s="3">
        <f>[1]!nefin_factors__1[[#This Row],[SMB]]/D2615-1</f>
        <v>-2.7387390837778893</v>
      </c>
      <c r="F2616" s="3">
        <v>10009291406729</v>
      </c>
      <c r="G2616" s="3">
        <f>[1]!nefin_factors__1[[#This Row],[HML]]/F2615-1</f>
        <v>-0.98976819130532845</v>
      </c>
      <c r="H2616" s="3">
        <v>402034172980459</v>
      </c>
      <c r="I2616" s="4">
        <f>[1]!nefin_factors__1[[#This Row],[Risk_Free]]/H2615-1</f>
        <v>0</v>
      </c>
      <c r="J2616">
        <v>119630</v>
      </c>
      <c r="K2616">
        <v>120383</v>
      </c>
      <c r="L2616">
        <v>118960</v>
      </c>
      <c r="M2616">
        <v>120261</v>
      </c>
      <c r="N2616">
        <v>5646300</v>
      </c>
      <c r="O2616">
        <v>120261</v>
      </c>
      <c r="P2616">
        <v>5.27459667307539E-3</v>
      </c>
      <c r="Q2616">
        <v>5.2607347108513799E-3</v>
      </c>
      <c r="R2616" s="8">
        <v>1.8899999856948899</v>
      </c>
      <c r="S2616" s="8">
        <v>-1.0471194385354699E-2</v>
      </c>
      <c r="T2616" s="9">
        <v>-1.05264030801238E-2</v>
      </c>
      <c r="U2616" s="12">
        <v>3.9269999999999999E-2</v>
      </c>
      <c r="V2616" s="16">
        <v>5.1412000000000004</v>
      </c>
      <c r="W2616" s="17">
        <f t="shared" si="40"/>
        <v>-1.0104150474116169E-3</v>
      </c>
    </row>
    <row r="2617" spans="1:23" x14ac:dyDescent="0.2">
      <c r="A2617" s="15">
        <v>45384</v>
      </c>
      <c r="B2617" s="5">
        <v>255021080063379</v>
      </c>
      <c r="C2617" s="5">
        <f>[1]!nefin_factors__1[[#This Row],[Rm_minus_Rf]]/B2616-1</f>
        <v>-1.2779782230724455</v>
      </c>
      <c r="D2617" s="5">
        <v>140419908948974</v>
      </c>
      <c r="E2617" s="5">
        <f>[1]!nefin_factors__1[[#This Row],[SMB]]/D2616-1</f>
        <v>-1.4470026308135091</v>
      </c>
      <c r="F2617" s="5">
        <v>-168275565362318</v>
      </c>
      <c r="G2617" s="5">
        <f>[1]!nefin_factors__1[[#This Row],[HML]]/F2616-1</f>
        <v>-17.811935882812893</v>
      </c>
      <c r="H2617" s="5">
        <v>402034172980459</v>
      </c>
      <c r="I2617" s="6">
        <f>[1]!nefin_factors__1[[#This Row],[Risk_Free]]/H2616-1</f>
        <v>0</v>
      </c>
      <c r="J2617">
        <v>120267</v>
      </c>
      <c r="K2617">
        <v>121607</v>
      </c>
      <c r="L2617">
        <v>120156</v>
      </c>
      <c r="M2617">
        <v>120446</v>
      </c>
      <c r="N2617">
        <v>8659500</v>
      </c>
      <c r="O2617">
        <v>120446</v>
      </c>
      <c r="P2617">
        <v>1.5383208188854999E-3</v>
      </c>
      <c r="Q2617">
        <v>1.5371388154596401E-3</v>
      </c>
      <c r="R2617" s="8">
        <v>1.9099999666214</v>
      </c>
      <c r="S2617" s="8">
        <v>1.05820005703123E-2</v>
      </c>
      <c r="T2617" s="9">
        <v>1.0526403080123699E-2</v>
      </c>
      <c r="U2617" s="12">
        <v>3.9269999999999999E-2</v>
      </c>
      <c r="V2617" s="16">
        <v>5.1356000000000002</v>
      </c>
      <c r="W2617" s="17">
        <f t="shared" si="40"/>
        <v>-1.089239866179148E-3</v>
      </c>
    </row>
    <row r="2618" spans="1:23" x14ac:dyDescent="0.2">
      <c r="A2618" s="14">
        <v>45385</v>
      </c>
      <c r="B2618" s="3">
        <v>-178571862441709</v>
      </c>
      <c r="C2618" s="3">
        <f>[1]!nefin_factors__1[[#This Row],[Rm_minus_Rf]]/B2617-1</f>
        <v>-1.7002239281448008</v>
      </c>
      <c r="D2618" s="3">
        <v>-132101300649762</v>
      </c>
      <c r="E2618" s="3">
        <f>[1]!nefin_factors__1[[#This Row],[SMB]]/D2617-1</f>
        <v>-1.9407590536023291</v>
      </c>
      <c r="F2618" s="3">
        <v>174906287446918</v>
      </c>
      <c r="G2618" s="3">
        <f>[1]!nefin_factors__1[[#This Row],[HML]]/F2617-1</f>
        <v>-2.0394039507181168</v>
      </c>
      <c r="H2618" s="3">
        <v>401316622518966</v>
      </c>
      <c r="I2618" s="4">
        <f>[1]!nefin_factors__1[[#This Row],[Risk_Free]]/H2617-1</f>
        <v>-1.7847996755436801E-3</v>
      </c>
      <c r="J2618">
        <v>120446</v>
      </c>
      <c r="K2618">
        <v>121580</v>
      </c>
      <c r="L2618">
        <v>120061</v>
      </c>
      <c r="M2618">
        <v>121341</v>
      </c>
      <c r="N2618">
        <v>12906900</v>
      </c>
      <c r="O2618">
        <v>121341</v>
      </c>
      <c r="P2618">
        <v>7.4307158394633097E-3</v>
      </c>
      <c r="Q2618">
        <v>7.4032440764913096E-3</v>
      </c>
      <c r="R2618" s="8">
        <v>1.8999999761581401</v>
      </c>
      <c r="S2618" s="8">
        <v>-5.2355971926773002E-3</v>
      </c>
      <c r="T2618" s="9">
        <v>-5.2493509587825003E-3</v>
      </c>
      <c r="U2618" s="12">
        <v>3.9269999999999999E-2</v>
      </c>
      <c r="V2618" s="16">
        <v>5.1422999999999996</v>
      </c>
      <c r="W2618" s="17">
        <f t="shared" si="40"/>
        <v>1.3046187397771636E-3</v>
      </c>
    </row>
    <row r="2619" spans="1:23" x14ac:dyDescent="0.2">
      <c r="A2619" s="15">
        <v>45386</v>
      </c>
      <c r="B2619" s="5">
        <v>147112091659265</v>
      </c>
      <c r="C2619" s="5">
        <f>[1]!nefin_factors__1[[#This Row],[Rm_minus_Rf]]/B2618-1</f>
        <v>-1.8238257116643257</v>
      </c>
      <c r="D2619" s="5">
        <v>-929515992556196</v>
      </c>
      <c r="E2619" s="5">
        <f>[1]!nefin_factors__1[[#This Row],[SMB]]/D2618-1</f>
        <v>6.0363878931109571</v>
      </c>
      <c r="F2619" s="5">
        <v>-428117546694681</v>
      </c>
      <c r="G2619" s="5">
        <f>[1]!nefin_factors__1[[#This Row],[HML]]/F2618-1</f>
        <v>-3.4476967234503197</v>
      </c>
      <c r="H2619" s="5">
        <v>401675413897573</v>
      </c>
      <c r="I2619" s="6">
        <f>[1]!nefin_factors__1[[#This Row],[Risk_Free]]/H2618-1</f>
        <v>8.9403567775225845E-4</v>
      </c>
      <c r="J2619">
        <v>121343</v>
      </c>
      <c r="K2619">
        <v>122840</v>
      </c>
      <c r="L2619">
        <v>121307</v>
      </c>
      <c r="M2619">
        <v>122637</v>
      </c>
      <c r="N2619">
        <v>7836100</v>
      </c>
      <c r="O2619">
        <v>122637</v>
      </c>
      <c r="P2619">
        <v>1.0680643805473801E-2</v>
      </c>
      <c r="Q2619">
        <v>1.0624008639217499E-2</v>
      </c>
      <c r="R2619" s="8">
        <v>1.9700000286102299</v>
      </c>
      <c r="S2619" s="8">
        <v>3.6842133331827599E-2</v>
      </c>
      <c r="T2619" s="9">
        <v>3.6179683648807803E-2</v>
      </c>
      <c r="U2619" s="12">
        <v>3.9269999999999999E-2</v>
      </c>
      <c r="V2619" s="16">
        <v>5.1269999999999998</v>
      </c>
      <c r="W2619" s="17">
        <f t="shared" si="40"/>
        <v>-2.9753223265853723E-3</v>
      </c>
    </row>
    <row r="2620" spans="1:23" x14ac:dyDescent="0.2">
      <c r="A2620" s="14">
        <v>45387</v>
      </c>
      <c r="B2620" s="3">
        <v>-5520596724901</v>
      </c>
      <c r="C2620" s="3">
        <f>[1]!nefin_factors__1[[#This Row],[Rm_minus_Rf]]/B2619-1</f>
        <v>-1.0375264647700584</v>
      </c>
      <c r="D2620" s="3">
        <v>528123998768114</v>
      </c>
      <c r="E2620" s="3">
        <f>[1]!nefin_factors__1[[#This Row],[SMB]]/D2619-1</f>
        <v>-1.568170965316861</v>
      </c>
      <c r="F2620" s="3">
        <v>-275548231267311</v>
      </c>
      <c r="G2620" s="3">
        <f>[1]!nefin_factors__1[[#This Row],[HML]]/F2619-1</f>
        <v>-0.35637248836282176</v>
      </c>
      <c r="H2620" s="3">
        <v>400957798838641</v>
      </c>
      <c r="I2620" s="4">
        <f>[1]!nefin_factors__1[[#This Row],[Risk_Free]]/H2619-1</f>
        <v>-1.7865546013104971E-3</v>
      </c>
      <c r="J2620">
        <v>122804</v>
      </c>
      <c r="K2620">
        <v>122849</v>
      </c>
      <c r="L2620">
        <v>121997</v>
      </c>
      <c r="M2620">
        <v>122331</v>
      </c>
      <c r="N2620">
        <v>6942900</v>
      </c>
      <c r="O2620">
        <v>122331</v>
      </c>
      <c r="P2620">
        <v>-2.4951686685095202E-3</v>
      </c>
      <c r="Q2620">
        <v>-2.4982867897572398E-3</v>
      </c>
      <c r="R2620" s="8">
        <v>1.91999995708466</v>
      </c>
      <c r="S2620" s="8">
        <v>-2.5380746598692699E-2</v>
      </c>
      <c r="T2620" s="9">
        <v>-2.5708393584908E-2</v>
      </c>
      <c r="U2620" s="12">
        <v>3.9269999999999999E-2</v>
      </c>
      <c r="V2620" s="16">
        <v>5.1157000000000004</v>
      </c>
      <c r="W2620" s="17">
        <f t="shared" si="40"/>
        <v>-2.2040179442167629E-3</v>
      </c>
    </row>
    <row r="2621" spans="1:23" x14ac:dyDescent="0.2">
      <c r="A2621" s="15">
        <v>45390</v>
      </c>
      <c r="B2621" s="5">
        <v>127646791182169</v>
      </c>
      <c r="C2621" s="5">
        <f>[1]!nefin_factors__1[[#This Row],[Rm_minus_Rf]]/B2620-1</f>
        <v>-24.121919158921731</v>
      </c>
      <c r="D2621" s="5">
        <v>111161490290966</v>
      </c>
      <c r="E2621" s="5">
        <f>[1]!nefin_factors__1[[#This Row],[SMB]]/D2620-1</f>
        <v>-0.78951630573452847</v>
      </c>
      <c r="F2621" s="5">
        <v>1362920356541</v>
      </c>
      <c r="G2621" s="5">
        <f>[1]!nefin_factors__1[[#This Row],[HML]]/F2620-1</f>
        <v>-1.0049462134097997</v>
      </c>
      <c r="H2621" s="5">
        <v>399522180986711</v>
      </c>
      <c r="I2621" s="6">
        <f>[1]!nefin_factors__1[[#This Row],[Risk_Free]]/H2620-1</f>
        <v>-3.5804712019275042E-3</v>
      </c>
      <c r="J2621">
        <v>122331</v>
      </c>
      <c r="K2621">
        <v>122701</v>
      </c>
      <c r="L2621">
        <v>121402</v>
      </c>
      <c r="M2621">
        <v>122641</v>
      </c>
      <c r="N2621">
        <v>8178800</v>
      </c>
      <c r="O2621">
        <v>122641</v>
      </c>
      <c r="P2621">
        <v>2.53410827999434E-3</v>
      </c>
      <c r="Q2621">
        <v>2.5309028417499998E-3</v>
      </c>
      <c r="R2621" s="8">
        <v>1.8999999761581401</v>
      </c>
      <c r="S2621" s="8">
        <v>-1.04166569653896E-2</v>
      </c>
      <c r="T2621" s="9">
        <v>-1.0471290063899699E-2</v>
      </c>
      <c r="U2621" s="12">
        <v>3.9269999999999999E-2</v>
      </c>
      <c r="V2621" s="16">
        <v>5.1085000000000003</v>
      </c>
      <c r="W2621" s="17">
        <f t="shared" si="40"/>
        <v>-1.4074320229880977E-3</v>
      </c>
    </row>
    <row r="2622" spans="1:23" x14ac:dyDescent="0.2">
      <c r="A2622" s="14">
        <v>45391</v>
      </c>
      <c r="B2622" s="3">
        <v>844272446769906</v>
      </c>
      <c r="C2622" s="3">
        <f>[1]!nefin_factors__1[[#This Row],[Rm_minus_Rf]]/B2621-1</f>
        <v>5.6141298104784836</v>
      </c>
      <c r="D2622" s="3">
        <v>480179204773306</v>
      </c>
      <c r="E2622" s="3">
        <f>[1]!nefin_factors__1[[#This Row],[SMB]]/D2621-1</f>
        <v>3.3196542572111394</v>
      </c>
      <c r="F2622" s="3">
        <v>405352347551125</v>
      </c>
      <c r="G2622" s="3">
        <f>[1]!nefin_factors__1[[#This Row],[HML]]/F2621-1</f>
        <v>296.41455221923746</v>
      </c>
      <c r="H2622" s="3">
        <v>39880417810001</v>
      </c>
      <c r="I2622" s="4">
        <f>[1]!nefin_factors__1[[#This Row],[Risk_Free]]/H2621-1</f>
        <v>-0.90017971540026331</v>
      </c>
      <c r="J2622">
        <v>122642</v>
      </c>
      <c r="K2622">
        <v>124308</v>
      </c>
      <c r="L2622">
        <v>122642</v>
      </c>
      <c r="M2622">
        <v>124308</v>
      </c>
      <c r="N2622">
        <v>8707300</v>
      </c>
      <c r="O2622">
        <v>124308</v>
      </c>
      <c r="P2622">
        <v>1.35925179996901E-2</v>
      </c>
      <c r="Q2622">
        <v>1.3500968387139701E-2</v>
      </c>
      <c r="R2622" s="8">
        <v>2.0099999904632599</v>
      </c>
      <c r="S2622" s="8">
        <v>5.7894745097596401E-2</v>
      </c>
      <c r="T2622" s="9">
        <v>5.6280843702287697E-2</v>
      </c>
      <c r="U2622" s="12">
        <v>3.9269999999999999E-2</v>
      </c>
      <c r="V2622" s="16">
        <v>5.1036999999999999</v>
      </c>
      <c r="W2622" s="17">
        <f t="shared" si="40"/>
        <v>-9.3961045316637293E-4</v>
      </c>
    </row>
    <row r="2623" spans="1:23" x14ac:dyDescent="0.2">
      <c r="A2623" s="15">
        <v>45392</v>
      </c>
      <c r="B2623" s="5">
        <v>-146272973832037</v>
      </c>
      <c r="C2623" s="5">
        <f>[1]!nefin_factors__1[[#This Row],[Rm_minus_Rf]]/B2622-1</f>
        <v>-1.1732532838086347</v>
      </c>
      <c r="D2623" s="5">
        <v>-259569747739411</v>
      </c>
      <c r="E2623" s="5">
        <f>[1]!nefin_factors__1[[#This Row],[SMB]]/D2622-1</f>
        <v>-1.5405684901784837</v>
      </c>
      <c r="F2623" s="5">
        <v>-23348121393716</v>
      </c>
      <c r="G2623" s="5">
        <f>[1]!nefin_factors__1[[#This Row],[HML]]/F2622-1</f>
        <v>-1.0575995711749793</v>
      </c>
      <c r="H2623" s="5">
        <v>398445128146241</v>
      </c>
      <c r="I2623" s="6">
        <f>[1]!nefin_factors__1[[#This Row],[Risk_Free]]/H2622-1</f>
        <v>8.9909968357031875</v>
      </c>
      <c r="J2623">
        <v>124308</v>
      </c>
      <c r="K2623">
        <v>124500</v>
      </c>
      <c r="L2623">
        <v>123298</v>
      </c>
      <c r="M2623">
        <v>123907</v>
      </c>
      <c r="N2623">
        <v>9070800</v>
      </c>
      <c r="O2623">
        <v>123907</v>
      </c>
      <c r="P2623">
        <v>-3.2258583518357501E-3</v>
      </c>
      <c r="Q2623">
        <v>-3.2310726496325602E-3</v>
      </c>
      <c r="R2623" s="8">
        <v>1.96000003814697</v>
      </c>
      <c r="S2623" s="8">
        <v>-2.48755982853315E-2</v>
      </c>
      <c r="T2623" s="9">
        <v>-2.51902246211692E-2</v>
      </c>
      <c r="U2623" s="12">
        <v>3.9269999999999999E-2</v>
      </c>
      <c r="V2623" s="16">
        <v>5.1501999999999999</v>
      </c>
      <c r="W2623" s="17">
        <f t="shared" si="40"/>
        <v>9.1110370907381277E-3</v>
      </c>
    </row>
    <row r="2624" spans="1:23" x14ac:dyDescent="0.2">
      <c r="A2624" s="14">
        <v>45393</v>
      </c>
      <c r="B2624" s="3">
        <v>-497389054145895</v>
      </c>
      <c r="C2624" s="3">
        <f>[1]!nefin_factors__1[[#This Row],[Rm_minus_Rf]]/B2623-1</f>
        <v>2.4004166396250288</v>
      </c>
      <c r="D2624" s="3">
        <v>-14314312914658</v>
      </c>
      <c r="E2624" s="3">
        <f>[1]!nefin_factors__1[[#This Row],[SMB]]/D2623-1</f>
        <v>-0.94485369331626223</v>
      </c>
      <c r="F2624" s="3">
        <v>-855472822538396</v>
      </c>
      <c r="G2624" s="3">
        <f>[1]!nefin_factors__1[[#This Row],[HML]]/F2623-1</f>
        <v>35.639899549633192</v>
      </c>
      <c r="H2624" s="3">
        <v>398445128146241</v>
      </c>
      <c r="I2624" s="4">
        <f>[1]!nefin_factors__1[[#This Row],[Risk_Free]]/H2623-1</f>
        <v>0</v>
      </c>
      <c r="J2624">
        <v>123905</v>
      </c>
      <c r="K2624">
        <v>125220</v>
      </c>
      <c r="L2624">
        <v>123735</v>
      </c>
      <c r="M2624">
        <v>124718</v>
      </c>
      <c r="N2624">
        <v>0</v>
      </c>
      <c r="O2624">
        <v>124718</v>
      </c>
      <c r="P2624">
        <v>6.54523150427333E-3</v>
      </c>
      <c r="Q2624">
        <v>6.5239044861497503E-3</v>
      </c>
      <c r="R2624" s="8">
        <v>1.95000004768372</v>
      </c>
      <c r="S2624" s="8">
        <v>-5.1020358513416096E-3</v>
      </c>
      <c r="T2624" s="9">
        <v>-5.1150956763240602E-3</v>
      </c>
      <c r="U2624" s="12">
        <v>3.9269999999999999E-2</v>
      </c>
      <c r="V2624" s="16">
        <v>5.1443000000000003</v>
      </c>
      <c r="W2624" s="17">
        <f t="shared" si="40"/>
        <v>-1.1455865791618614E-3</v>
      </c>
    </row>
    <row r="2625" spans="1:23" x14ac:dyDescent="0.2">
      <c r="A2625" s="15">
        <v>45394</v>
      </c>
      <c r="B2625" s="5">
        <v>-130524300769886</v>
      </c>
      <c r="C2625" s="5">
        <f>[1]!nefin_factors__1[[#This Row],[Rm_minus_Rf]]/B2624-1</f>
        <v>-0.73758107525301431</v>
      </c>
      <c r="D2625" s="5">
        <v>-20533067173229</v>
      </c>
      <c r="E2625" s="5">
        <f>[1]!nefin_factors__1[[#This Row],[SMB]]/D2624-1</f>
        <v>0.43444308473953597</v>
      </c>
      <c r="F2625" s="5">
        <v>-936378103548681</v>
      </c>
      <c r="G2625" s="5">
        <f>[1]!nefin_factors__1[[#This Row],[HML]]/F2624-1</f>
        <v>9.457375953828584E-2</v>
      </c>
      <c r="H2625" s="5">
        <v>398086045844126</v>
      </c>
      <c r="I2625" s="6">
        <f>[1]!nefin_factors__1[[#This Row],[Risk_Free]]/H2624-1</f>
        <v>-9.0120891623302057E-4</v>
      </c>
      <c r="J2625">
        <v>124720</v>
      </c>
      <c r="K2625">
        <v>125491</v>
      </c>
      <c r="L2625">
        <v>124310</v>
      </c>
      <c r="M2625">
        <v>124787</v>
      </c>
      <c r="N2625">
        <v>8368000</v>
      </c>
      <c r="O2625">
        <v>124787</v>
      </c>
      <c r="P2625">
        <v>5.5324812777635102E-4</v>
      </c>
      <c r="Q2625">
        <v>5.5309514245420195E-4</v>
      </c>
      <c r="R2625" s="8">
        <v>1.79999995231628</v>
      </c>
      <c r="S2625" s="8">
        <v>-7.6923123948436603E-2</v>
      </c>
      <c r="T2625" s="9">
        <v>-8.0042758617677401E-2</v>
      </c>
      <c r="U2625" s="12">
        <v>3.9269999999999999E-2</v>
      </c>
      <c r="V2625" s="16">
        <v>5.1508000000000003</v>
      </c>
      <c r="W2625" s="17">
        <f t="shared" si="40"/>
        <v>1.2635343972939861E-3</v>
      </c>
    </row>
    <row r="2626" spans="1:23" x14ac:dyDescent="0.2">
      <c r="A2626" s="14">
        <v>45397</v>
      </c>
      <c r="B2626" s="3">
        <v>-723945987601036</v>
      </c>
      <c r="C2626" s="3">
        <f>[1]!nefin_factors__1[[#This Row],[Rm_minus_Rf]]/B2625-1</f>
        <v>4.5464460129715683</v>
      </c>
      <c r="D2626" s="3">
        <v>-271067511510222</v>
      </c>
      <c r="E2626" s="3">
        <f>[1]!nefin_factors__1[[#This Row],[SMB]]/D2625-1</f>
        <v>12.201510968786955</v>
      </c>
      <c r="F2626" s="3">
        <v>599766704545191</v>
      </c>
      <c r="G2626" s="3">
        <f>[1]!nefin_factors__1[[#This Row],[HML]]/F2625-1</f>
        <v>-1.640517652294728</v>
      </c>
      <c r="H2626" s="3">
        <v>397008604790861</v>
      </c>
      <c r="I2626" s="4">
        <f>[1]!nefin_factors__1[[#This Row],[Risk_Free]]/H2625-1</f>
        <v>-2.7065531799295162E-3</v>
      </c>
      <c r="J2626">
        <v>124787</v>
      </c>
      <c r="K2626">
        <v>126581</v>
      </c>
      <c r="L2626">
        <v>124787</v>
      </c>
      <c r="M2626">
        <v>125662</v>
      </c>
      <c r="N2626">
        <v>8534200</v>
      </c>
      <c r="O2626">
        <v>125662</v>
      </c>
      <c r="P2626">
        <v>7.0119483600055198E-3</v>
      </c>
      <c r="Q2626">
        <v>6.98747896891841E-3</v>
      </c>
      <c r="R2626" s="8">
        <v>1.87000000476837</v>
      </c>
      <c r="S2626" s="8">
        <v>3.8888919059141901E-2</v>
      </c>
      <c r="T2626" s="9">
        <v>3.8151795005261099E-2</v>
      </c>
      <c r="U2626" s="12">
        <v>3.9269999999999999E-2</v>
      </c>
      <c r="V2626" s="16">
        <v>5.1703999999999999</v>
      </c>
      <c r="W2626" s="17">
        <f t="shared" si="40"/>
        <v>3.8052341383862931E-3</v>
      </c>
    </row>
    <row r="2627" spans="1:23" x14ac:dyDescent="0.2">
      <c r="A2627" s="15">
        <v>45398</v>
      </c>
      <c r="B2627" s="5">
        <v>-76262907286683</v>
      </c>
      <c r="C2627" s="5">
        <f>[1]!nefin_factors__1[[#This Row],[Rm_minus_Rf]]/B2626-1</f>
        <v>-0.89465663379197946</v>
      </c>
      <c r="D2627" s="5">
        <v>863703508655931</v>
      </c>
      <c r="E2627" s="5">
        <f>[1]!nefin_factors__1[[#This Row],[SMB]]/D2626-1</f>
        <v>-4.1863040459695977</v>
      </c>
      <c r="F2627" s="5">
        <v>278599164682486</v>
      </c>
      <c r="G2627" s="5">
        <f>[1]!nefin_factors__1[[#This Row],[HML]]/F2626-1</f>
        <v>-0.53548744441599094</v>
      </c>
      <c r="H2627" s="5">
        <v>397367784172209</v>
      </c>
      <c r="I2627" s="6">
        <f>[1]!nefin_factors__1[[#This Row],[Risk_Free]]/H2626-1</f>
        <v>9.0471434879146884E-4</v>
      </c>
      <c r="J2627">
        <v>125666</v>
      </c>
      <c r="K2627">
        <v>126660</v>
      </c>
      <c r="L2627">
        <v>125666</v>
      </c>
      <c r="M2627">
        <v>126164</v>
      </c>
      <c r="N2627">
        <v>6535700</v>
      </c>
      <c r="O2627">
        <v>126164</v>
      </c>
      <c r="P2627">
        <v>3.99484330983113E-3</v>
      </c>
      <c r="Q2627">
        <v>3.98688511076089E-3</v>
      </c>
      <c r="R2627" s="8">
        <v>1.87000000476837</v>
      </c>
      <c r="S2627" s="8">
        <v>0</v>
      </c>
      <c r="T2627" s="9">
        <v>0</v>
      </c>
      <c r="U2627" s="12">
        <v>3.9269999999999999E-2</v>
      </c>
      <c r="V2627" s="16">
        <v>5.1538000000000004</v>
      </c>
      <c r="W2627" s="17">
        <f t="shared" si="40"/>
        <v>-3.2105833204393308E-3</v>
      </c>
    </row>
    <row r="2628" spans="1:23" x14ac:dyDescent="0.2">
      <c r="A2628" s="14">
        <v>45399</v>
      </c>
      <c r="B2628" s="3">
        <v>-148810730218153</v>
      </c>
      <c r="C2628" s="3">
        <f>[1]!nefin_factors__1[[#This Row],[Rm_minus_Rf]]/B2627-1</f>
        <v>0.95128582836151954</v>
      </c>
      <c r="D2628" s="3">
        <v>532192619251728</v>
      </c>
      <c r="E2628" s="3">
        <f>[1]!nefin_factors__1[[#This Row],[SMB]]/D2627-1</f>
        <v>-0.38382487286648881</v>
      </c>
      <c r="F2628" s="3">
        <v>-356120455895616</v>
      </c>
      <c r="G2628" s="3">
        <f>[1]!nefin_factors__1[[#This Row],[HML]]/F2627-1</f>
        <v>-2.2782538537094306</v>
      </c>
      <c r="H2628" s="3">
        <v>397726931188114</v>
      </c>
      <c r="I2628" s="4">
        <f>[1]!nefin_factors__1[[#This Row],[Risk_Free]]/H2627-1</f>
        <v>9.0381513099546673E-4</v>
      </c>
      <c r="J2628">
        <v>126165</v>
      </c>
      <c r="K2628">
        <v>126662</v>
      </c>
      <c r="L2628">
        <v>125556</v>
      </c>
      <c r="M2628">
        <v>126267</v>
      </c>
      <c r="N2628">
        <v>8085600</v>
      </c>
      <c r="O2628">
        <v>126267</v>
      </c>
      <c r="P2628">
        <v>8.1639770457497796E-4</v>
      </c>
      <c r="Q2628">
        <v>8.1606463323575097E-4</v>
      </c>
      <c r="R2628" s="8">
        <v>2.0599999427795401</v>
      </c>
      <c r="S2628" s="8">
        <v>0.101604244666675</v>
      </c>
      <c r="T2628" s="9">
        <v>9.6767521608140894E-2</v>
      </c>
      <c r="U2628" s="12">
        <v>3.9269999999999999E-2</v>
      </c>
      <c r="V2628" s="16">
        <v>5.1971999999999996</v>
      </c>
      <c r="W2628" s="17">
        <f t="shared" ref="W2628:W2691" si="41">V2628/V2627-1</f>
        <v>8.4209709340679062E-3</v>
      </c>
    </row>
    <row r="2629" spans="1:23" x14ac:dyDescent="0.2">
      <c r="A2629" s="15">
        <v>45400</v>
      </c>
      <c r="B2629" s="5">
        <v>-8649303709</v>
      </c>
      <c r="C2629" s="5">
        <f>[1]!nefin_factors__1[[#This Row],[Rm_minus_Rf]]/B2628-1</f>
        <v>-0.99994187715028127</v>
      </c>
      <c r="D2629" s="5">
        <v>626362429718237</v>
      </c>
      <c r="E2629" s="5">
        <f>[1]!nefin_factors__1[[#This Row],[SMB]]/D2628-1</f>
        <v>0.17694685544289102</v>
      </c>
      <c r="F2629" s="5">
        <v>599821983507941</v>
      </c>
      <c r="G2629" s="5">
        <f>[1]!nefin_factors__1[[#This Row],[HML]]/F2628-1</f>
        <v>-2.6843233057181006</v>
      </c>
      <c r="H2629" s="5">
        <v>397726931188114</v>
      </c>
      <c r="I2629" s="6">
        <f>[1]!nefin_factors__1[[#This Row],[Risk_Free]]/H2628-1</f>
        <v>0</v>
      </c>
      <c r="J2629">
        <v>126280</v>
      </c>
      <c r="K2629">
        <v>126551</v>
      </c>
      <c r="L2629">
        <v>125614</v>
      </c>
      <c r="M2629">
        <v>126548</v>
      </c>
      <c r="N2629">
        <v>7430300</v>
      </c>
      <c r="O2629">
        <v>126548</v>
      </c>
      <c r="P2629">
        <v>2.2254429106576298E-3</v>
      </c>
      <c r="Q2629">
        <v>2.22297028036884E-3</v>
      </c>
      <c r="R2629" s="8">
        <v>2</v>
      </c>
      <c r="S2629" s="8">
        <v>-2.9126186624347E-2</v>
      </c>
      <c r="T2629" s="9">
        <v>-2.9558774464622201E-2</v>
      </c>
      <c r="U2629" s="12">
        <v>3.9269999999999999E-2</v>
      </c>
      <c r="V2629" s="16">
        <v>5.2416</v>
      </c>
      <c r="W2629" s="17">
        <f t="shared" si="41"/>
        <v>8.543061648579986E-3</v>
      </c>
    </row>
    <row r="2630" spans="1:23" x14ac:dyDescent="0.2">
      <c r="A2630" s="14">
        <v>45401</v>
      </c>
      <c r="B2630" s="3">
        <v>657228389139235</v>
      </c>
      <c r="C2630" s="3">
        <f>[1]!nefin_factors__1[[#This Row],[Rm_minus_Rf]]/B2629-1</f>
        <v>-75987.277190770692</v>
      </c>
      <c r="D2630" s="3">
        <v>150430214059398</v>
      </c>
      <c r="E2630" s="3">
        <f>[1]!nefin_factors__1[[#This Row],[SMB]]/D2629-1</f>
        <v>-0.75983518978450293</v>
      </c>
      <c r="F2630" s="3">
        <v>600700296277296</v>
      </c>
      <c r="G2630" s="3">
        <f>[1]!nefin_factors__1[[#This Row],[HML]]/F2629-1</f>
        <v>1.4642890615952364E-3</v>
      </c>
      <c r="H2630" s="3">
        <v>397726931188114</v>
      </c>
      <c r="I2630" s="4">
        <f>[1]!nefin_factors__1[[#This Row],[Risk_Free]]/H2629-1</f>
        <v>0</v>
      </c>
      <c r="J2630">
        <v>126548</v>
      </c>
      <c r="K2630">
        <v>127295</v>
      </c>
      <c r="L2630">
        <v>125937</v>
      </c>
      <c r="M2630">
        <v>127108</v>
      </c>
      <c r="N2630">
        <v>6684600</v>
      </c>
      <c r="O2630">
        <v>127108</v>
      </c>
      <c r="P2630">
        <v>4.42519834371158E-3</v>
      </c>
      <c r="Q2630">
        <v>4.4154359432974598E-3</v>
      </c>
      <c r="R2630" s="8">
        <v>2.1500000953674299</v>
      </c>
      <c r="S2630" s="8">
        <v>7.5000047683715806E-2</v>
      </c>
      <c r="T2630" s="9">
        <v>7.2320705936570098E-2</v>
      </c>
      <c r="U2630" s="12">
        <v>3.9269999999999999E-2</v>
      </c>
      <c r="V2630" s="16">
        <v>5.2373000000000003</v>
      </c>
      <c r="W2630" s="17">
        <f t="shared" si="41"/>
        <v>-8.2036019536013693E-4</v>
      </c>
    </row>
    <row r="2631" spans="1:23" x14ac:dyDescent="0.2">
      <c r="A2631" s="15">
        <v>45404</v>
      </c>
      <c r="B2631" s="5">
        <v>238868013760319</v>
      </c>
      <c r="C2631" s="5">
        <f>[1]!nefin_factors__1[[#This Row],[Rm_minus_Rf]]/B2630-1</f>
        <v>-0.63655250182792333</v>
      </c>
      <c r="D2631" s="5">
        <v>452555689123038</v>
      </c>
      <c r="E2631" s="5">
        <f>[1]!nefin_factors__1[[#This Row],[SMB]]/D2630-1</f>
        <v>2.0084095269873412</v>
      </c>
      <c r="F2631" s="5">
        <v>24868109811008</v>
      </c>
      <c r="G2631" s="5">
        <f>[1]!nefin_factors__1[[#This Row],[HML]]/F2630-1</f>
        <v>-0.95860146904351062</v>
      </c>
      <c r="H2631" s="5">
        <v>396649393037629</v>
      </c>
      <c r="I2631" s="6">
        <f>[1]!nefin_factors__1[[#This Row],[Risk_Free]]/H2630-1</f>
        <v>-2.7092411048608156E-3</v>
      </c>
      <c r="J2631">
        <v>127109</v>
      </c>
      <c r="K2631">
        <v>127769</v>
      </c>
      <c r="L2631">
        <v>126928</v>
      </c>
      <c r="M2631">
        <v>127218</v>
      </c>
      <c r="N2631">
        <v>8152600</v>
      </c>
      <c r="O2631">
        <v>127218</v>
      </c>
      <c r="P2631">
        <v>8.6540579664529105E-4</v>
      </c>
      <c r="Q2631">
        <v>8.6503154895071002E-4</v>
      </c>
      <c r="R2631" s="8">
        <v>2.1099998950958301</v>
      </c>
      <c r="S2631" s="8">
        <v>-1.86047434871255E-2</v>
      </c>
      <c r="T2631" s="9">
        <v>-1.8779988726159901E-2</v>
      </c>
      <c r="U2631" s="12">
        <v>3.9269999999999999E-2</v>
      </c>
      <c r="V2631" s="16">
        <v>5.2686999999999999</v>
      </c>
      <c r="W2631" s="17">
        <f t="shared" si="41"/>
        <v>5.9954556737249476E-3</v>
      </c>
    </row>
    <row r="2632" spans="1:23" x14ac:dyDescent="0.2">
      <c r="A2632" s="14">
        <v>45405</v>
      </c>
      <c r="B2632" s="3">
        <v>-255490395501347</v>
      </c>
      <c r="C2632" s="3">
        <f>[1]!nefin_factors__1[[#This Row],[Rm_minus_Rf]]/B2631-1</f>
        <v>-2.0695881440103863</v>
      </c>
      <c r="D2632" s="3">
        <v>11613722896814</v>
      </c>
      <c r="E2632" s="3">
        <f>[1]!nefin_factors__1[[#This Row],[SMB]]/D2631-1</f>
        <v>-0.97433747232452417</v>
      </c>
      <c r="F2632" s="3">
        <v>-491119105038105</v>
      </c>
      <c r="G2632" s="3">
        <f>[1]!nefin_factors__1[[#This Row],[HML]]/F2631-1</f>
        <v>-20.748951921577429</v>
      </c>
      <c r="H2632" s="3">
        <v>396290148907186</v>
      </c>
      <c r="I2632" s="4">
        <f>[1]!nefin_factors__1[[#This Row],[Risk_Free]]/H2631-1</f>
        <v>-9.0569691205577563E-4</v>
      </c>
      <c r="J2632">
        <v>127221</v>
      </c>
      <c r="K2632">
        <v>128326</v>
      </c>
      <c r="L2632">
        <v>127221</v>
      </c>
      <c r="M2632">
        <v>128294</v>
      </c>
      <c r="N2632">
        <v>7972900</v>
      </c>
      <c r="O2632">
        <v>128294</v>
      </c>
      <c r="P2632">
        <v>8.4579226210128606E-3</v>
      </c>
      <c r="Q2632">
        <v>8.4223548059784506E-3</v>
      </c>
      <c r="R2632" s="8">
        <v>2.1500000953674299</v>
      </c>
      <c r="S2632" s="8">
        <v>1.8957441829536199E-2</v>
      </c>
      <c r="T2632" s="9">
        <v>1.8779988726159901E-2</v>
      </c>
      <c r="U2632" s="12">
        <v>3.9269999999999999E-2</v>
      </c>
      <c r="V2632" s="16">
        <v>5.2840999999999996</v>
      </c>
      <c r="W2632" s="17">
        <f t="shared" si="41"/>
        <v>2.9229221629623048E-3</v>
      </c>
    </row>
    <row r="2633" spans="1:23" x14ac:dyDescent="0.2">
      <c r="A2633" s="15">
        <v>45406</v>
      </c>
      <c r="B2633" s="5">
        <v>-360964907251819</v>
      </c>
      <c r="C2633" s="5">
        <f>[1]!nefin_factors__1[[#This Row],[Rm_minus_Rf]]/B2632-1</f>
        <v>0.4128316117069688</v>
      </c>
      <c r="D2633" s="5">
        <v>-552827266555871</v>
      </c>
      <c r="E2633" s="5">
        <f>[1]!nefin_factors__1[[#This Row],[SMB]]/D2632-1</f>
        <v>-48.601210349829202</v>
      </c>
      <c r="F2633" s="5">
        <v>296096215008081</v>
      </c>
      <c r="G2633" s="5">
        <f>[1]!nefin_factors__1[[#This Row],[HML]]/F2632-1</f>
        <v>-1.602901031482185</v>
      </c>
      <c r="H2633" s="5">
        <v>396290148907186</v>
      </c>
      <c r="I2633" s="6">
        <f>[1]!nefin_factors__1[[#This Row],[Risk_Free]]/H2632-1</f>
        <v>0</v>
      </c>
      <c r="J2633">
        <v>128293</v>
      </c>
      <c r="K2633">
        <v>129015</v>
      </c>
      <c r="L2633">
        <v>128002</v>
      </c>
      <c r="M2633">
        <v>128897</v>
      </c>
      <c r="N2633">
        <v>7206600</v>
      </c>
      <c r="O2633">
        <v>128897</v>
      </c>
      <c r="P2633">
        <v>4.7001418616614598E-3</v>
      </c>
      <c r="Q2633">
        <v>4.6891306841522797E-3</v>
      </c>
      <c r="R2633" s="8">
        <v>2.0899999141693102</v>
      </c>
      <c r="S2633" s="8">
        <v>-2.7907059784509601E-2</v>
      </c>
      <c r="T2633" s="9">
        <v>-2.8303861587111699E-2</v>
      </c>
      <c r="U2633" s="12">
        <v>3.9269999999999999E-2</v>
      </c>
      <c r="V2633" s="16">
        <v>5.2680999999999996</v>
      </c>
      <c r="W2633" s="17">
        <f t="shared" si="41"/>
        <v>-3.0279517798679212E-3</v>
      </c>
    </row>
    <row r="2634" spans="1:23" x14ac:dyDescent="0.2">
      <c r="A2634" s="14">
        <v>45407</v>
      </c>
      <c r="B2634" s="3">
        <v>-402110184461637</v>
      </c>
      <c r="C2634" s="3">
        <f>[1]!nefin_factors__1[[#This Row],[Rm_minus_Rf]]/B2633-1</f>
        <v>0.11398691779506964</v>
      </c>
      <c r="D2634" s="3">
        <v>525720054185395</v>
      </c>
      <c r="E2634" s="3">
        <f>[1]!nefin_factors__1[[#This Row],[SMB]]/D2633-1</f>
        <v>-1.9509662167364596</v>
      </c>
      <c r="F2634" s="3">
        <v>1963977805949</v>
      </c>
      <c r="G2634" s="3">
        <f>[1]!nefin_factors__1[[#This Row],[HML]]/F2633-1</f>
        <v>-0.99336709587491556</v>
      </c>
      <c r="H2634" s="3">
        <v>395930872393535</v>
      </c>
      <c r="I2634" s="4">
        <f>[1]!nefin_factors__1[[#This Row],[Risk_Free]]/H2633-1</f>
        <v>-9.0659965846173751E-4</v>
      </c>
      <c r="J2634">
        <v>128898</v>
      </c>
      <c r="K2634">
        <v>129485</v>
      </c>
      <c r="L2634">
        <v>128723</v>
      </c>
      <c r="M2634">
        <v>129321</v>
      </c>
      <c r="N2634">
        <v>5826900</v>
      </c>
      <c r="O2634">
        <v>129321</v>
      </c>
      <c r="P2634">
        <v>3.2894481640379802E-3</v>
      </c>
      <c r="Q2634">
        <v>3.2840497646897501E-3</v>
      </c>
      <c r="R2634" s="8">
        <v>2.0999999046325701</v>
      </c>
      <c r="S2634" s="8">
        <v>4.7846846286745404E-3</v>
      </c>
      <c r="T2634" s="9">
        <v>4.7732744069099503E-3</v>
      </c>
      <c r="U2634" s="12">
        <v>3.9269999999999999E-2</v>
      </c>
      <c r="V2634" s="16">
        <v>5.2801999999999998</v>
      </c>
      <c r="W2634" s="17">
        <f t="shared" si="41"/>
        <v>2.2968432641750081E-3</v>
      </c>
    </row>
    <row r="2635" spans="1:23" x14ac:dyDescent="0.2">
      <c r="A2635" s="15">
        <v>45408</v>
      </c>
      <c r="B2635" s="5">
        <v>13976711905438</v>
      </c>
      <c r="C2635" s="5">
        <f>[1]!nefin_factors__1[[#This Row],[Rm_minus_Rf]]/B2634-1</f>
        <v>-1.0347584131054792</v>
      </c>
      <c r="D2635" s="5">
        <v>777076486025655</v>
      </c>
      <c r="E2635" s="5">
        <f>[1]!nefin_factors__1[[#This Row],[SMB]]/D2634-1</f>
        <v>0.47811840130340411</v>
      </c>
      <c r="F2635" s="5">
        <v>-144470208440434</v>
      </c>
      <c r="G2635" s="5">
        <f>[1]!nefin_factors__1[[#This Row],[HML]]/F2634-1</f>
        <v>-74.560000526902883</v>
      </c>
      <c r="H2635" s="5">
        <v>394852848494498</v>
      </c>
      <c r="I2635" s="6">
        <f>[1]!nefin_factors__1[[#This Row],[Risk_Free]]/H2634-1</f>
        <v>-2.7227578706352507E-3</v>
      </c>
      <c r="J2635">
        <v>129322</v>
      </c>
      <c r="K2635">
        <v>129521</v>
      </c>
      <c r="L2635">
        <v>128761</v>
      </c>
      <c r="M2635">
        <v>129110</v>
      </c>
      <c r="N2635">
        <v>6818900</v>
      </c>
      <c r="O2635">
        <v>129110</v>
      </c>
      <c r="P2635">
        <v>-1.6315988895848599E-3</v>
      </c>
      <c r="Q2635">
        <v>-1.6329313966617299E-3</v>
      </c>
      <c r="R2635" s="8">
        <v>2.0799999237060498</v>
      </c>
      <c r="S2635" s="8">
        <v>-9.5238008737019708E-3</v>
      </c>
      <c r="T2635" s="9">
        <v>-9.5694422828690798E-3</v>
      </c>
      <c r="U2635" s="12">
        <v>3.9269999999999999E-2</v>
      </c>
      <c r="V2635" s="16">
        <v>5.3666</v>
      </c>
      <c r="W2635" s="17">
        <f t="shared" si="41"/>
        <v>1.6363016552403353E-2</v>
      </c>
    </row>
    <row r="2636" spans="1:23" x14ac:dyDescent="0.2">
      <c r="A2636" s="14">
        <v>45411</v>
      </c>
      <c r="B2636" s="3">
        <v>604610451225192</v>
      </c>
      <c r="C2636" s="3">
        <f>[1]!nefin_factors__1[[#This Row],[Rm_minus_Rf]]/B2635-1</f>
        <v>42.258418383078549</v>
      </c>
      <c r="D2636" s="3">
        <v>248016454656078</v>
      </c>
      <c r="E2636" s="3">
        <f>[1]!nefin_factors__1[[#This Row],[SMB]]/D2635-1</f>
        <v>-0.68083392160718426</v>
      </c>
      <c r="F2636" s="3">
        <v>815008640143934</v>
      </c>
      <c r="G2636" s="3">
        <f>[1]!nefin_factors__1[[#This Row],[HML]]/F2635-1</f>
        <v>-6.6413612809312674</v>
      </c>
      <c r="H2636" s="3">
        <v>393774532935875</v>
      </c>
      <c r="I2636" s="4">
        <f>[1]!nefin_factors__1[[#This Row],[Risk_Free]]/H2635-1</f>
        <v>-2.730930174961177E-3</v>
      </c>
      <c r="J2636">
        <v>129112</v>
      </c>
      <c r="K2636">
        <v>129658</v>
      </c>
      <c r="L2636">
        <v>128741</v>
      </c>
      <c r="M2636">
        <v>129450</v>
      </c>
      <c r="N2636">
        <v>6672400</v>
      </c>
      <c r="O2636">
        <v>129450</v>
      </c>
      <c r="P2636">
        <v>2.6334133684455798E-3</v>
      </c>
      <c r="Q2636">
        <v>2.6299520109194599E-3</v>
      </c>
      <c r="R2636" s="8">
        <v>1.96000003814697</v>
      </c>
      <c r="S2636" s="8">
        <v>-5.7692254788774898E-2</v>
      </c>
      <c r="T2636" s="9">
        <v>-5.94233643282778E-2</v>
      </c>
      <c r="U2636" s="12">
        <v>3.9269999999999999E-2</v>
      </c>
      <c r="V2636" s="16">
        <v>5.3524000000000003</v>
      </c>
      <c r="W2636" s="17">
        <f t="shared" si="41"/>
        <v>-2.6459956024298403E-3</v>
      </c>
    </row>
    <row r="2637" spans="1:23" x14ac:dyDescent="0.2">
      <c r="A2637" s="15">
        <v>45412</v>
      </c>
      <c r="B2637" s="5">
        <v>-975770080291394</v>
      </c>
      <c r="C2637" s="5">
        <f>[1]!nefin_factors__1[[#This Row],[Rm_minus_Rf]]/B2636-1</f>
        <v>-2.613882258095404</v>
      </c>
      <c r="D2637" s="5">
        <v>-804470657344314</v>
      </c>
      <c r="E2637" s="5">
        <f>[1]!nefin_factors__1[[#This Row],[SMB]]/D2636-1</f>
        <v>-4.2436180835657282</v>
      </c>
      <c r="F2637" s="5">
        <v>-249206937741456</v>
      </c>
      <c r="G2637" s="5">
        <f>[1]!nefin_factors__1[[#This Row],[HML]]/F2636-1</f>
        <v>-1.3057721421179596</v>
      </c>
      <c r="H2637" s="5">
        <v>394852848494498</v>
      </c>
      <c r="I2637" s="6">
        <f>[1]!nefin_factors__1[[#This Row],[Risk_Free]]/H2636-1</f>
        <v>2.7384085775770117E-3</v>
      </c>
      <c r="J2637">
        <v>129450</v>
      </c>
      <c r="K2637">
        <v>129454</v>
      </c>
      <c r="L2637">
        <v>127523</v>
      </c>
      <c r="M2637">
        <v>127652</v>
      </c>
      <c r="N2637">
        <v>7591500</v>
      </c>
      <c r="O2637">
        <v>127652</v>
      </c>
      <c r="P2637">
        <v>-1.38895326380842E-2</v>
      </c>
      <c r="Q2637">
        <v>-1.3986894791038399E-2</v>
      </c>
      <c r="R2637" s="8">
        <v>1.87000000476837</v>
      </c>
      <c r="S2637" s="8">
        <v>-4.5918383483139702E-2</v>
      </c>
      <c r="T2637" s="9">
        <v>-4.7006059288740298E-2</v>
      </c>
      <c r="U2637" s="12">
        <v>3.9269999999999999E-2</v>
      </c>
      <c r="V2637" s="16">
        <v>5.3891</v>
      </c>
      <c r="W2637" s="17">
        <f t="shared" si="41"/>
        <v>6.8567371646364172E-3</v>
      </c>
    </row>
    <row r="2638" spans="1:23" x14ac:dyDescent="0.2">
      <c r="A2638" s="14">
        <v>45414</v>
      </c>
      <c r="B2638" s="3">
        <v>100472021087508</v>
      </c>
      <c r="C2638" s="3">
        <f>[1]!nefin_factors__1[[#This Row],[Rm_minus_Rf]]/B2637-1</f>
        <v>-1.102966900827195</v>
      </c>
      <c r="D2638" s="3">
        <v>104414985106452</v>
      </c>
      <c r="E2638" s="3">
        <f>[1]!nefin_factors__1[[#This Row],[SMB]]/D2637-1</f>
        <v>-1.1297934040890223</v>
      </c>
      <c r="F2638" s="3">
        <v>340481284885603</v>
      </c>
      <c r="G2638" s="3">
        <f>[1]!nefin_factors__1[[#This Row],[HML]]/F2637-1</f>
        <v>-2.3662592541417973</v>
      </c>
      <c r="H2638" s="3">
        <v>393774532935875</v>
      </c>
      <c r="I2638" s="4">
        <f>[1]!nefin_factors__1[[#This Row],[Risk_Free]]/H2637-1</f>
        <v>-2.730930174961177E-3</v>
      </c>
      <c r="J2638">
        <v>127652</v>
      </c>
      <c r="K2638">
        <v>128360</v>
      </c>
      <c r="L2638">
        <v>127413</v>
      </c>
      <c r="M2638">
        <v>127616</v>
      </c>
      <c r="N2638">
        <v>7620400</v>
      </c>
      <c r="O2638">
        <v>127616</v>
      </c>
      <c r="P2638">
        <v>-2.8201673299277401E-4</v>
      </c>
      <c r="Q2638">
        <v>-2.8205650718978598E-4</v>
      </c>
      <c r="R2638" s="8">
        <v>1.87000000476837</v>
      </c>
      <c r="S2638" s="8">
        <v>0</v>
      </c>
      <c r="T2638" s="9">
        <v>0</v>
      </c>
      <c r="U2638" s="12">
        <v>3.9269999999999999E-2</v>
      </c>
      <c r="V2638" s="16">
        <v>5.3974000000000002</v>
      </c>
      <c r="W2638" s="17">
        <f t="shared" si="41"/>
        <v>1.5401458499564313E-3</v>
      </c>
    </row>
    <row r="2639" spans="1:23" x14ac:dyDescent="0.2">
      <c r="A2639" s="15">
        <v>45415</v>
      </c>
      <c r="B2639" s="5">
        <v>101241469104097</v>
      </c>
      <c r="C2639" s="5">
        <f>[1]!nefin_factors__1[[#This Row],[Rm_minus_Rf]]/B2638-1</f>
        <v>7.658331227544668E-3</v>
      </c>
      <c r="D2639" s="5">
        <v>350305452632512</v>
      </c>
      <c r="E2639" s="5">
        <f>[1]!nefin_factors__1[[#This Row],[SMB]]/D2638-1</f>
        <v>2.3549346607230035</v>
      </c>
      <c r="F2639" s="5">
        <v>130155931112871</v>
      </c>
      <c r="G2639" s="5">
        <f>[1]!nefin_factors__1[[#This Row],[HML]]/F2638-1</f>
        <v>-0.61772955844958821</v>
      </c>
      <c r="H2639" s="5">
        <v>392695925559128</v>
      </c>
      <c r="I2639" s="6">
        <f>[1]!nefin_factors__1[[#This Row],[Risk_Free]]/H2638-1</f>
        <v>-2.7391496567977791E-3</v>
      </c>
      <c r="J2639">
        <v>127616</v>
      </c>
      <c r="K2639">
        <v>128151</v>
      </c>
      <c r="L2639">
        <v>127456</v>
      </c>
      <c r="M2639">
        <v>127860</v>
      </c>
      <c r="N2639">
        <v>6098200</v>
      </c>
      <c r="O2639">
        <v>127860</v>
      </c>
      <c r="P2639">
        <v>1.9119859578735599E-3</v>
      </c>
      <c r="Q2639">
        <v>1.9101604392622699E-3</v>
      </c>
      <c r="R2639" s="8">
        <v>1.87000000476837</v>
      </c>
      <c r="S2639" s="8">
        <v>0</v>
      </c>
      <c r="T2639" s="9">
        <v>0</v>
      </c>
      <c r="U2639" s="12">
        <v>3.9269999999999999E-2</v>
      </c>
      <c r="V2639" s="16">
        <v>5.3630000000000004</v>
      </c>
      <c r="W2639" s="17">
        <f t="shared" si="41"/>
        <v>-6.3734390632526061E-3</v>
      </c>
    </row>
    <row r="2640" spans="1:23" x14ac:dyDescent="0.2">
      <c r="A2640" s="14">
        <v>45418</v>
      </c>
      <c r="B2640" s="3">
        <v>-160020773950745</v>
      </c>
      <c r="C2640" s="3">
        <f>[1]!nefin_factors__1[[#This Row],[Rm_minus_Rf]]/B2639-1</f>
        <v>-2.5805852618180678</v>
      </c>
      <c r="D2640" s="3">
        <v>-263253095763795</v>
      </c>
      <c r="E2640" s="3">
        <f>[1]!nefin_factors__1[[#This Row],[SMB]]/D2639-1</f>
        <v>-1.7514958553612945</v>
      </c>
      <c r="F2640" s="3">
        <v>352062339796286</v>
      </c>
      <c r="G2640" s="3">
        <f>[1]!nefin_factors__1[[#This Row],[HML]]/F2639-1</f>
        <v>1.7049273650923995</v>
      </c>
      <c r="H2640" s="3">
        <v>392695925559128</v>
      </c>
      <c r="I2640" s="4">
        <f>[1]!nefin_factors__1[[#This Row],[Risk_Free]]/H2639-1</f>
        <v>0</v>
      </c>
      <c r="J2640">
        <v>127860</v>
      </c>
      <c r="K2640">
        <v>127860</v>
      </c>
      <c r="L2640">
        <v>126530</v>
      </c>
      <c r="M2640">
        <v>126590</v>
      </c>
      <c r="N2640">
        <v>7022900</v>
      </c>
      <c r="O2640">
        <v>126590</v>
      </c>
      <c r="P2640">
        <v>-9.9327389332082294E-3</v>
      </c>
      <c r="Q2640">
        <v>-9.9823976898439099E-3</v>
      </c>
      <c r="R2640" s="8">
        <v>1.8400000333786</v>
      </c>
      <c r="S2640" s="8">
        <v>-1.6042765408167198E-2</v>
      </c>
      <c r="T2640" s="9">
        <v>-1.61728436549884E-2</v>
      </c>
      <c r="U2640" s="12">
        <v>3.9269999999999999E-2</v>
      </c>
      <c r="V2640" s="16">
        <v>5.4130000000000003</v>
      </c>
      <c r="W2640" s="17">
        <f t="shared" si="41"/>
        <v>9.3231400335631598E-3</v>
      </c>
    </row>
    <row r="2641" spans="1:23" x14ac:dyDescent="0.2">
      <c r="A2641" s="15">
        <v>45419</v>
      </c>
      <c r="B2641" s="5">
        <v>423683759073637</v>
      </c>
      <c r="C2641" s="5">
        <f>[1]!nefin_factors__1[[#This Row],[Rm_minus_Rf]]/B2640-1</f>
        <v>-3.6476797269087604</v>
      </c>
      <c r="D2641" s="5">
        <v>-745581597896213</v>
      </c>
      <c r="E2641" s="5">
        <f>[1]!nefin_factors__1[[#This Row],[SMB]]/D2640-1</f>
        <v>1.8321854895305365</v>
      </c>
      <c r="F2641" s="5">
        <v>-183707858781775</v>
      </c>
      <c r="G2641" s="5">
        <f>[1]!nefin_factors__1[[#This Row],[HML]]/F2640-1</f>
        <v>-1.5218049135504637</v>
      </c>
      <c r="H2641" s="5">
        <v>392336324890996</v>
      </c>
      <c r="I2641" s="6">
        <f>[1]!nefin_factors__1[[#This Row],[Risk_Free]]/H2640-1</f>
        <v>-9.1572294166275547E-4</v>
      </c>
      <c r="J2641">
        <v>126596</v>
      </c>
      <c r="K2641">
        <v>126823</v>
      </c>
      <c r="L2641">
        <v>126218</v>
      </c>
      <c r="M2641">
        <v>126423</v>
      </c>
      <c r="N2641">
        <v>7304800</v>
      </c>
      <c r="O2641">
        <v>126423</v>
      </c>
      <c r="P2641">
        <v>-1.3192195276088301E-3</v>
      </c>
      <c r="Q2641">
        <v>-1.32009046374475E-3</v>
      </c>
      <c r="R2641" s="8">
        <v>1.79999995231628</v>
      </c>
      <c r="S2641" s="8">
        <v>-2.1739174096029198E-2</v>
      </c>
      <c r="T2641" s="9">
        <v>-2.19789513502728E-2</v>
      </c>
      <c r="U2641" s="12">
        <v>3.9269999999999999E-2</v>
      </c>
      <c r="V2641" s="16">
        <v>5.4074</v>
      </c>
      <c r="W2641" s="17">
        <f t="shared" si="41"/>
        <v>-1.0345464622206757E-3</v>
      </c>
    </row>
    <row r="2642" spans="1:23" x14ac:dyDescent="0.2">
      <c r="A2642" s="14">
        <v>45420</v>
      </c>
      <c r="B2642" s="3">
        <v>124764627448396</v>
      </c>
      <c r="C2642" s="3">
        <f>[1]!nefin_factors__1[[#This Row],[Rm_minus_Rf]]/B2641-1</f>
        <v>-0.7055241680228963</v>
      </c>
      <c r="D2642" s="3">
        <v>-455986919998086</v>
      </c>
      <c r="E2642" s="3">
        <f>[1]!nefin_factors__1[[#This Row],[SMB]]/D2641-1</f>
        <v>-0.38841446558668868</v>
      </c>
      <c r="F2642" s="3">
        <v>274304635853226</v>
      </c>
      <c r="G2642" s="3">
        <f>[1]!nefin_factors__1[[#This Row],[HML]]/F2641-1</f>
        <v>-2.4931567853015482</v>
      </c>
      <c r="H2642" s="3">
        <v>391617026206159</v>
      </c>
      <c r="I2642" s="4">
        <f>[1]!nefin_factors__1[[#This Row],[Risk_Free]]/H2641-1</f>
        <v>-1.8333726428131358E-3</v>
      </c>
      <c r="J2642">
        <v>126423</v>
      </c>
      <c r="K2642">
        <v>126423</v>
      </c>
      <c r="L2642">
        <v>125626</v>
      </c>
      <c r="M2642">
        <v>125954</v>
      </c>
      <c r="N2642">
        <v>7134100</v>
      </c>
      <c r="O2642">
        <v>125954</v>
      </c>
      <c r="P2642">
        <v>-3.70976800107581E-3</v>
      </c>
      <c r="Q2642">
        <v>-3.7166662562890499E-3</v>
      </c>
      <c r="R2642" s="8">
        <v>1.8200000524520901</v>
      </c>
      <c r="S2642" s="8">
        <v>1.11111670364583E-2</v>
      </c>
      <c r="T2642" s="9">
        <v>1.1049891497366401E-2</v>
      </c>
      <c r="U2642" s="12">
        <v>3.9269999999999999E-2</v>
      </c>
      <c r="V2642" s="16">
        <v>5.4646999999999997</v>
      </c>
      <c r="W2642" s="17">
        <f t="shared" si="41"/>
        <v>1.059658985834222E-2</v>
      </c>
    </row>
    <row r="2643" spans="1:23" x14ac:dyDescent="0.2">
      <c r="A2643" s="15">
        <v>45421</v>
      </c>
      <c r="B2643" s="5">
        <v>-108134735267087</v>
      </c>
      <c r="C2643" s="5">
        <f>[1]!nefin_factors__1[[#This Row],[Rm_minus_Rf]]/B2642-1</f>
        <v>-1.866709879864088</v>
      </c>
      <c r="D2643" s="5">
        <v>176852899606179</v>
      </c>
      <c r="E2643" s="5">
        <f>[1]!nefin_factors__1[[#This Row],[SMB]]/D2642-1</f>
        <v>-1.3878464312242142</v>
      </c>
      <c r="F2643" s="5">
        <v>-118504671121807</v>
      </c>
      <c r="G2643" s="5">
        <f>[1]!nefin_factors__1[[#This Row],[HML]]/F2642-1</f>
        <v>-1.4320184773880966</v>
      </c>
      <c r="H2643" s="5">
        <v>392336324890996</v>
      </c>
      <c r="I2643" s="6">
        <f>[1]!nefin_factors__1[[#This Row],[Risk_Free]]/H2642-1</f>
        <v>1.8367400718126703E-3</v>
      </c>
      <c r="J2643">
        <v>125964</v>
      </c>
      <c r="K2643">
        <v>127700</v>
      </c>
      <c r="L2643">
        <v>125953</v>
      </c>
      <c r="M2643">
        <v>127492</v>
      </c>
      <c r="N2643">
        <v>8272000</v>
      </c>
      <c r="O2643">
        <v>127492</v>
      </c>
      <c r="P2643">
        <v>1.2210807120059701E-2</v>
      </c>
      <c r="Q2643">
        <v>1.21368566031825E-2</v>
      </c>
      <c r="R2643" s="8">
        <v>1.8600000143051101</v>
      </c>
      <c r="S2643" s="8">
        <v>2.1978000384744699E-2</v>
      </c>
      <c r="T2643" s="9">
        <v>2.17399655075E-2</v>
      </c>
      <c r="U2643" s="12">
        <v>3.9269999999999999E-2</v>
      </c>
      <c r="V2643" s="16">
        <v>5.4253999999999998</v>
      </c>
      <c r="W2643" s="17">
        <f t="shared" si="41"/>
        <v>-7.1916116163741606E-3</v>
      </c>
    </row>
    <row r="2644" spans="1:23" x14ac:dyDescent="0.2">
      <c r="A2644" s="14">
        <v>45422</v>
      </c>
      <c r="B2644" s="3">
        <v>-464155336852009</v>
      </c>
      <c r="C2644" s="3">
        <f>[1]!nefin_factors__1[[#This Row],[Rm_minus_Rf]]/B2643-1</f>
        <v>3.292379647534811</v>
      </c>
      <c r="D2644" s="3">
        <v>-166120500761418</v>
      </c>
      <c r="E2644" s="3">
        <f>[1]!nefin_factors__1[[#This Row],[SMB]]/D2643-1</f>
        <v>-1.9393145440721629</v>
      </c>
      <c r="F2644" s="3">
        <v>-143700578794713</v>
      </c>
      <c r="G2644" s="3">
        <f>[1]!nefin_factors__1[[#This Row],[HML]]/F2643-1</f>
        <v>0.21261531241252052</v>
      </c>
      <c r="H2644" s="3">
        <v>392336324890996</v>
      </c>
      <c r="I2644" s="4">
        <f>[1]!nefin_factors__1[[#This Row],[Risk_Free]]/H2643-1</f>
        <v>0</v>
      </c>
      <c r="J2644">
        <v>127492</v>
      </c>
      <c r="K2644">
        <v>127657</v>
      </c>
      <c r="L2644">
        <v>126606</v>
      </c>
      <c r="M2644">
        <v>126954</v>
      </c>
      <c r="N2644">
        <v>7075400</v>
      </c>
      <c r="O2644">
        <v>126954</v>
      </c>
      <c r="P2644">
        <v>-4.2198726194584398E-3</v>
      </c>
      <c r="Q2644">
        <v>-4.2288014096787396E-3</v>
      </c>
      <c r="R2644" s="8">
        <v>1.83000004291534</v>
      </c>
      <c r="S2644" s="8">
        <v>-1.6129016752173701E-2</v>
      </c>
      <c r="T2644" s="9">
        <v>-1.62605051116947E-2</v>
      </c>
      <c r="U2644" s="12">
        <v>3.9269999999999999E-2</v>
      </c>
      <c r="V2644" s="16">
        <v>5.4416000000000002</v>
      </c>
      <c r="W2644" s="17">
        <f t="shared" si="41"/>
        <v>2.9859549526303208E-3</v>
      </c>
    </row>
    <row r="2645" spans="1:23" x14ac:dyDescent="0.2">
      <c r="A2645" s="15">
        <v>45425</v>
      </c>
      <c r="B2645" s="5">
        <v>381821754909725</v>
      </c>
      <c r="C2645" s="5">
        <f>[1]!nefin_factors__1[[#This Row],[Rm_minus_Rf]]/B2644-1</f>
        <v>-1.8226163195694651</v>
      </c>
      <c r="D2645" s="5">
        <v>-636356274330558</v>
      </c>
      <c r="E2645" s="5">
        <f>[1]!nefin_factors__1[[#This Row],[SMB]]/D2644-1</f>
        <v>2.8306908022417527</v>
      </c>
      <c r="F2645" s="5">
        <v>422375717659707</v>
      </c>
      <c r="G2645" s="5">
        <f>[1]!nefin_factors__1[[#This Row],[HML]]/F2644-1</f>
        <v>-3.9392763842872354</v>
      </c>
      <c r="H2645" s="5">
        <v>392336324890996</v>
      </c>
      <c r="I2645" s="6">
        <f>[1]!nefin_factors__1[[#This Row],[Risk_Free]]/H2644-1</f>
        <v>0</v>
      </c>
      <c r="J2645">
        <v>126951</v>
      </c>
      <c r="K2645">
        <v>126951</v>
      </c>
      <c r="L2645">
        <v>125973</v>
      </c>
      <c r="M2645">
        <v>126139</v>
      </c>
      <c r="N2645">
        <v>6848600</v>
      </c>
      <c r="O2645">
        <v>126139</v>
      </c>
      <c r="P2645">
        <v>-6.4196480615026398E-3</v>
      </c>
      <c r="Q2645">
        <v>-6.4403426175077402E-3</v>
      </c>
      <c r="R2645" s="8">
        <v>1.78999996185303</v>
      </c>
      <c r="S2645" s="8">
        <v>-2.1857967281024401E-2</v>
      </c>
      <c r="T2645" s="9">
        <v>-2.21003917628316E-2</v>
      </c>
      <c r="U2645" s="12">
        <v>3.9269999999999999E-2</v>
      </c>
      <c r="V2645" s="16">
        <v>5.4</v>
      </c>
      <c r="W2645" s="17">
        <f t="shared" si="41"/>
        <v>-7.6448103498970577E-3</v>
      </c>
    </row>
    <row r="2646" spans="1:23" x14ac:dyDescent="0.2">
      <c r="A2646" s="14">
        <v>45426</v>
      </c>
      <c r="B2646" s="3">
        <v>219666840364</v>
      </c>
      <c r="C2646" s="3">
        <f>[1]!nefin_factors__1[[#This Row],[Rm_minus_Rf]]/B2645-1</f>
        <v>-0.99942468746859137</v>
      </c>
      <c r="D2646" s="3">
        <v>193268304615721</v>
      </c>
      <c r="E2646" s="3">
        <f>[1]!nefin_factors__1[[#This Row],[SMB]]/D2645-1</f>
        <v>-1.303710849427921</v>
      </c>
      <c r="F2646" s="3">
        <v>104972198630487</v>
      </c>
      <c r="G2646" s="3">
        <f>[1]!nefin_factors__1[[#This Row],[HML]]/F2645-1</f>
        <v>-0.75147198515076719</v>
      </c>
      <c r="H2646" s="3">
        <v>392336324890996</v>
      </c>
      <c r="I2646" s="4">
        <f>[1]!nefin_factors__1[[#This Row],[Risk_Free]]/H2645-1</f>
        <v>0</v>
      </c>
      <c r="J2646">
        <v>126139</v>
      </c>
      <c r="K2646">
        <v>127853</v>
      </c>
      <c r="L2646">
        <v>126139</v>
      </c>
      <c r="M2646">
        <v>127652</v>
      </c>
      <c r="N2646">
        <v>9471900</v>
      </c>
      <c r="O2646">
        <v>127652</v>
      </c>
      <c r="P2646">
        <v>1.19947042548301E-2</v>
      </c>
      <c r="Q2646">
        <v>1.1923337901809199E-2</v>
      </c>
      <c r="R2646" s="8">
        <v>1.8200000524520901</v>
      </c>
      <c r="S2646" s="8">
        <v>1.6759827507484299E-2</v>
      </c>
      <c r="T2646" s="9">
        <v>1.6620931367026401E-2</v>
      </c>
      <c r="U2646" s="12">
        <v>3.9269999999999999E-2</v>
      </c>
      <c r="V2646" s="16">
        <v>5.4290000000000003</v>
      </c>
      <c r="W2646" s="17">
        <f t="shared" si="41"/>
        <v>5.3703703703702477E-3</v>
      </c>
    </row>
    <row r="2647" spans="1:23" x14ac:dyDescent="0.2">
      <c r="A2647" s="15">
        <v>45427</v>
      </c>
      <c r="B2647" s="5">
        <v>-388036808272657</v>
      </c>
      <c r="C2647" s="5">
        <f>[1]!nefin_factors__1[[#This Row],[Rm_minus_Rf]]/B2646-1</f>
        <v>-1767.4787622458571</v>
      </c>
      <c r="D2647" s="5">
        <v>197262578831011</v>
      </c>
      <c r="E2647" s="5">
        <f>[1]!nefin_factors__1[[#This Row],[SMB]]/D2646-1</f>
        <v>2.0666990499202065E-2</v>
      </c>
      <c r="F2647" s="5">
        <v>669261266679951</v>
      </c>
      <c r="G2647" s="5">
        <f>[1]!nefin_factors__1[[#This Row],[HML]]/F2646-1</f>
        <v>5.3756049259844492</v>
      </c>
      <c r="H2647" s="5">
        <v>392336324890996</v>
      </c>
      <c r="I2647" s="6">
        <f>[1]!nefin_factors__1[[#This Row],[Risk_Free]]/H2646-1</f>
        <v>0</v>
      </c>
      <c r="J2647">
        <v>127652</v>
      </c>
      <c r="K2647">
        <v>128762</v>
      </c>
      <c r="L2647">
        <v>127150</v>
      </c>
      <c r="M2647">
        <v>127395</v>
      </c>
      <c r="N2647">
        <v>9814200</v>
      </c>
      <c r="O2647">
        <v>127395</v>
      </c>
      <c r="P2647">
        <v>-2.0132861216431998E-3</v>
      </c>
      <c r="Q2647">
        <v>-2.0153155064259599E-3</v>
      </c>
      <c r="R2647" s="8">
        <v>1.7799999713897701</v>
      </c>
      <c r="S2647" s="8">
        <v>-2.1978065884352499E-2</v>
      </c>
      <c r="T2647" s="9">
        <v>-2.22231816777008E-2</v>
      </c>
      <c r="U2647" s="12">
        <v>3.9269999999999999E-2</v>
      </c>
      <c r="V2647" s="16">
        <v>5.5096999999999996</v>
      </c>
      <c r="W2647" s="17">
        <f t="shared" si="41"/>
        <v>1.4864615951372118E-2</v>
      </c>
    </row>
    <row r="2648" spans="1:23" x14ac:dyDescent="0.2">
      <c r="A2648" s="14">
        <v>45428</v>
      </c>
      <c r="B2648" s="3">
        <v>837672233538356</v>
      </c>
      <c r="C2648" s="3">
        <f>[1]!nefin_factors__1[[#This Row],[Rm_minus_Rf]]/B2647-1</f>
        <v>-3.1587442626055187</v>
      </c>
      <c r="D2648" s="3">
        <v>-423680075705768</v>
      </c>
      <c r="E2648" s="3">
        <f>[1]!nefin_factors__1[[#This Row],[SMB]]/D2647-1</f>
        <v>-3.1477975103870164</v>
      </c>
      <c r="F2648" s="3">
        <v>585650054.53632295</v>
      </c>
      <c r="G2648" s="3">
        <f>[1]!nefin_factors__1[[#This Row],[HML]]/F2647-1</f>
        <v>-0.99999912493060084</v>
      </c>
      <c r="H2648" s="3">
        <v>392336324890996</v>
      </c>
      <c r="I2648" s="4">
        <f>[1]!nefin_factors__1[[#This Row],[Risk_Free]]/H2647-1</f>
        <v>0</v>
      </c>
      <c r="J2648">
        <v>127395</v>
      </c>
      <c r="K2648">
        <v>128104</v>
      </c>
      <c r="L2648">
        <v>125731</v>
      </c>
      <c r="M2648">
        <v>125854</v>
      </c>
      <c r="N2648">
        <v>9950900</v>
      </c>
      <c r="O2648">
        <v>125854</v>
      </c>
      <c r="P2648">
        <v>-1.20962361160171E-2</v>
      </c>
      <c r="Q2648">
        <v>-1.21699909541677E-2</v>
      </c>
      <c r="R2648" s="8">
        <v>1.8500000238418599</v>
      </c>
      <c r="S2648" s="8">
        <v>3.9325872796185199E-2</v>
      </c>
      <c r="T2648" s="9">
        <v>3.8572303746893098E-2</v>
      </c>
      <c r="U2648" s="12">
        <v>3.9269999999999999E-2</v>
      </c>
      <c r="V2648" s="16">
        <v>5.5228999999999999</v>
      </c>
      <c r="W2648" s="17">
        <f t="shared" si="41"/>
        <v>2.3957747245766381E-3</v>
      </c>
    </row>
    <row r="2649" spans="1:23" x14ac:dyDescent="0.2">
      <c r="A2649" s="15">
        <v>45429</v>
      </c>
      <c r="B2649" s="5">
        <v>-25354687482699</v>
      </c>
      <c r="C2649" s="5">
        <f>[1]!nefin_factors__1[[#This Row],[Rm_minus_Rf]]/B2648-1</f>
        <v>-1.0302680290304</v>
      </c>
      <c r="D2649" s="5">
        <v>189624306050328</v>
      </c>
      <c r="E2649" s="5">
        <f>[1]!nefin_factors__1[[#This Row],[SMB]]/D2648-1</f>
        <v>-1.4475648417841009</v>
      </c>
      <c r="F2649" s="5">
        <v>-205055283098842</v>
      </c>
      <c r="G2649" s="5">
        <f>[1]!nefin_factors__1[[#This Row],[HML]]/F2648-1</f>
        <v>-350133.78238519165</v>
      </c>
      <c r="H2649" s="5">
        <v>392336324890996</v>
      </c>
      <c r="I2649" s="6">
        <f>[1]!nefin_factors__1[[#This Row],[Risk_Free]]/H2648-1</f>
        <v>0</v>
      </c>
      <c r="J2649">
        <v>125851</v>
      </c>
      <c r="K2649">
        <v>125851</v>
      </c>
      <c r="L2649">
        <v>123073</v>
      </c>
      <c r="M2649">
        <v>125270</v>
      </c>
      <c r="N2649">
        <v>10886100</v>
      </c>
      <c r="O2649">
        <v>125270</v>
      </c>
      <c r="P2649">
        <v>-4.6402974875650004E-3</v>
      </c>
      <c r="Q2649">
        <v>-4.6510970898140198E-3</v>
      </c>
      <c r="R2649" s="8">
        <v>1.7400000095367401</v>
      </c>
      <c r="S2649" s="8">
        <v>-5.9459466425670598E-2</v>
      </c>
      <c r="T2649" s="9">
        <v>-6.1300533270399603E-2</v>
      </c>
      <c r="U2649" s="12">
        <v>3.9269999999999999E-2</v>
      </c>
      <c r="V2649" s="16">
        <v>5.5589000000000004</v>
      </c>
      <c r="W2649" s="17">
        <f t="shared" si="41"/>
        <v>6.5183146535334746E-3</v>
      </c>
    </row>
    <row r="2650" spans="1:23" x14ac:dyDescent="0.2">
      <c r="A2650" s="14">
        <v>45432</v>
      </c>
      <c r="B2650" s="3">
        <v>-189554516912282</v>
      </c>
      <c r="C2650" s="3">
        <f>[1]!nefin_factors__1[[#This Row],[Rm_minus_Rf]]/B2649-1</f>
        <v>6.4761133238824673</v>
      </c>
      <c r="D2650" s="3">
        <v>463520823512537</v>
      </c>
      <c r="E2650" s="3">
        <f>[1]!nefin_factors__1[[#This Row],[SMB]]/D2649-1</f>
        <v>1.4444167162278996</v>
      </c>
      <c r="F2650" s="3">
        <v>-161253924783633</v>
      </c>
      <c r="G2650" s="3">
        <f>[1]!nefin_factors__1[[#This Row],[HML]]/F2649-1</f>
        <v>-0.21360755818271504</v>
      </c>
      <c r="H2650" s="3">
        <v>392336324890996</v>
      </c>
      <c r="I2650" s="4">
        <f>[1]!nefin_factors__1[[#This Row],[Risk_Free]]/H2649-1</f>
        <v>0</v>
      </c>
      <c r="J2650">
        <v>125270</v>
      </c>
      <c r="K2650">
        <v>126966</v>
      </c>
      <c r="L2650">
        <v>125261</v>
      </c>
      <c r="M2650">
        <v>126267</v>
      </c>
      <c r="N2650">
        <v>10052600</v>
      </c>
      <c r="O2650">
        <v>126267</v>
      </c>
      <c r="P2650">
        <v>7.9588089726192503E-3</v>
      </c>
      <c r="Q2650">
        <v>7.9273046997511698E-3</v>
      </c>
      <c r="R2650" s="8">
        <v>1.71000003814697</v>
      </c>
      <c r="S2650" s="8">
        <v>-1.7241362773186199E-2</v>
      </c>
      <c r="T2650" s="9">
        <v>-1.73917258845851E-2</v>
      </c>
      <c r="U2650" s="12">
        <v>3.9269999999999999E-2</v>
      </c>
      <c r="V2650" s="16">
        <v>5.5892999999999997</v>
      </c>
      <c r="W2650" s="17">
        <f t="shared" si="41"/>
        <v>5.468707837881448E-3</v>
      </c>
    </row>
    <row r="2651" spans="1:23" x14ac:dyDescent="0.2">
      <c r="A2651" s="15">
        <v>45433</v>
      </c>
      <c r="B2651" s="5">
        <v>-246896541094747</v>
      </c>
      <c r="C2651" s="5">
        <f>[1]!nefin_factors__1[[#This Row],[Rm_minus_Rf]]/B2650-1</f>
        <v>0.302509405296844</v>
      </c>
      <c r="D2651" s="5">
        <v>-194213601851802</v>
      </c>
      <c r="E2651" s="5">
        <f>[1]!nefin_factors__1[[#This Row],[SMB]]/D2650-1</f>
        <v>-1.4189964981078116</v>
      </c>
      <c r="F2651" s="5">
        <v>352615794808364</v>
      </c>
      <c r="G2651" s="5">
        <f>[1]!nefin_factors__1[[#This Row],[HML]]/F2650-1</f>
        <v>-3.1867113949722228</v>
      </c>
      <c r="H2651" s="5">
        <v>392336324890996</v>
      </c>
      <c r="I2651" s="6">
        <f>[1]!nefin_factors__1[[#This Row],[Risk_Free]]/H2650-1</f>
        <v>0</v>
      </c>
      <c r="J2651">
        <v>126268</v>
      </c>
      <c r="K2651">
        <v>127517</v>
      </c>
      <c r="L2651">
        <v>126268</v>
      </c>
      <c r="M2651">
        <v>127514</v>
      </c>
      <c r="N2651">
        <v>8837900</v>
      </c>
      <c r="O2651">
        <v>127514</v>
      </c>
      <c r="P2651">
        <v>9.8758978988968699E-3</v>
      </c>
      <c r="Q2651">
        <v>9.8274499361886009E-3</v>
      </c>
      <c r="R2651" s="8">
        <v>1.87999999523163</v>
      </c>
      <c r="S2651" s="8">
        <v>9.9415177363899196E-2</v>
      </c>
      <c r="T2651" s="9">
        <v>9.4778381482750501E-2</v>
      </c>
      <c r="U2651" s="12">
        <v>3.9269999999999999E-2</v>
      </c>
      <c r="V2651" s="16">
        <v>5.6677</v>
      </c>
      <c r="W2651" s="17">
        <f t="shared" si="41"/>
        <v>1.4026801209453765E-2</v>
      </c>
    </row>
    <row r="2652" spans="1:23" x14ac:dyDescent="0.2">
      <c r="A2652" s="14">
        <v>45434</v>
      </c>
      <c r="B2652" s="3">
        <v>-121610966533158</v>
      </c>
      <c r="C2652" s="3">
        <f>[1]!nefin_factors__1[[#This Row],[Rm_minus_Rf]]/B2651-1</f>
        <v>-0.5074415947913602</v>
      </c>
      <c r="D2652" s="3">
        <v>-847081537525157</v>
      </c>
      <c r="E2652" s="3">
        <f>[1]!nefin_factors__1[[#This Row],[SMB]]/D2651-1</f>
        <v>3.3615973827185233</v>
      </c>
      <c r="F2652" s="3">
        <v>-594819847743987</v>
      </c>
      <c r="G2652" s="3">
        <f>[1]!nefin_factors__1[[#This Row],[HML]]/F2651-1</f>
        <v>-2.6868780596378379</v>
      </c>
      <c r="H2652" s="3">
        <v>392336324890996</v>
      </c>
      <c r="I2652" s="4">
        <f>[1]!nefin_factors__1[[#This Row],[Risk_Free]]/H2651-1</f>
        <v>0</v>
      </c>
      <c r="J2652">
        <v>127515</v>
      </c>
      <c r="K2652">
        <v>128793</v>
      </c>
      <c r="L2652">
        <v>127515</v>
      </c>
      <c r="M2652">
        <v>128661</v>
      </c>
      <c r="N2652">
        <v>8624000</v>
      </c>
      <c r="O2652">
        <v>128661</v>
      </c>
      <c r="P2652">
        <v>8.9950907351350508E-3</v>
      </c>
      <c r="Q2652">
        <v>8.9548758840507503E-3</v>
      </c>
      <c r="R2652" s="8">
        <v>1.8500000238418599</v>
      </c>
      <c r="S2652" s="8">
        <v>-1.59574316307773E-2</v>
      </c>
      <c r="T2652" s="9">
        <v>-1.6086122327765798E-2</v>
      </c>
      <c r="U2652" s="12">
        <v>3.9269999999999999E-2</v>
      </c>
      <c r="V2652" s="16">
        <v>5.5862999999999996</v>
      </c>
      <c r="W2652" s="17">
        <f t="shared" si="41"/>
        <v>-1.4362086913562888E-2</v>
      </c>
    </row>
    <row r="2653" spans="1:23" x14ac:dyDescent="0.2">
      <c r="A2653" s="15">
        <v>45435</v>
      </c>
      <c r="B2653" s="5">
        <v>-702389427760423</v>
      </c>
      <c r="C2653" s="5">
        <f>[1]!nefin_factors__1[[#This Row],[Rm_minus_Rf]]/B2652-1</f>
        <v>4.7757079627264707</v>
      </c>
      <c r="D2653" s="5">
        <v>503776518785194</v>
      </c>
      <c r="E2653" s="5">
        <f>[1]!nefin_factors__1[[#This Row],[SMB]]/D2652-1</f>
        <v>-1.5947202205079729</v>
      </c>
      <c r="F2653" s="5">
        <v>-25794857111379</v>
      </c>
      <c r="G2653" s="5">
        <f>[1]!nefin_factors__1[[#This Row],[HML]]/F2652-1</f>
        <v>-0.95663416880049834</v>
      </c>
      <c r="H2653" s="5">
        <v>392336324890996</v>
      </c>
      <c r="I2653" s="6">
        <f>[1]!nefin_factors__1[[#This Row],[Risk_Free]]/H2652-1</f>
        <v>0</v>
      </c>
      <c r="J2653">
        <v>128662</v>
      </c>
      <c r="K2653">
        <v>130631</v>
      </c>
      <c r="L2653">
        <v>128662</v>
      </c>
      <c r="M2653">
        <v>130615</v>
      </c>
      <c r="N2653">
        <v>11324800</v>
      </c>
      <c r="O2653">
        <v>130615</v>
      </c>
      <c r="P2653">
        <v>1.51871973636144E-2</v>
      </c>
      <c r="Q2653">
        <v>1.5073026388575699E-2</v>
      </c>
      <c r="R2653" s="8">
        <v>1.9099999666214</v>
      </c>
      <c r="S2653" s="8">
        <v>3.2432401084482303E-2</v>
      </c>
      <c r="T2653" s="9">
        <v>3.1917572605106803E-2</v>
      </c>
      <c r="U2653" s="12">
        <v>3.9269999999999999E-2</v>
      </c>
      <c r="V2653" s="16">
        <v>5.4839000000000002</v>
      </c>
      <c r="W2653" s="17">
        <f t="shared" si="41"/>
        <v>-1.8330558688219312E-2</v>
      </c>
    </row>
    <row r="2654" spans="1:23" x14ac:dyDescent="0.2">
      <c r="A2654" s="14">
        <v>45436</v>
      </c>
      <c r="B2654" s="3">
        <v>-468144316583397</v>
      </c>
      <c r="C2654" s="3">
        <f>[1]!nefin_factors__1[[#This Row],[Rm_minus_Rf]]/B2653-1</f>
        <v>-0.33349749002333262</v>
      </c>
      <c r="D2654" s="3">
        <v>265324900982811</v>
      </c>
      <c r="E2654" s="3">
        <f>[1]!nefin_factors__1[[#This Row],[SMB]]/D2653-1</f>
        <v>-0.4733281701524813</v>
      </c>
      <c r="F2654" s="3">
        <v>121178431501245</v>
      </c>
      <c r="G2654" s="3">
        <f>[1]!nefin_factors__1[[#This Row],[HML]]/F2653-1</f>
        <v>-5.697774869541302</v>
      </c>
      <c r="H2654" s="3">
        <v>392336324890996</v>
      </c>
      <c r="I2654" s="4">
        <f>[1]!nefin_factors__1[[#This Row],[Risk_Free]]/H2653-1</f>
        <v>0</v>
      </c>
      <c r="J2654">
        <v>130615</v>
      </c>
      <c r="K2654">
        <v>131662</v>
      </c>
      <c r="L2654">
        <v>130615</v>
      </c>
      <c r="M2654">
        <v>131116</v>
      </c>
      <c r="N2654">
        <v>8601600</v>
      </c>
      <c r="O2654">
        <v>131116</v>
      </c>
      <c r="P2654">
        <v>3.8357003406959099E-3</v>
      </c>
      <c r="Q2654">
        <v>3.8283627992324099E-3</v>
      </c>
      <c r="R2654" s="8">
        <v>1.8899999856948899</v>
      </c>
      <c r="S2654" s="8">
        <v>-1.0471194385354699E-2</v>
      </c>
      <c r="T2654" s="9">
        <v>-1.05264030801238E-2</v>
      </c>
      <c r="U2654" s="12">
        <v>3.9269999999999999E-2</v>
      </c>
      <c r="V2654" s="16">
        <v>5.4969999999999999</v>
      </c>
      <c r="W2654" s="17">
        <f t="shared" si="41"/>
        <v>2.3888108827658794E-3</v>
      </c>
    </row>
    <row r="2655" spans="1:23" x14ac:dyDescent="0.2">
      <c r="A2655" s="15">
        <v>45439</v>
      </c>
      <c r="B2655" s="5">
        <v>957588360137072</v>
      </c>
      <c r="C2655" s="5">
        <f>[1]!nefin_factors__1[[#This Row],[Rm_minus_Rf]]/B2654-1</f>
        <v>-3.0454982068899765</v>
      </c>
      <c r="D2655" s="5">
        <v>26100171504545</v>
      </c>
      <c r="E2655" s="5">
        <f>[1]!nefin_factors__1[[#This Row],[SMB]]/D2654-1</f>
        <v>-0.90162939321614632</v>
      </c>
      <c r="F2655" s="5">
        <v>322157188369893</v>
      </c>
      <c r="G2655" s="5">
        <f>[1]!nefin_factors__1[[#This Row],[HML]]/F2654-1</f>
        <v>1.6585357177740256</v>
      </c>
      <c r="H2655" s="5">
        <v>392336324890996</v>
      </c>
      <c r="I2655" s="6">
        <f>[1]!nefin_factors__1[[#This Row],[Risk_Free]]/H2654-1</f>
        <v>0</v>
      </c>
      <c r="J2655">
        <v>131115</v>
      </c>
      <c r="K2655">
        <v>132430</v>
      </c>
      <c r="L2655">
        <v>131115</v>
      </c>
      <c r="M2655">
        <v>132398</v>
      </c>
      <c r="N2655">
        <v>9798900</v>
      </c>
      <c r="O2655">
        <v>132398</v>
      </c>
      <c r="P2655">
        <v>9.7776015131638694E-3</v>
      </c>
      <c r="Q2655">
        <v>9.7301100847346396E-3</v>
      </c>
      <c r="R2655" s="8">
        <v>1.96000003814697</v>
      </c>
      <c r="S2655" s="8">
        <v>3.7037065069792E-2</v>
      </c>
      <c r="T2655" s="9">
        <v>3.6367671202459602E-2</v>
      </c>
      <c r="U2655" s="12">
        <v>3.9269999999999999E-2</v>
      </c>
      <c r="V2655" s="16">
        <v>5.4720000000000004</v>
      </c>
      <c r="W2655" s="17">
        <f t="shared" si="41"/>
        <v>-4.5479352374021564E-3</v>
      </c>
    </row>
    <row r="2656" spans="1:23" x14ac:dyDescent="0.2">
      <c r="A2656" s="14">
        <v>45440</v>
      </c>
      <c r="B2656" s="3">
        <v>-573716004446057</v>
      </c>
      <c r="C2656" s="3">
        <f>[1]!nefin_factors__1[[#This Row],[Rm_minus_Rf]]/B2655-1</f>
        <v>-1.5991259170735259</v>
      </c>
      <c r="D2656" s="3">
        <v>-552897012954746</v>
      </c>
      <c r="E2656" s="3">
        <f>[1]!nefin_factors__1[[#This Row],[SMB]]/D2655-1</f>
        <v>-22.183654400832818</v>
      </c>
      <c r="F2656" s="3">
        <v>-61884015195577</v>
      </c>
      <c r="G2656" s="3">
        <f>[1]!nefin_factors__1[[#This Row],[HML]]/F2655-1</f>
        <v>-1.1920926101593712</v>
      </c>
      <c r="H2656" s="3">
        <v>392336324890996</v>
      </c>
      <c r="I2656" s="4">
        <f>[1]!nefin_factors__1[[#This Row],[Risk_Free]]/H2655-1</f>
        <v>0</v>
      </c>
      <c r="J2656">
        <v>132398</v>
      </c>
      <c r="K2656">
        <v>133777</v>
      </c>
      <c r="L2656">
        <v>132112</v>
      </c>
      <c r="M2656">
        <v>133318</v>
      </c>
      <c r="N2656">
        <v>12158400</v>
      </c>
      <c r="O2656">
        <v>133318</v>
      </c>
      <c r="P2656">
        <v>6.9487454493271103E-3</v>
      </c>
      <c r="Q2656">
        <v>6.9247141782316501E-3</v>
      </c>
      <c r="R2656" s="8">
        <v>1.9099999666214</v>
      </c>
      <c r="S2656" s="8">
        <v>-2.55102400777731E-2</v>
      </c>
      <c r="T2656" s="9">
        <v>-2.5841268122335899E-2</v>
      </c>
      <c r="U2656" s="12">
        <v>3.9269999999999999E-2</v>
      </c>
      <c r="V2656" s="16">
        <v>5.4386999999999999</v>
      </c>
      <c r="W2656" s="17">
        <f t="shared" si="41"/>
        <v>-6.0855263157896244E-3</v>
      </c>
    </row>
    <row r="2657" spans="1:23" x14ac:dyDescent="0.2">
      <c r="A2657" s="15">
        <v>45441</v>
      </c>
      <c r="B2657" s="5">
        <v>-751820078410648</v>
      </c>
      <c r="C2657" s="5">
        <f>[1]!nefin_factors__1[[#This Row],[Rm_minus_Rf]]/B2656-1</f>
        <v>0.31043943795250528</v>
      </c>
      <c r="D2657" s="5">
        <v>407715184102512</v>
      </c>
      <c r="E2657" s="5">
        <f>[1]!nefin_factors__1[[#This Row],[SMB]]/D2656-1</f>
        <v>-1.7374161454113028</v>
      </c>
      <c r="F2657" s="5">
        <v>182813762315252</v>
      </c>
      <c r="G2657" s="5">
        <f>[1]!nefin_factors__1[[#This Row],[HML]]/F2656-1</f>
        <v>-3.9541354376811371</v>
      </c>
      <c r="H2657" s="5">
        <v>392336324890996</v>
      </c>
      <c r="I2657" s="6">
        <f>[1]!nefin_factors__1[[#This Row],[Risk_Free]]/H2656-1</f>
        <v>0</v>
      </c>
      <c r="J2657">
        <v>133319</v>
      </c>
      <c r="K2657">
        <v>134575</v>
      </c>
      <c r="L2657">
        <v>133319</v>
      </c>
      <c r="M2657">
        <v>134153</v>
      </c>
      <c r="N2657">
        <v>10534800</v>
      </c>
      <c r="O2657">
        <v>134153</v>
      </c>
      <c r="P2657">
        <v>6.2632202703309901E-3</v>
      </c>
      <c r="Q2657">
        <v>6.2436878211819197E-3</v>
      </c>
      <c r="R2657" s="8">
        <v>1.96000003814697</v>
      </c>
      <c r="S2657" s="8">
        <v>2.6178048376628502E-2</v>
      </c>
      <c r="T2657" s="9">
        <v>2.5841268122335899E-2</v>
      </c>
      <c r="U2657" s="12">
        <v>3.9269999999999999E-2</v>
      </c>
      <c r="V2657" s="16">
        <v>5.3967000000000001</v>
      </c>
      <c r="W2657" s="17">
        <f t="shared" si="41"/>
        <v>-7.7224336698107354E-3</v>
      </c>
    </row>
    <row r="2658" spans="1:23" x14ac:dyDescent="0.2">
      <c r="A2658" s="14">
        <v>45443</v>
      </c>
      <c r="B2658" s="3">
        <v>-505086693559375</v>
      </c>
      <c r="C2658" s="3">
        <f>[1]!nefin_factors__1[[#This Row],[Rm_minus_Rf]]/B2657-1</f>
        <v>-0.32818142523257532</v>
      </c>
      <c r="D2658" s="3">
        <v>-328851719484413</v>
      </c>
      <c r="E2658" s="3">
        <f>[1]!nefin_factors__1[[#This Row],[SMB]]/D2657-1</f>
        <v>-1.806572166813708</v>
      </c>
      <c r="F2658" s="3">
        <v>-135851078100382</v>
      </c>
      <c r="G2658" s="3">
        <f>[1]!nefin_factors__1[[#This Row],[HML]]/F2657-1</f>
        <v>-1.743111877245404</v>
      </c>
      <c r="H2658" s="3">
        <v>392336324890996</v>
      </c>
      <c r="I2658" s="4">
        <f>[1]!nefin_factors__1[[#This Row],[Risk_Free]]/H2657-1</f>
        <v>0</v>
      </c>
      <c r="J2658">
        <v>134154</v>
      </c>
      <c r="K2658">
        <v>134781</v>
      </c>
      <c r="L2658">
        <v>133852</v>
      </c>
      <c r="M2658">
        <v>133953</v>
      </c>
      <c r="N2658">
        <v>10871900</v>
      </c>
      <c r="O2658">
        <v>133953</v>
      </c>
      <c r="P2658">
        <v>-1.49083509127634E-3</v>
      </c>
      <c r="Q2658">
        <v>-1.4919474916521801E-3</v>
      </c>
      <c r="R2658" s="8">
        <v>1.9099999666214</v>
      </c>
      <c r="S2658" s="8">
        <v>-2.55102400777731E-2</v>
      </c>
      <c r="T2658" s="9">
        <v>-2.5841268122335899E-2</v>
      </c>
      <c r="U2658" s="12">
        <v>3.9269999999999999E-2</v>
      </c>
      <c r="V2658" s="16">
        <v>5.41</v>
      </c>
      <c r="W2658" s="17">
        <f t="shared" si="41"/>
        <v>2.464469027368521E-3</v>
      </c>
    </row>
    <row r="2659" spans="1:23" x14ac:dyDescent="0.2">
      <c r="A2659" s="15">
        <v>45446</v>
      </c>
      <c r="B2659" s="5">
        <v>-183033305927233</v>
      </c>
      <c r="C2659" s="5">
        <f>[1]!nefin_factors__1[[#This Row],[Rm_minus_Rf]]/B2658-1</f>
        <v>-0.63762001996649964</v>
      </c>
      <c r="D2659" s="5">
        <v>205527775333115</v>
      </c>
      <c r="E2659" s="5">
        <f>[1]!nefin_factors__1[[#This Row],[SMB]]/D2658-1</f>
        <v>-1.6249861659697258</v>
      </c>
      <c r="F2659" s="5">
        <v>-256949039309425</v>
      </c>
      <c r="G2659" s="5">
        <f>[1]!nefin_factors__1[[#This Row],[HML]]/F2658-1</f>
        <v>0.8914022833117472</v>
      </c>
      <c r="H2659" s="5">
        <v>392336324890996</v>
      </c>
      <c r="I2659" s="6">
        <f>[1]!nefin_factors__1[[#This Row],[Risk_Free]]/H2658-1</f>
        <v>0</v>
      </c>
      <c r="J2659">
        <v>133953</v>
      </c>
      <c r="K2659">
        <v>136179</v>
      </c>
      <c r="L2659">
        <v>133953</v>
      </c>
      <c r="M2659">
        <v>135778</v>
      </c>
      <c r="N2659">
        <v>11281500</v>
      </c>
      <c r="O2659">
        <v>135778</v>
      </c>
      <c r="P2659">
        <v>1.3624181615939901E-2</v>
      </c>
      <c r="Q2659">
        <v>1.3532206898797999E-2</v>
      </c>
      <c r="R2659" s="8">
        <v>2.1400001049041699</v>
      </c>
      <c r="S2659" s="8">
        <v>0.120418922671304</v>
      </c>
      <c r="T2659" s="9">
        <v>0.11370265347157001</v>
      </c>
      <c r="U2659" s="12">
        <v>3.9269999999999999E-2</v>
      </c>
      <c r="V2659" s="16">
        <v>5.4528999999999996</v>
      </c>
      <c r="W2659" s="17">
        <f t="shared" si="41"/>
        <v>7.9297597042513601E-3</v>
      </c>
    </row>
    <row r="2660" spans="1:23" x14ac:dyDescent="0.2">
      <c r="A2660" s="14">
        <v>45447</v>
      </c>
      <c r="B2660" s="3">
        <v>-236992352893098</v>
      </c>
      <c r="C2660" s="3">
        <f>[1]!nefin_factors__1[[#This Row],[Rm_minus_Rf]]/B2659-1</f>
        <v>0.29480452583486105</v>
      </c>
      <c r="D2660" s="3">
        <v>-104748064181947</v>
      </c>
      <c r="E2660" s="3">
        <f>[1]!nefin_factors__1[[#This Row],[SMB]]/D2659-1</f>
        <v>-1.5096540553322955</v>
      </c>
      <c r="F2660" s="3">
        <v>-385860963043678</v>
      </c>
      <c r="G2660" s="3">
        <f>[1]!nefin_factors__1[[#This Row],[HML]]/F2659-1</f>
        <v>0.50170229894891238</v>
      </c>
      <c r="H2660" s="3">
        <v>391976691775264</v>
      </c>
      <c r="I2660" s="4">
        <f>[1]!nefin_factors__1[[#This Row],[Risk_Free]]/H2659-1</f>
        <v>-9.1664496228305303E-4</v>
      </c>
      <c r="J2660">
        <v>135779</v>
      </c>
      <c r="K2660">
        <v>136330</v>
      </c>
      <c r="L2660">
        <v>135312</v>
      </c>
      <c r="M2660">
        <v>136087</v>
      </c>
      <c r="N2660">
        <v>8106800</v>
      </c>
      <c r="O2660">
        <v>136087</v>
      </c>
      <c r="P2660">
        <v>2.2757736894047898E-3</v>
      </c>
      <c r="Q2660">
        <v>2.2731880386230399E-3</v>
      </c>
      <c r="R2660" s="8">
        <v>2.03999996185303</v>
      </c>
      <c r="S2660" s="8">
        <v>-4.6729036518259999E-2</v>
      </c>
      <c r="T2660" s="9">
        <v>-4.7856088897772903E-2</v>
      </c>
      <c r="U2660" s="12">
        <v>3.9269999999999999E-2</v>
      </c>
      <c r="V2660" s="16">
        <v>5.4562999999999997</v>
      </c>
      <c r="W2660" s="17">
        <f t="shared" si="41"/>
        <v>6.2352142896449081E-4</v>
      </c>
    </row>
    <row r="2661" spans="1:23" x14ac:dyDescent="0.2">
      <c r="A2661" s="15">
        <v>45448</v>
      </c>
      <c r="B2661" s="5">
        <v>-308306467830821</v>
      </c>
      <c r="C2661" s="5">
        <f>[1]!nefin_factors__1[[#This Row],[Rm_minus_Rf]]/B2660-1</f>
        <v>0.30091314790182788</v>
      </c>
      <c r="D2661" s="5">
        <v>-651275781402983</v>
      </c>
      <c r="E2661" s="5">
        <f>[1]!nefin_factors__1[[#This Row],[SMB]]/D2660-1</f>
        <v>5.2175447965484061</v>
      </c>
      <c r="F2661" s="5">
        <v>-202363027123103</v>
      </c>
      <c r="G2661" s="5">
        <f>[1]!nefin_factors__1[[#This Row],[HML]]/F2660-1</f>
        <v>-0.47555454812826903</v>
      </c>
      <c r="H2661" s="5">
        <v>392336324890996</v>
      </c>
      <c r="I2661" s="6">
        <f>[1]!nefin_factors__1[[#This Row],[Risk_Free]]/H2660-1</f>
        <v>9.1748597117646824E-4</v>
      </c>
      <c r="J2661">
        <v>136088</v>
      </c>
      <c r="K2661">
        <v>137040</v>
      </c>
      <c r="L2661">
        <v>136086</v>
      </c>
      <c r="M2661">
        <v>136464</v>
      </c>
      <c r="N2661">
        <v>9572200</v>
      </c>
      <c r="O2661">
        <v>136464</v>
      </c>
      <c r="P2661">
        <v>2.77028665486045E-3</v>
      </c>
      <c r="Q2661">
        <v>2.7664564829375602E-3</v>
      </c>
      <c r="R2661" s="8">
        <v>2.2999999523162802</v>
      </c>
      <c r="S2661" s="8">
        <v>0.127450978100552</v>
      </c>
      <c r="T2661" s="9">
        <v>0.119959313046425</v>
      </c>
      <c r="U2661" s="12">
        <v>3.9269999999999999E-2</v>
      </c>
      <c r="V2661" s="16">
        <v>5.4273999999999996</v>
      </c>
      <c r="W2661" s="17">
        <f t="shared" si="41"/>
        <v>-5.2966295841504474E-3</v>
      </c>
    </row>
    <row r="2662" spans="1:23" x14ac:dyDescent="0.2">
      <c r="A2662" s="14">
        <v>45449</v>
      </c>
      <c r="B2662" s="3">
        <v>113535239008425</v>
      </c>
      <c r="C2662" s="3">
        <f>[1]!nefin_factors__1[[#This Row],[Rm_minus_Rf]]/B2661-1</f>
        <v>-1.3682544832978527</v>
      </c>
      <c r="D2662" s="3">
        <v>94554241757802</v>
      </c>
      <c r="E2662" s="3">
        <f>[1]!nefin_factors__1[[#This Row],[SMB]]/D2661-1</f>
        <v>-1.1451831074604257</v>
      </c>
      <c r="F2662" s="3">
        <v>643820890146847</v>
      </c>
      <c r="G2662" s="3">
        <f>[1]!nefin_factors__1[[#This Row],[HML]]/F2661-1</f>
        <v>-4.1815144263244939</v>
      </c>
      <c r="H2662" s="3">
        <v>391976691775264</v>
      </c>
      <c r="I2662" s="4">
        <f>[1]!nefin_factors__1[[#This Row],[Risk_Free]]/H2661-1</f>
        <v>-9.1664496228305303E-4</v>
      </c>
      <c r="J2662">
        <v>136462</v>
      </c>
      <c r="K2662">
        <v>136462</v>
      </c>
      <c r="L2662">
        <v>134836</v>
      </c>
      <c r="M2662">
        <v>135173</v>
      </c>
      <c r="N2662">
        <v>8050200</v>
      </c>
      <c r="O2662">
        <v>135173</v>
      </c>
      <c r="P2662">
        <v>-9.4603705006448494E-3</v>
      </c>
      <c r="Q2662">
        <v>-9.5054040534291902E-3</v>
      </c>
      <c r="R2662" s="8">
        <v>2.1500000953674299</v>
      </c>
      <c r="S2662" s="8">
        <v>-6.5217330460285799E-2</v>
      </c>
      <c r="T2662" s="9">
        <v>-6.7441215706538105E-2</v>
      </c>
      <c r="U2662" s="12">
        <v>3.9269999999999999E-2</v>
      </c>
      <c r="V2662" s="16">
        <v>5.4669999999999996</v>
      </c>
      <c r="W2662" s="17">
        <f t="shared" si="41"/>
        <v>7.2963113092825438E-3</v>
      </c>
    </row>
    <row r="2663" spans="1:23" x14ac:dyDescent="0.2">
      <c r="A2663" s="15">
        <v>45450</v>
      </c>
      <c r="B2663" s="5">
        <v>-176745832351549</v>
      </c>
      <c r="C2663" s="5">
        <f>[1]!nefin_factors__1[[#This Row],[Rm_minus_Rf]]/B2662-1</f>
        <v>-2.5567486702382629</v>
      </c>
      <c r="D2663" s="5">
        <v>-107376126937483</v>
      </c>
      <c r="E2663" s="5">
        <f>[1]!nefin_factors__1[[#This Row],[SMB]]/D2662-1</f>
        <v>-2.1356034900319321</v>
      </c>
      <c r="F2663" s="5">
        <v>322672502341379</v>
      </c>
      <c r="G2663" s="5">
        <f>[1]!nefin_factors__1[[#This Row],[HML]]/F2662-1</f>
        <v>-0.49881635206372121</v>
      </c>
      <c r="H2663" s="5">
        <v>39305549378521</v>
      </c>
      <c r="I2663" s="6">
        <f>[1]!nefin_factors__1[[#This Row],[Risk_Free]]/H2662-1</f>
        <v>-0.89972477904105475</v>
      </c>
      <c r="J2663">
        <v>135174</v>
      </c>
      <c r="K2663">
        <v>136478</v>
      </c>
      <c r="L2663">
        <v>135174</v>
      </c>
      <c r="M2663">
        <v>135608</v>
      </c>
      <c r="N2663">
        <v>8649400</v>
      </c>
      <c r="O2663">
        <v>135608</v>
      </c>
      <c r="P2663">
        <v>3.2180982888594398E-3</v>
      </c>
      <c r="Q2663">
        <v>3.2129312928606802E-3</v>
      </c>
      <c r="R2663" s="8">
        <v>2.25</v>
      </c>
      <c r="S2663" s="8">
        <v>4.6511581486920098E-2</v>
      </c>
      <c r="T2663" s="9">
        <v>4.5462329719813399E-2</v>
      </c>
      <c r="U2663" s="12">
        <v>3.9269999999999999E-2</v>
      </c>
      <c r="V2663" s="16">
        <v>5.5426000000000002</v>
      </c>
      <c r="W2663" s="17">
        <f t="shared" si="41"/>
        <v>1.3828425096030772E-2</v>
      </c>
    </row>
    <row r="2664" spans="1:23" x14ac:dyDescent="0.2">
      <c r="A2664" s="14">
        <v>45453</v>
      </c>
      <c r="B2664" s="3">
        <v>-239164966906156</v>
      </c>
      <c r="C2664" s="3">
        <f>[1]!nefin_factors__1[[#This Row],[Rm_minus_Rf]]/B2663-1</f>
        <v>0.35315760334566071</v>
      </c>
      <c r="D2664" s="3">
        <v>-102132520353034</v>
      </c>
      <c r="E2664" s="3">
        <f>[1]!nefin_factors__1[[#This Row],[SMB]]/D2663-1</f>
        <v>-4.8834007465197171E-2</v>
      </c>
      <c r="F2664" s="3">
        <v>193210552943174</v>
      </c>
      <c r="G2664" s="3">
        <f>[1]!nefin_factors__1[[#This Row],[HML]]/F2663-1</f>
        <v>-0.40121779345559994</v>
      </c>
      <c r="H2664" s="3">
        <v>393774532935875</v>
      </c>
      <c r="I2664" s="4">
        <f>[1]!nefin_factors__1[[#This Row],[Risk_Free]]/H2663-1</f>
        <v>9.0182935784395344</v>
      </c>
      <c r="J2664">
        <v>135608</v>
      </c>
      <c r="K2664">
        <v>137013</v>
      </c>
      <c r="L2664">
        <v>135596</v>
      </c>
      <c r="M2664">
        <v>136889</v>
      </c>
      <c r="N2664">
        <v>7560000</v>
      </c>
      <c r="O2664">
        <v>136889</v>
      </c>
      <c r="P2664">
        <v>9.4463453483570898E-3</v>
      </c>
      <c r="Q2664">
        <v>9.4020076290428599E-3</v>
      </c>
      <c r="R2664" s="8">
        <v>2.0699999332428001</v>
      </c>
      <c r="S2664" s="8">
        <v>-8.0000029669867606E-2</v>
      </c>
      <c r="T2664" s="9">
        <v>-8.3381641188907701E-2</v>
      </c>
      <c r="U2664" s="12">
        <v>3.9269999999999999E-2</v>
      </c>
      <c r="V2664" s="16">
        <v>5.5542999999999996</v>
      </c>
      <c r="W2664" s="17">
        <f t="shared" si="41"/>
        <v>2.1109226716702345E-3</v>
      </c>
    </row>
    <row r="2665" spans="1:23" x14ac:dyDescent="0.2">
      <c r="A2665" s="15">
        <v>45454</v>
      </c>
      <c r="B2665" s="5">
        <v>739714009702653</v>
      </c>
      <c r="C2665" s="5">
        <f>[1]!nefin_factors__1[[#This Row],[Rm_minus_Rf]]/B2664-1</f>
        <v>-4.0929028581050648</v>
      </c>
      <c r="D2665" s="5">
        <v>865984212784666</v>
      </c>
      <c r="E2665" s="5">
        <f>[1]!nefin_factors__1[[#This Row],[SMB]]/D2664-1</f>
        <v>-9.4790251899324698</v>
      </c>
      <c r="F2665" s="5">
        <v>566668945896965</v>
      </c>
      <c r="G2665" s="5">
        <f>[1]!nefin_factors__1[[#This Row],[HML]]/F2664-1</f>
        <v>1.9329088772062595</v>
      </c>
      <c r="H2665" s="5">
        <v>393415029575683</v>
      </c>
      <c r="I2665" s="6">
        <f>[1]!nefin_factors__1[[#This Row],[Risk_Free]]/H2664-1</f>
        <v>-9.1296752360203737E-4</v>
      </c>
      <c r="J2665">
        <v>136888</v>
      </c>
      <c r="K2665">
        <v>137213</v>
      </c>
      <c r="L2665">
        <v>136664</v>
      </c>
      <c r="M2665">
        <v>136776</v>
      </c>
      <c r="N2665">
        <v>6745900</v>
      </c>
      <c r="O2665">
        <v>136776</v>
      </c>
      <c r="P2665">
        <v>-8.2548634294943302E-4</v>
      </c>
      <c r="Q2665">
        <v>-8.2582724441988104E-4</v>
      </c>
      <c r="R2665" s="8">
        <v>2.0899999141693102</v>
      </c>
      <c r="S2665" s="8">
        <v>9.6618268461401407E-3</v>
      </c>
      <c r="T2665" s="9">
        <v>9.6154498819826101E-3</v>
      </c>
      <c r="U2665" s="12">
        <v>3.9269999999999999E-2</v>
      </c>
      <c r="V2665" s="16">
        <v>5.5598000000000001</v>
      </c>
      <c r="W2665" s="17">
        <f t="shared" si="41"/>
        <v>9.90223790576783E-4</v>
      </c>
    </row>
    <row r="2666" spans="1:23" x14ac:dyDescent="0.2">
      <c r="A2666" s="14">
        <v>45455</v>
      </c>
      <c r="B2666" s="3">
        <v>-138388020893587</v>
      </c>
      <c r="C2666" s="3">
        <f>[1]!nefin_factors__1[[#This Row],[Rm_minus_Rf]]/B2665-1</f>
        <v>-1.187083141698527</v>
      </c>
      <c r="D2666" s="3">
        <v>-310727649513783</v>
      </c>
      <c r="E2666" s="3">
        <f>[1]!nefin_factors__1[[#This Row],[SMB]]/D2665-1</f>
        <v>-1.3588144505713384</v>
      </c>
      <c r="F2666" s="3">
        <v>-486896918789639</v>
      </c>
      <c r="G2666" s="3">
        <f>[1]!nefin_factors__1[[#This Row],[HML]]/F2665-1</f>
        <v>-1.8592264007319881</v>
      </c>
      <c r="H2666" s="3">
        <v>393774532935875</v>
      </c>
      <c r="I2666" s="4">
        <f>[1]!nefin_factors__1[[#This Row],[Risk_Free]]/H2665-1</f>
        <v>9.1380179496391989E-4</v>
      </c>
      <c r="J2666">
        <v>136776</v>
      </c>
      <c r="K2666">
        <v>137469</v>
      </c>
      <c r="L2666">
        <v>135746</v>
      </c>
      <c r="M2666">
        <v>137344</v>
      </c>
      <c r="N2666">
        <v>7457100</v>
      </c>
      <c r="O2666">
        <v>137344</v>
      </c>
      <c r="P2666">
        <v>4.1527753407031298E-3</v>
      </c>
      <c r="Q2666">
        <v>4.1441763673705397E-3</v>
      </c>
      <c r="R2666" s="8">
        <v>2.0499999523162802</v>
      </c>
      <c r="S2666" s="8">
        <v>-1.9138738514697801E-2</v>
      </c>
      <c r="T2666" s="9">
        <v>-1.9324255019436399E-2</v>
      </c>
      <c r="U2666" s="12">
        <v>3.9269999999999999E-2</v>
      </c>
      <c r="V2666" s="16">
        <v>5.5807000000000002</v>
      </c>
      <c r="W2666" s="17">
        <f t="shared" si="41"/>
        <v>3.7591280261879412E-3</v>
      </c>
    </row>
    <row r="2667" spans="1:23" x14ac:dyDescent="0.2">
      <c r="A2667" s="15">
        <v>45456</v>
      </c>
      <c r="B2667" s="5">
        <v>-383309559548082</v>
      </c>
      <c r="C2667" s="5">
        <f>[1]!nefin_factors__1[[#This Row],[Rm_minus_Rf]]/B2666-1</f>
        <v>1.7698174818384502</v>
      </c>
      <c r="D2667" s="5">
        <v>-318374696593867</v>
      </c>
      <c r="E2667" s="5">
        <f>[1]!nefin_factors__1[[#This Row],[SMB]]/D2666-1</f>
        <v>2.4610127525020342E-2</v>
      </c>
      <c r="F2667" s="5">
        <v>567434210092418</v>
      </c>
      <c r="G2667" s="5">
        <f>[1]!nefin_factors__1[[#This Row],[HML]]/F2666-1</f>
        <v>-2.1654093262758449</v>
      </c>
      <c r="H2667" s="5">
        <v>393415029575683</v>
      </c>
      <c r="I2667" s="6">
        <f>[1]!nefin_factors__1[[#This Row],[Risk_Free]]/H2666-1</f>
        <v>-9.1296752360203737E-4</v>
      </c>
      <c r="J2667">
        <v>137349</v>
      </c>
      <c r="K2667">
        <v>137370</v>
      </c>
      <c r="L2667">
        <v>135858</v>
      </c>
      <c r="M2667">
        <v>136041</v>
      </c>
      <c r="N2667">
        <v>8385100</v>
      </c>
      <c r="O2667">
        <v>136041</v>
      </c>
      <c r="P2667">
        <v>-9.4871272134202708E-3</v>
      </c>
      <c r="Q2667">
        <v>-9.5324166770180806E-3</v>
      </c>
      <c r="R2667" s="8">
        <v>1.9800000190734901</v>
      </c>
      <c r="S2667" s="8">
        <v>-3.4146309693180901E-2</v>
      </c>
      <c r="T2667" s="9">
        <v>-3.4742915550449699E-2</v>
      </c>
      <c r="U2667" s="12">
        <v>3.9269999999999999E-2</v>
      </c>
      <c r="V2667" s="16">
        <v>5.6345999999999998</v>
      </c>
      <c r="W2667" s="17">
        <f t="shared" si="41"/>
        <v>9.6582865948715568E-3</v>
      </c>
    </row>
    <row r="2668" spans="1:23" x14ac:dyDescent="0.2">
      <c r="A2668" s="14">
        <v>45457</v>
      </c>
      <c r="B2668" s="3">
        <v>-285393088030771</v>
      </c>
      <c r="C2668" s="3">
        <f>[1]!nefin_factors__1[[#This Row],[Rm_minus_Rf]]/B2667-1</f>
        <v>-0.25545011617438784</v>
      </c>
      <c r="D2668" s="3">
        <v>571175288594799</v>
      </c>
      <c r="E2668" s="3">
        <f>[1]!nefin_factors__1[[#This Row],[SMB]]/D2667-1</f>
        <v>-2.7940348108864184</v>
      </c>
      <c r="F2668" s="3">
        <v>-195341833632183</v>
      </c>
      <c r="G2668" s="3">
        <f>[1]!nefin_factors__1[[#This Row],[HML]]/F2667-1</f>
        <v>-1.3442545940266233</v>
      </c>
      <c r="H2668" s="3">
        <v>393774532935875</v>
      </c>
      <c r="I2668" s="4">
        <f>[1]!nefin_factors__1[[#This Row],[Risk_Free]]/H2667-1</f>
        <v>9.1380179496391989E-4</v>
      </c>
      <c r="J2668">
        <v>136041</v>
      </c>
      <c r="K2668">
        <v>136139</v>
      </c>
      <c r="L2668">
        <v>134910</v>
      </c>
      <c r="M2668">
        <v>136004</v>
      </c>
      <c r="N2668">
        <v>18397900</v>
      </c>
      <c r="O2668">
        <v>136004</v>
      </c>
      <c r="P2668">
        <v>-2.71976830514276E-4</v>
      </c>
      <c r="Q2668">
        <v>-2.72013822919981E-4</v>
      </c>
      <c r="R2668" s="8">
        <v>1.9700000286102299</v>
      </c>
      <c r="S2668" s="8">
        <v>-5.05050018531628E-3</v>
      </c>
      <c r="T2668" s="9">
        <v>-5.0632970666615804E-3</v>
      </c>
      <c r="U2668" s="12">
        <v>3.9269999999999999E-2</v>
      </c>
      <c r="V2668" s="16">
        <v>5.6402000000000001</v>
      </c>
      <c r="W2668" s="17">
        <f t="shared" si="41"/>
        <v>9.9385936889939686E-4</v>
      </c>
    </row>
    <row r="2669" spans="1:23" x14ac:dyDescent="0.2">
      <c r="A2669" s="15">
        <v>45460</v>
      </c>
      <c r="B2669" s="5">
        <v>-467842188201669</v>
      </c>
      <c r="C2669" s="5">
        <f>[1]!nefin_factors__1[[#This Row],[Rm_minus_Rf]]/B2668-1</f>
        <v>0.63929053583535422</v>
      </c>
      <c r="D2669" s="5">
        <v>-964173840671611</v>
      </c>
      <c r="E2669" s="5">
        <f>[1]!nefin_factors__1[[#This Row],[SMB]]/D2668-1</f>
        <v>-2.6880524419108958</v>
      </c>
      <c r="F2669" s="5">
        <v>-482983488703503</v>
      </c>
      <c r="G2669" s="5">
        <f>[1]!nefin_factors__1[[#This Row],[HML]]/F2668-1</f>
        <v>1.4725041212264447</v>
      </c>
      <c r="H2669" s="5">
        <v>393415029575683</v>
      </c>
      <c r="I2669" s="6">
        <f>[1]!nefin_factors__1[[#This Row],[Risk_Free]]/H2668-1</f>
        <v>-9.1296752360203737E-4</v>
      </c>
      <c r="J2669">
        <v>136004</v>
      </c>
      <c r="K2669">
        <v>136004</v>
      </c>
      <c r="L2669">
        <v>134497</v>
      </c>
      <c r="M2669">
        <v>134981</v>
      </c>
      <c r="N2669">
        <v>3666100</v>
      </c>
      <c r="O2669">
        <v>134981</v>
      </c>
      <c r="P2669">
        <v>-7.5218375930119503E-3</v>
      </c>
      <c r="Q2669">
        <v>-7.5502692754591001E-3</v>
      </c>
      <c r="R2669" s="8">
        <v>1.91999995708466</v>
      </c>
      <c r="S2669" s="8">
        <v>-2.5380746598692699E-2</v>
      </c>
      <c r="T2669" s="9">
        <v>-2.5708393584908E-2</v>
      </c>
      <c r="U2669" s="12">
        <v>3.9269999999999999E-2</v>
      </c>
      <c r="V2669" s="16">
        <v>5.6464999999999996</v>
      </c>
      <c r="W2669" s="17">
        <f t="shared" si="41"/>
        <v>1.1169816673166633E-3</v>
      </c>
    </row>
    <row r="2670" spans="1:23" x14ac:dyDescent="0.2">
      <c r="A2670" s="14">
        <v>45461</v>
      </c>
      <c r="B2670" s="3">
        <v>477994190631376</v>
      </c>
      <c r="C2670" s="3">
        <f>[1]!nefin_factors__1[[#This Row],[Rm_minus_Rf]]/B2669-1</f>
        <v>-2.0216996301011889</v>
      </c>
      <c r="D2670" s="3">
        <v>-866072842918745</v>
      </c>
      <c r="E2670" s="3">
        <f>[1]!nefin_factors__1[[#This Row],[SMB]]/D2669-1</f>
        <v>-0.101746172333956</v>
      </c>
      <c r="F2670" s="3">
        <v>-317442813124764</v>
      </c>
      <c r="G2670" s="3">
        <f>[1]!nefin_factors__1[[#This Row],[HML]]/F2669-1</f>
        <v>-0.34274603470008513</v>
      </c>
      <c r="H2670" s="3">
        <v>393415029575683</v>
      </c>
      <c r="I2670" s="4">
        <f>[1]!nefin_factors__1[[#This Row],[Risk_Free]]/H2669-1</f>
        <v>0</v>
      </c>
      <c r="J2670">
        <v>134907</v>
      </c>
      <c r="K2670">
        <v>135011</v>
      </c>
      <c r="L2670">
        <v>134171</v>
      </c>
      <c r="M2670">
        <v>134353</v>
      </c>
      <c r="N2670">
        <v>8802400</v>
      </c>
      <c r="O2670">
        <v>134353</v>
      </c>
      <c r="P2670">
        <v>-4.6525066490839002E-3</v>
      </c>
      <c r="Q2670">
        <v>-4.6633632448210604E-3</v>
      </c>
      <c r="R2670" s="8">
        <v>1.9099999666214</v>
      </c>
      <c r="S2670" s="8">
        <v>-5.2083284826948103E-3</v>
      </c>
      <c r="T2670" s="9">
        <v>-5.2219391051171503E-3</v>
      </c>
      <c r="U2670" s="12">
        <v>3.9269999999999999E-2</v>
      </c>
      <c r="V2670" s="16">
        <v>5.6478999999999999</v>
      </c>
      <c r="W2670" s="17">
        <f t="shared" si="41"/>
        <v>2.4794120251492302E-4</v>
      </c>
    </row>
    <row r="2671" spans="1:23" x14ac:dyDescent="0.2">
      <c r="A2671" s="15">
        <v>45462</v>
      </c>
      <c r="B2671" s="5">
        <v>513651369160802</v>
      </c>
      <c r="C2671" s="5">
        <f>[1]!nefin_factors__1[[#This Row],[Rm_minus_Rf]]/B2670-1</f>
        <v>7.459751442235496E-2</v>
      </c>
      <c r="D2671" s="5">
        <v>2876425937385</v>
      </c>
      <c r="E2671" s="5">
        <f>[1]!nefin_factors__1[[#This Row],[SMB]]/D2670-1</f>
        <v>-1.0033212286482638</v>
      </c>
      <c r="F2671" s="5">
        <v>-828537226852538</v>
      </c>
      <c r="G2671" s="5">
        <f>[1]!nefin_factors__1[[#This Row],[HML]]/F2670-1</f>
        <v>1.6100361784750801</v>
      </c>
      <c r="H2671" s="5">
        <v>393415029575683</v>
      </c>
      <c r="I2671" s="6">
        <f>[1]!nefin_factors__1[[#This Row],[Risk_Free]]/H2670-1</f>
        <v>0</v>
      </c>
      <c r="J2671">
        <v>134359</v>
      </c>
      <c r="K2671">
        <v>136838</v>
      </c>
      <c r="L2671">
        <v>134359</v>
      </c>
      <c r="M2671">
        <v>136111</v>
      </c>
      <c r="N2671">
        <v>9419500</v>
      </c>
      <c r="O2671">
        <v>136111</v>
      </c>
      <c r="P2671">
        <v>1.3084932975073099E-2</v>
      </c>
      <c r="Q2671">
        <v>1.3000064767783899E-2</v>
      </c>
      <c r="R2671" s="8">
        <v>1.9400000572204601</v>
      </c>
      <c r="S2671" s="8">
        <v>1.5706853991273698E-2</v>
      </c>
      <c r="T2671" s="9">
        <v>1.5584777987487201E-2</v>
      </c>
      <c r="U2671" s="12">
        <v>3.9269999999999999E-2</v>
      </c>
      <c r="V2671" s="16">
        <v>5.6532</v>
      </c>
      <c r="W2671" s="17">
        <f t="shared" si="41"/>
        <v>9.3840188388605306E-4</v>
      </c>
    </row>
    <row r="2672" spans="1:23" x14ac:dyDescent="0.2">
      <c r="A2672" s="14">
        <v>45463</v>
      </c>
      <c r="B2672" s="3">
        <v>217157986405017</v>
      </c>
      <c r="C2672" s="3">
        <f>[1]!nefin_factors__1[[#This Row],[Rm_minus_Rf]]/B2671-1</f>
        <v>-0.57722689076093125</v>
      </c>
      <c r="D2672" s="3">
        <v>-10166731898952</v>
      </c>
      <c r="E2672" s="3">
        <f>[1]!nefin_factors__1[[#This Row],[SMB]]/D2671-1</f>
        <v>-4.5345015377641609</v>
      </c>
      <c r="F2672" s="3">
        <v>273338432898286</v>
      </c>
      <c r="G2672" s="3">
        <f>[1]!nefin_factors__1[[#This Row],[HML]]/F2671-1</f>
        <v>-1.3299048299092715</v>
      </c>
      <c r="H2672" s="3">
        <v>39305549378521</v>
      </c>
      <c r="I2672" s="4">
        <f>[1]!nefin_factors__1[[#This Row],[Risk_Free]]/H2671-1</f>
        <v>-0.90009138842277092</v>
      </c>
      <c r="J2672">
        <v>136112</v>
      </c>
      <c r="K2672">
        <v>136656</v>
      </c>
      <c r="L2672">
        <v>135959</v>
      </c>
      <c r="M2672">
        <v>136502</v>
      </c>
      <c r="N2672">
        <v>7528700</v>
      </c>
      <c r="O2672">
        <v>136502</v>
      </c>
      <c r="P2672">
        <v>2.8726554062492599E-3</v>
      </c>
      <c r="Q2672">
        <v>2.8685372165825002E-3</v>
      </c>
      <c r="R2672" s="8">
        <v>1.9099999666214</v>
      </c>
      <c r="S2672" s="8">
        <v>-1.54639637702088E-2</v>
      </c>
      <c r="T2672" s="9">
        <v>-1.55847779874873E-2</v>
      </c>
      <c r="U2672" s="12">
        <v>3.9269999999999999E-2</v>
      </c>
      <c r="V2672" s="16">
        <v>5.6620999999999997</v>
      </c>
      <c r="W2672" s="17">
        <f t="shared" si="41"/>
        <v>1.5743295832448823E-3</v>
      </c>
    </row>
    <row r="2673" spans="1:23" x14ac:dyDescent="0.2">
      <c r="A2673" s="15">
        <v>45464</v>
      </c>
      <c r="B2673" s="5">
        <v>717539638879046</v>
      </c>
      <c r="C2673" s="5">
        <f>[1]!nefin_factors__1[[#This Row],[Rm_minus_Rf]]/B2672-1</f>
        <v>2.3042286436602759</v>
      </c>
      <c r="D2673" s="5">
        <v>-53576026502309</v>
      </c>
      <c r="E2673" s="5">
        <f>[1]!nefin_factors__1[[#This Row],[SMB]]/D2672-1</f>
        <v>4.2697392864103838</v>
      </c>
      <c r="F2673" s="5">
        <v>895889273795226</v>
      </c>
      <c r="G2673" s="5">
        <f>[1]!nefin_factors__1[[#This Row],[HML]]/F2672-1</f>
        <v>2.2775825349397611</v>
      </c>
      <c r="H2673" s="5">
        <v>39305549378521</v>
      </c>
      <c r="I2673" s="6">
        <f>[1]!nefin_factors__1[[#This Row],[Risk_Free]]/H2672-1</f>
        <v>0</v>
      </c>
      <c r="J2673">
        <v>136508</v>
      </c>
      <c r="K2673">
        <v>136653</v>
      </c>
      <c r="L2673">
        <v>134476</v>
      </c>
      <c r="M2673">
        <v>134572</v>
      </c>
      <c r="N2673">
        <v>7563300</v>
      </c>
      <c r="O2673">
        <v>134572</v>
      </c>
      <c r="P2673">
        <v>-1.4138986974549799E-2</v>
      </c>
      <c r="Q2673">
        <v>-1.4239894735791399E-2</v>
      </c>
      <c r="R2673" s="8">
        <v>1.8999999761581401</v>
      </c>
      <c r="S2673" s="8">
        <v>-5.2355971926773002E-3</v>
      </c>
      <c r="T2673" s="9">
        <v>-5.2493509587825003E-3</v>
      </c>
      <c r="U2673" s="12">
        <v>3.9269999999999999E-2</v>
      </c>
      <c r="V2673" s="16">
        <v>5.6680999999999999</v>
      </c>
      <c r="W2673" s="17">
        <f t="shared" si="41"/>
        <v>1.0596775048128393E-3</v>
      </c>
    </row>
    <row r="2674" spans="1:23" x14ac:dyDescent="0.2">
      <c r="A2674" s="14">
        <v>45467</v>
      </c>
      <c r="B2674" s="3">
        <v>104523837367533</v>
      </c>
      <c r="C2674" s="3">
        <f>[1]!nefin_factors__1[[#This Row],[Rm_minus_Rf]]/B2673-1</f>
        <v>-0.85433022553175997</v>
      </c>
      <c r="D2674" s="3">
        <v>882477637770434</v>
      </c>
      <c r="E2674" s="3">
        <f>[1]!nefin_factors__1[[#This Row],[SMB]]/D2673-1</f>
        <v>-17.471502188248344</v>
      </c>
      <c r="F2674" s="3">
        <v>-772012562188781</v>
      </c>
      <c r="G2674" s="3">
        <f>[1]!nefin_factors__1[[#This Row],[HML]]/F2673-1</f>
        <v>-1.8617276540418102</v>
      </c>
      <c r="H2674" s="3">
        <v>39305549378521</v>
      </c>
      <c r="I2674" s="4">
        <f>[1]!nefin_factors__1[[#This Row],[Risk_Free]]/H2673-1</f>
        <v>0</v>
      </c>
      <c r="J2674">
        <v>134574</v>
      </c>
      <c r="K2674">
        <v>135250</v>
      </c>
      <c r="L2674">
        <v>134399</v>
      </c>
      <c r="M2674">
        <v>134737</v>
      </c>
      <c r="N2674">
        <v>6587600</v>
      </c>
      <c r="O2674">
        <v>134737</v>
      </c>
      <c r="P2674">
        <v>1.2261094432719499E-3</v>
      </c>
      <c r="Q2674">
        <v>1.22535838494563E-3</v>
      </c>
      <c r="R2674" s="8">
        <v>1.8099999427795399</v>
      </c>
      <c r="S2674" s="8">
        <v>-4.7368439214711899E-2</v>
      </c>
      <c r="T2674" s="9">
        <v>-4.8527059959827798E-2</v>
      </c>
      <c r="U2674" s="12">
        <v>3.9269999999999999E-2</v>
      </c>
      <c r="V2674" s="16">
        <v>5.7366000000000001</v>
      </c>
      <c r="W2674" s="17">
        <f t="shared" si="41"/>
        <v>1.2085178454861456E-2</v>
      </c>
    </row>
    <row r="2675" spans="1:23" x14ac:dyDescent="0.2">
      <c r="A2675" s="15">
        <v>45468</v>
      </c>
      <c r="B2675" s="5">
        <v>-120116846913041</v>
      </c>
      <c r="C2675" s="5">
        <f>[1]!nefin_factors__1[[#This Row],[Rm_minus_Rf]]/B2674-1</f>
        <v>-2.1491813727683851</v>
      </c>
      <c r="D2675" s="5">
        <v>-253480294271289</v>
      </c>
      <c r="E2675" s="5">
        <f>[1]!nefin_factors__1[[#This Row],[SMB]]/D2674-1</f>
        <v>-1.2872370736914116</v>
      </c>
      <c r="F2675" s="5">
        <v>-566577060979341</v>
      </c>
      <c r="G2675" s="5">
        <f>[1]!nefin_factors__1[[#This Row],[HML]]/F2674-1</f>
        <v>-0.26610383207625143</v>
      </c>
      <c r="H2675" s="5">
        <v>39305549378521</v>
      </c>
      <c r="I2675" s="6">
        <f>[1]!nefin_factors__1[[#This Row],[Risk_Free]]/H2674-1</f>
        <v>0</v>
      </c>
      <c r="J2675">
        <v>134738</v>
      </c>
      <c r="K2675">
        <v>134738</v>
      </c>
      <c r="L2675">
        <v>133754</v>
      </c>
      <c r="M2675">
        <v>134320</v>
      </c>
      <c r="N2675">
        <v>8253500</v>
      </c>
      <c r="O2675">
        <v>134320</v>
      </c>
      <c r="P2675">
        <v>-3.0949182481426799E-3</v>
      </c>
      <c r="Q2675">
        <v>-3.0997174121956701E-3</v>
      </c>
      <c r="R2675" s="8">
        <v>1.79999995231628</v>
      </c>
      <c r="S2675" s="8">
        <v>-5.5248567841943404E-3</v>
      </c>
      <c r="T2675" s="9">
        <v>-5.54017525305525E-3</v>
      </c>
      <c r="U2675" s="12">
        <v>3.9269999999999999E-2</v>
      </c>
      <c r="V2675" s="16">
        <v>5.7645999999999997</v>
      </c>
      <c r="W2675" s="17">
        <f t="shared" si="41"/>
        <v>4.8809399295748346E-3</v>
      </c>
    </row>
    <row r="2676" spans="1:23" x14ac:dyDescent="0.2">
      <c r="A2676" s="14">
        <v>45469</v>
      </c>
      <c r="B2676" s="3">
        <v>649893956144679</v>
      </c>
      <c r="C2676" s="3">
        <f>[1]!nefin_factors__1[[#This Row],[Rm_minus_Rf]]/B2675-1</f>
        <v>-6.4105146184462534</v>
      </c>
      <c r="D2676" s="3">
        <v>-961847597903067</v>
      </c>
      <c r="E2676" s="3">
        <f>[1]!nefin_factors__1[[#This Row],[SMB]]/D2675-1</f>
        <v>2.7945655723187821</v>
      </c>
      <c r="F2676" s="3">
        <v>-113303615432353</v>
      </c>
      <c r="G2676" s="3">
        <f>[1]!nefin_factors__1[[#This Row],[HML]]/F2675-1</f>
        <v>-0.80002082111036199</v>
      </c>
      <c r="H2676" s="3">
        <v>39305549378521</v>
      </c>
      <c r="I2676" s="4">
        <f>[1]!nefin_factors__1[[#This Row],[Risk_Free]]/H2675-1</f>
        <v>0</v>
      </c>
      <c r="J2676">
        <v>134319</v>
      </c>
      <c r="K2676">
        <v>135087</v>
      </c>
      <c r="L2676">
        <v>133757</v>
      </c>
      <c r="M2676">
        <v>134677</v>
      </c>
      <c r="N2676">
        <v>7947300</v>
      </c>
      <c r="O2676">
        <v>134677</v>
      </c>
      <c r="P2676">
        <v>2.6578320428827201E-3</v>
      </c>
      <c r="Q2676">
        <v>2.6543062532214E-3</v>
      </c>
      <c r="R2676" s="8">
        <v>1.87000000476837</v>
      </c>
      <c r="S2676" s="8">
        <v>3.8888919059141901E-2</v>
      </c>
      <c r="T2676" s="9">
        <v>3.8151795005261099E-2</v>
      </c>
      <c r="U2676" s="12">
        <v>3.9269999999999999E-2</v>
      </c>
      <c r="V2676" s="16">
        <v>5.6528</v>
      </c>
      <c r="W2676" s="17">
        <f t="shared" si="41"/>
        <v>-1.9394233771640623E-2</v>
      </c>
    </row>
    <row r="2677" spans="1:23" x14ac:dyDescent="0.2">
      <c r="A2677" s="15">
        <v>45470</v>
      </c>
      <c r="B2677" s="5">
        <v>130854548077189</v>
      </c>
      <c r="C2677" s="5">
        <f>[1]!nefin_factors__1[[#This Row],[Rm_minus_Rf]]/B2676-1</f>
        <v>-0.7986524619286377</v>
      </c>
      <c r="D2677" s="5">
        <v>103672984427196</v>
      </c>
      <c r="E2677" s="5">
        <f>[1]!nefin_factors__1[[#This Row],[SMB]]/D2676-1</f>
        <v>-1.107785250650118</v>
      </c>
      <c r="F2677" s="5">
        <v>152932950399882</v>
      </c>
      <c r="G2677" s="5">
        <f>[1]!nefin_factors__1[[#This Row],[HML]]/F2676-1</f>
        <v>-2.3497623162006631</v>
      </c>
      <c r="H2677" s="5">
        <v>39305549378521</v>
      </c>
      <c r="I2677" s="6">
        <f>[1]!nefin_factors__1[[#This Row],[Risk_Free]]/H2676-1</f>
        <v>0</v>
      </c>
      <c r="J2677">
        <v>134677</v>
      </c>
      <c r="K2677">
        <v>134777</v>
      </c>
      <c r="L2677">
        <v>133591</v>
      </c>
      <c r="M2677">
        <v>134029</v>
      </c>
      <c r="N2677">
        <v>7004900</v>
      </c>
      <c r="O2677">
        <v>134029</v>
      </c>
      <c r="P2677">
        <v>-4.8115119879415004E-3</v>
      </c>
      <c r="Q2677">
        <v>-4.8231245761253304E-3</v>
      </c>
      <c r="R2677" s="8">
        <v>1.8200000524520901</v>
      </c>
      <c r="S2677" s="8">
        <v>-2.67379423469453E-2</v>
      </c>
      <c r="T2677" s="9">
        <v>-2.7101903507894699E-2</v>
      </c>
      <c r="U2677" s="12">
        <v>3.9269999999999999E-2</v>
      </c>
      <c r="V2677" s="16">
        <v>5.6093000000000002</v>
      </c>
      <c r="W2677" s="17">
        <f t="shared" si="41"/>
        <v>-7.6953014435323652E-3</v>
      </c>
    </row>
    <row r="2678" spans="1:23" x14ac:dyDescent="0.2">
      <c r="A2678" s="14">
        <v>45471</v>
      </c>
      <c r="B2678" s="3">
        <v>-36295443706881</v>
      </c>
      <c r="C2678" s="3">
        <f>[1]!nefin_factors__1[[#This Row],[Rm_minus_Rf]]/B2677-1</f>
        <v>-1.2773724279378573</v>
      </c>
      <c r="D2678" s="3">
        <v>-398538118918982</v>
      </c>
      <c r="E2678" s="3">
        <f>[1]!nefin_factors__1[[#This Row],[SMB]]/D2677-1</f>
        <v>-4.8441848772941807</v>
      </c>
      <c r="F2678" s="3">
        <v>150548974340789</v>
      </c>
      <c r="G2678" s="3">
        <f>[1]!nefin_factors__1[[#This Row],[HML]]/F2677-1</f>
        <v>-1.5588374204901445E-2</v>
      </c>
      <c r="H2678" s="3">
        <v>393415029575683</v>
      </c>
      <c r="I2678" s="4">
        <f>[1]!nefin_factors__1[[#This Row],[Risk_Free]]/H2677-1</f>
        <v>9.0091472017605092</v>
      </c>
      <c r="J2678">
        <v>134031</v>
      </c>
      <c r="K2678">
        <v>135879</v>
      </c>
      <c r="L2678">
        <v>134031</v>
      </c>
      <c r="M2678">
        <v>134882</v>
      </c>
      <c r="N2678">
        <v>8866000</v>
      </c>
      <c r="O2678">
        <v>134882</v>
      </c>
      <c r="P2678">
        <v>6.3642942945183502E-3</v>
      </c>
      <c r="Q2678">
        <v>6.3441276924853596E-3</v>
      </c>
      <c r="R2678" s="8">
        <v>2.0799999237060498</v>
      </c>
      <c r="S2678" s="8">
        <v>0.14285706800044801</v>
      </c>
      <c r="T2678" s="9">
        <v>0.133531327124913</v>
      </c>
      <c r="U2678" s="12">
        <v>3.9269999999999999E-2</v>
      </c>
      <c r="V2678" s="16">
        <v>5.6172000000000004</v>
      </c>
      <c r="W2678" s="17">
        <f t="shared" si="41"/>
        <v>1.408375376606763E-3</v>
      </c>
    </row>
    <row r="2679" spans="1:23" x14ac:dyDescent="0.2">
      <c r="A2679" s="15">
        <v>45474</v>
      </c>
      <c r="B2679" s="5">
        <v>395110063017076</v>
      </c>
      <c r="C2679" s="5">
        <f>[1]!nefin_factors__1[[#This Row],[Rm_minus_Rf]]/B2678-1</f>
        <v>-11.885941117236428</v>
      </c>
      <c r="D2679" s="5">
        <v>-441465062754827</v>
      </c>
      <c r="E2679" s="5">
        <f>[1]!nefin_factors__1[[#This Row],[SMB]]/D2678-1</f>
        <v>0.10771101131375471</v>
      </c>
      <c r="F2679" s="5">
        <v>-51771000799001</v>
      </c>
      <c r="G2679" s="5">
        <f>[1]!nefin_factors__1[[#This Row],[HML]]/F2678-1</f>
        <v>-1.3438814580151837</v>
      </c>
      <c r="H2679" s="5">
        <v>393774532935875</v>
      </c>
      <c r="I2679" s="6">
        <f>[1]!nefin_factors__1[[#This Row],[Risk_Free]]/H2678-1</f>
        <v>9.1380179496391989E-4</v>
      </c>
      <c r="J2679">
        <v>134885</v>
      </c>
      <c r="K2679">
        <v>135715</v>
      </c>
      <c r="L2679">
        <v>134870</v>
      </c>
      <c r="M2679">
        <v>135118</v>
      </c>
      <c r="N2679">
        <v>6707000</v>
      </c>
      <c r="O2679">
        <v>135118</v>
      </c>
      <c r="P2679">
        <v>1.7496774958853901E-3</v>
      </c>
      <c r="Q2679">
        <v>1.74814859334671E-3</v>
      </c>
      <c r="R2679" s="8">
        <v>2.03999996185303</v>
      </c>
      <c r="S2679" s="8">
        <v>-1.92307515962583E-2</v>
      </c>
      <c r="T2679" s="9">
        <v>-1.94180678768161E-2</v>
      </c>
      <c r="U2679" s="12">
        <v>3.9269999999999999E-2</v>
      </c>
      <c r="V2679" s="16">
        <v>5.5114999999999998</v>
      </c>
      <c r="W2679" s="17">
        <f t="shared" si="41"/>
        <v>-1.8817204301075363E-2</v>
      </c>
    </row>
    <row r="2680" spans="1:23" x14ac:dyDescent="0.2">
      <c r="A2680" s="14">
        <v>45475</v>
      </c>
      <c r="B2680" s="3">
        <v>356270105185485</v>
      </c>
      <c r="C2680" s="3">
        <f>[1]!nefin_factors__1[[#This Row],[Rm_minus_Rf]]/B2679-1</f>
        <v>-9.830161635218182E-2</v>
      </c>
      <c r="D2680" s="3">
        <v>478103832139565</v>
      </c>
      <c r="E2680" s="3">
        <f>[1]!nefin_factors__1[[#This Row],[SMB]]/D2679-1</f>
        <v>-2.08299358766038</v>
      </c>
      <c r="F2680" s="3">
        <v>-323455279660981</v>
      </c>
      <c r="G2680" s="3">
        <f>[1]!nefin_factors__1[[#This Row],[HML]]/F2679-1</f>
        <v>5.2478081294349357</v>
      </c>
      <c r="H2680" s="3">
        <v>393415029575683</v>
      </c>
      <c r="I2680" s="4">
        <f>[1]!nefin_factors__1[[#This Row],[Risk_Free]]/H2679-1</f>
        <v>-9.1296752360203737E-4</v>
      </c>
      <c r="J2680">
        <v>135118</v>
      </c>
      <c r="K2680">
        <v>135118</v>
      </c>
      <c r="L2680">
        <v>134180</v>
      </c>
      <c r="M2680">
        <v>134960</v>
      </c>
      <c r="N2680">
        <v>7314500</v>
      </c>
      <c r="O2680">
        <v>134960</v>
      </c>
      <c r="P2680">
        <v>-1.16934827336101E-3</v>
      </c>
      <c r="Q2680">
        <v>-1.17003249450044E-3</v>
      </c>
      <c r="R2680" s="8">
        <v>2.0899999141693102</v>
      </c>
      <c r="S2680" s="8">
        <v>2.4509781005518601E-2</v>
      </c>
      <c r="T2680" s="9">
        <v>2.42142357527752E-2</v>
      </c>
      <c r="U2680" s="12">
        <v>3.9269999999999999E-2</v>
      </c>
      <c r="V2680" s="16">
        <v>5.4911000000000003</v>
      </c>
      <c r="W2680" s="17">
        <f t="shared" si="41"/>
        <v>-3.7013517191326617E-3</v>
      </c>
    </row>
    <row r="2681" spans="1:23" x14ac:dyDescent="0.2">
      <c r="A2681" s="15">
        <v>45476</v>
      </c>
      <c r="B2681" s="5">
        <v>524870456744526</v>
      </c>
      <c r="C2681" s="5">
        <f>[1]!nefin_factors__1[[#This Row],[Rm_minus_Rf]]/B2680-1</f>
        <v>0.47323743728445189</v>
      </c>
      <c r="D2681" s="5">
        <v>179441559850431</v>
      </c>
      <c r="E2681" s="5">
        <f>[1]!nefin_factors__1[[#This Row],[SMB]]/D2680-1</f>
        <v>-0.62468077478607287</v>
      </c>
      <c r="F2681" s="5">
        <v>-493319714778769</v>
      </c>
      <c r="G2681" s="5">
        <f>[1]!nefin_factors__1[[#This Row],[HML]]/F2680-1</f>
        <v>0.52515585862696623</v>
      </c>
      <c r="H2681" s="5">
        <v>393415029575683</v>
      </c>
      <c r="I2681" s="6">
        <f>[1]!nefin_factors__1[[#This Row],[Risk_Free]]/H2680-1</f>
        <v>0</v>
      </c>
      <c r="J2681">
        <v>134960</v>
      </c>
      <c r="K2681">
        <v>135203</v>
      </c>
      <c r="L2681">
        <v>133748</v>
      </c>
      <c r="M2681">
        <v>133748</v>
      </c>
      <c r="N2681">
        <v>9792800</v>
      </c>
      <c r="O2681">
        <v>133748</v>
      </c>
      <c r="P2681">
        <v>-8.9804386484884108E-3</v>
      </c>
      <c r="Q2681">
        <v>-9.0210058444262099E-3</v>
      </c>
      <c r="R2681" s="8">
        <v>2.0699999332428001</v>
      </c>
      <c r="S2681" s="8">
        <v>-9.5693692573488604E-3</v>
      </c>
      <c r="T2681" s="9">
        <v>-9.6154498819825997E-3</v>
      </c>
      <c r="U2681" s="12">
        <v>3.9269999999999999E-2</v>
      </c>
      <c r="V2681" s="16">
        <v>5.4874999999999998</v>
      </c>
      <c r="W2681" s="17">
        <f t="shared" si="41"/>
        <v>-6.5560634481265367E-4</v>
      </c>
    </row>
    <row r="2682" spans="1:23" x14ac:dyDescent="0.2">
      <c r="A2682" s="14">
        <v>45477</v>
      </c>
      <c r="B2682" s="3">
        <v>513147707689797</v>
      </c>
      <c r="C2682" s="3">
        <f>[1]!nefin_factors__1[[#This Row],[Rm_minus_Rf]]/B2681-1</f>
        <v>-2.2334556849395892E-2</v>
      </c>
      <c r="D2682" s="3">
        <v>220848484647348</v>
      </c>
      <c r="E2682" s="3">
        <f>[1]!nefin_factors__1[[#This Row],[SMB]]/D2681-1</f>
        <v>0.23075437391109777</v>
      </c>
      <c r="F2682" s="3">
        <v>381161982107328</v>
      </c>
      <c r="G2682" s="3">
        <f>[1]!nefin_factors__1[[#This Row],[HML]]/F2681-1</f>
        <v>-1.7726469684639736</v>
      </c>
      <c r="H2682" s="3">
        <v>39305549378521</v>
      </c>
      <c r="I2682" s="4">
        <f>[1]!nefin_factors__1[[#This Row],[Risk_Free]]/H2681-1</f>
        <v>-0.90009138842277092</v>
      </c>
      <c r="J2682">
        <v>133748</v>
      </c>
      <c r="K2682">
        <v>134759</v>
      </c>
      <c r="L2682">
        <v>133123</v>
      </c>
      <c r="M2682">
        <v>133123</v>
      </c>
      <c r="N2682">
        <v>9254500</v>
      </c>
      <c r="O2682">
        <v>133123</v>
      </c>
      <c r="P2682">
        <v>-4.6729670724048296E-3</v>
      </c>
      <c r="Q2682">
        <v>-4.6839195166289999E-3</v>
      </c>
      <c r="R2682" s="8">
        <v>2.0099999904632599</v>
      </c>
      <c r="S2682" s="8">
        <v>-2.89854805384205E-2</v>
      </c>
      <c r="T2682" s="9">
        <v>-2.9413857701085001E-2</v>
      </c>
      <c r="U2682" s="12">
        <v>3.9269999999999999E-2</v>
      </c>
      <c r="V2682" s="16">
        <v>5.4501999999999997</v>
      </c>
      <c r="W2682" s="17">
        <f t="shared" si="41"/>
        <v>-6.7972665148063882E-3</v>
      </c>
    </row>
    <row r="2683" spans="1:23" x14ac:dyDescent="0.2">
      <c r="A2683" s="15">
        <v>45478</v>
      </c>
      <c r="B2683" s="5">
        <v>1285785426</v>
      </c>
      <c r="C2683" s="5">
        <f>[1]!nefin_factors__1[[#This Row],[Rm_minus_Rf]]/B2682-1</f>
        <v>-0.99999749431712015</v>
      </c>
      <c r="D2683" s="5">
        <v>152291835041061</v>
      </c>
      <c r="E2683" s="5">
        <f>[1]!nefin_factors__1[[#This Row],[SMB]]/D2682-1</f>
        <v>-0.31042390766574024</v>
      </c>
      <c r="F2683" s="5">
        <v>-428595179898525</v>
      </c>
      <c r="G2683" s="5">
        <f>[1]!nefin_factors__1[[#This Row],[HML]]/F2682-1</f>
        <v>-2.1244436749146738</v>
      </c>
      <c r="H2683" s="5">
        <v>39305549378521</v>
      </c>
      <c r="I2683" s="6">
        <f>[1]!nefin_factors__1[[#This Row],[Risk_Free]]/H2682-1</f>
        <v>0</v>
      </c>
      <c r="J2683">
        <v>133121</v>
      </c>
      <c r="K2683">
        <v>133128</v>
      </c>
      <c r="L2683">
        <v>130907</v>
      </c>
      <c r="M2683">
        <v>131065</v>
      </c>
      <c r="N2683">
        <v>13605800</v>
      </c>
      <c r="O2683">
        <v>131065</v>
      </c>
      <c r="P2683">
        <v>-1.54593871832817E-2</v>
      </c>
      <c r="Q2683">
        <v>-1.55801295275817E-2</v>
      </c>
      <c r="R2683" s="8">
        <v>1.87000000476837</v>
      </c>
      <c r="S2683" s="8">
        <v>-6.9651734507032798E-2</v>
      </c>
      <c r="T2683" s="9">
        <v>-7.2196283909909398E-2</v>
      </c>
      <c r="U2683" s="12">
        <v>3.9269999999999999E-2</v>
      </c>
      <c r="V2683" s="16">
        <v>5.4650999999999996</v>
      </c>
      <c r="W2683" s="17">
        <f t="shared" si="41"/>
        <v>2.733844629554838E-3</v>
      </c>
    </row>
    <row r="2684" spans="1:23" x14ac:dyDescent="0.2">
      <c r="A2684" s="14">
        <v>45481</v>
      </c>
      <c r="B2684" s="3">
        <v>257123915358538</v>
      </c>
      <c r="C2684" s="3">
        <f>[1]!nefin_factors__1[[#This Row],[Rm_minus_Rf]]/B2683-1</f>
        <v>199973.20266181955</v>
      </c>
      <c r="D2684" s="3">
        <v>842224437808799</v>
      </c>
      <c r="E2684" s="3">
        <f>[1]!nefin_factors__1[[#This Row],[SMB]]/D2683-1</f>
        <v>4.5303321913595562</v>
      </c>
      <c r="F2684" s="3">
        <v>-331111413755964</v>
      </c>
      <c r="G2684" s="3">
        <f>[1]!nefin_factors__1[[#This Row],[HML]]/F2683-1</f>
        <v>-0.2274495158009977</v>
      </c>
      <c r="H2684" s="3">
        <v>393415029575683</v>
      </c>
      <c r="I2684" s="4">
        <f>[1]!nefin_factors__1[[#This Row],[Risk_Free]]/H2683-1</f>
        <v>9.0091472017605092</v>
      </c>
      <c r="J2684">
        <v>131065</v>
      </c>
      <c r="K2684">
        <v>131065</v>
      </c>
      <c r="L2684">
        <v>130100</v>
      </c>
      <c r="M2684">
        <v>130568</v>
      </c>
      <c r="N2684">
        <v>9140800</v>
      </c>
      <c r="O2684">
        <v>130568</v>
      </c>
      <c r="P2684">
        <v>-3.7920115972990302E-3</v>
      </c>
      <c r="Q2684">
        <v>-3.7992195006812599E-3</v>
      </c>
      <c r="R2684" s="8">
        <v>1.87000000476837</v>
      </c>
      <c r="S2684" s="8">
        <v>0</v>
      </c>
      <c r="T2684" s="9">
        <v>0</v>
      </c>
      <c r="U2684" s="12">
        <v>3.9269999999999999E-2</v>
      </c>
      <c r="V2684" s="16">
        <v>5.4631999999999996</v>
      </c>
      <c r="W2684" s="17">
        <f t="shared" si="41"/>
        <v>-3.4766061005286897E-4</v>
      </c>
    </row>
    <row r="2685" spans="1:23" x14ac:dyDescent="0.2">
      <c r="A2685" s="15">
        <v>45482</v>
      </c>
      <c r="B2685" s="5">
        <v>398693096112457</v>
      </c>
      <c r="C2685" s="5">
        <f>[1]!nefin_factors__1[[#This Row],[Rm_minus_Rf]]/B2684-1</f>
        <v>0.55058737168229754</v>
      </c>
      <c r="D2685" s="5">
        <v>124212998710741</v>
      </c>
      <c r="E2685" s="5">
        <f>[1]!nefin_factors__1[[#This Row],[SMB]]/D2684-1</f>
        <v>-0.8525179356776873</v>
      </c>
      <c r="F2685" s="5">
        <v>-371131916618777</v>
      </c>
      <c r="G2685" s="5">
        <f>[1]!nefin_factors__1[[#This Row],[HML]]/F2684-1</f>
        <v>0.12086718004927777</v>
      </c>
      <c r="H2685" s="5">
        <v>39305549378521</v>
      </c>
      <c r="I2685" s="6">
        <f>[1]!nefin_factors__1[[#This Row],[Risk_Free]]/H2684-1</f>
        <v>-0.90009138842277092</v>
      </c>
      <c r="J2685">
        <v>130570</v>
      </c>
      <c r="K2685">
        <v>133073</v>
      </c>
      <c r="L2685">
        <v>130570</v>
      </c>
      <c r="M2685">
        <v>132156</v>
      </c>
      <c r="N2685">
        <v>9367100</v>
      </c>
      <c r="O2685">
        <v>132156</v>
      </c>
      <c r="P2685">
        <v>1.2162244960480399E-2</v>
      </c>
      <c r="Q2685">
        <v>1.2088879122412501E-2</v>
      </c>
      <c r="R2685" s="8">
        <v>1.8600000143051101</v>
      </c>
      <c r="S2685" s="8">
        <v>-5.3475884693891E-3</v>
      </c>
      <c r="T2685" s="9">
        <v>-5.3619380003948596E-3</v>
      </c>
      <c r="U2685" s="12">
        <v>3.9269999999999999E-2</v>
      </c>
      <c r="V2685" s="16">
        <v>5.4237000000000002</v>
      </c>
      <c r="W2685" s="17">
        <f t="shared" si="41"/>
        <v>-7.2301947576510761E-3</v>
      </c>
    </row>
    <row r="2686" spans="1:23" x14ac:dyDescent="0.2">
      <c r="A2686" s="14">
        <v>45483</v>
      </c>
      <c r="B2686" s="3">
        <v>167406728622292</v>
      </c>
      <c r="C2686" s="3">
        <f>[1]!nefin_factors__1[[#This Row],[Rm_minus_Rf]]/B2685-1</f>
        <v>-0.58011129298543818</v>
      </c>
      <c r="D2686" s="3">
        <v>530677848554256</v>
      </c>
      <c r="E2686" s="3">
        <f>[1]!nefin_factors__1[[#This Row],[SMB]]/D2685-1</f>
        <v>3.2723213678309415</v>
      </c>
      <c r="F2686" s="3">
        <v>204224199501545</v>
      </c>
      <c r="G2686" s="3">
        <f>[1]!nefin_factors__1[[#This Row],[HML]]/F2685-1</f>
        <v>-1.5502738793314887</v>
      </c>
      <c r="H2686" s="3">
        <v>39305549378521</v>
      </c>
      <c r="I2686" s="4">
        <f>[1]!nefin_factors__1[[#This Row],[Risk_Free]]/H2685-1</f>
        <v>0</v>
      </c>
      <c r="J2686">
        <v>132156</v>
      </c>
      <c r="K2686">
        <v>132982</v>
      </c>
      <c r="L2686">
        <v>131489</v>
      </c>
      <c r="M2686">
        <v>131586</v>
      </c>
      <c r="N2686">
        <v>10527200</v>
      </c>
      <c r="O2686">
        <v>131586</v>
      </c>
      <c r="P2686">
        <v>-4.3130845364569596E-3</v>
      </c>
      <c r="Q2686">
        <v>-4.3224127173842998E-3</v>
      </c>
      <c r="R2686" s="8">
        <v>1.8400000333786</v>
      </c>
      <c r="S2686" s="8">
        <v>-1.07526778347825E-2</v>
      </c>
      <c r="T2686" s="9">
        <v>-1.08109056545937E-2</v>
      </c>
      <c r="U2686" s="12">
        <v>3.9269999999999999E-2</v>
      </c>
      <c r="V2686" s="16">
        <v>5.4546999999999999</v>
      </c>
      <c r="W2686" s="17">
        <f t="shared" si="41"/>
        <v>5.7156553644190922E-3</v>
      </c>
    </row>
    <row r="2687" spans="1:23" x14ac:dyDescent="0.2">
      <c r="A2687" s="15">
        <v>45484</v>
      </c>
      <c r="B2687" s="5">
        <v>939462312303903</v>
      </c>
      <c r="C2687" s="5">
        <f>[1]!nefin_factors__1[[#This Row],[Rm_minus_Rf]]/B2686-1</f>
        <v>4.6118551508377275</v>
      </c>
      <c r="D2687" s="5">
        <v>765632648050556</v>
      </c>
      <c r="E2687" s="5">
        <f>[1]!nefin_factors__1[[#This Row],[SMB]]/D2686-1</f>
        <v>0.44274468990253779</v>
      </c>
      <c r="F2687" s="5">
        <v>87750996240799</v>
      </c>
      <c r="G2687" s="5">
        <f>[1]!nefin_factors__1[[#This Row],[HML]]/F2686-1</f>
        <v>-0.57032028302730531</v>
      </c>
      <c r="H2687" s="5">
        <v>39305549378521</v>
      </c>
      <c r="I2687" s="6">
        <f>[1]!nefin_factors__1[[#This Row],[Risk_Free]]/H2686-1</f>
        <v>0</v>
      </c>
      <c r="J2687">
        <v>131595</v>
      </c>
      <c r="K2687">
        <v>133313</v>
      </c>
      <c r="L2687">
        <v>131594</v>
      </c>
      <c r="M2687">
        <v>133010</v>
      </c>
      <c r="N2687">
        <v>11618300</v>
      </c>
      <c r="O2687">
        <v>133010</v>
      </c>
      <c r="P2687">
        <v>1.08218199504506E-2</v>
      </c>
      <c r="Q2687">
        <v>1.07636831117818E-2</v>
      </c>
      <c r="R2687" s="8">
        <v>1.8600000143051101</v>
      </c>
      <c r="S2687" s="8">
        <v>1.0869554654186601E-2</v>
      </c>
      <c r="T2687" s="9">
        <v>1.08109056545937E-2</v>
      </c>
      <c r="U2687" s="12">
        <v>3.9269999999999999E-2</v>
      </c>
      <c r="V2687" s="16">
        <v>5.4706999999999999</v>
      </c>
      <c r="W2687" s="17">
        <f t="shared" si="41"/>
        <v>2.933250224576911E-3</v>
      </c>
    </row>
    <row r="2688" spans="1:23" x14ac:dyDescent="0.2">
      <c r="A2688" s="14">
        <v>45485</v>
      </c>
      <c r="B2688" s="3">
        <v>319655469957008</v>
      </c>
      <c r="C2688" s="3">
        <f>[1]!nefin_factors__1[[#This Row],[Rm_minus_Rf]]/B2687-1</f>
        <v>-0.65974636154046817</v>
      </c>
      <c r="D2688" s="3">
        <v>-155798820229593</v>
      </c>
      <c r="E2688" s="3">
        <f>[1]!nefin_factors__1[[#This Row],[SMB]]/D2687-1</f>
        <v>-1.203490303902643</v>
      </c>
      <c r="F2688" s="3">
        <v>157977846787939</v>
      </c>
      <c r="G2688" s="3">
        <f>[1]!nefin_factors__1[[#This Row],[HML]]/F2687-1</f>
        <v>0.80029690323320435</v>
      </c>
      <c r="H2688" s="3">
        <v>39305549378521</v>
      </c>
      <c r="I2688" s="4">
        <f>[1]!nefin_factors__1[[#This Row],[Risk_Free]]/H2687-1</f>
        <v>0</v>
      </c>
      <c r="J2688">
        <v>133010</v>
      </c>
      <c r="K2688">
        <v>133923</v>
      </c>
      <c r="L2688">
        <v>132628</v>
      </c>
      <c r="M2688">
        <v>132730</v>
      </c>
      <c r="N2688">
        <v>9338900</v>
      </c>
      <c r="O2688">
        <v>132730</v>
      </c>
      <c r="P2688">
        <v>-2.10510487933235E-3</v>
      </c>
      <c r="Q2688">
        <v>-2.1073237270938898E-3</v>
      </c>
      <c r="R2688" s="8">
        <v>1.8999999761581401</v>
      </c>
      <c r="S2688" s="8">
        <v>2.1505355669565001E-2</v>
      </c>
      <c r="T2688" s="9">
        <v>2.1277378208016801E-2</v>
      </c>
      <c r="U2688" s="12">
        <v>3.9269999999999999E-2</v>
      </c>
      <c r="V2688" s="16">
        <v>5.5523999999999996</v>
      </c>
      <c r="W2688" s="17">
        <f t="shared" si="41"/>
        <v>1.4934103496810236E-2</v>
      </c>
    </row>
    <row r="2689" spans="1:23" x14ac:dyDescent="0.2">
      <c r="A2689" s="15">
        <v>45488</v>
      </c>
      <c r="B2689" s="5">
        <v>290679732796067</v>
      </c>
      <c r="C2689" s="5">
        <f>[1]!nefin_factors__1[[#This Row],[Rm_minus_Rf]]/B2688-1</f>
        <v>-9.0646774055948676E-2</v>
      </c>
      <c r="D2689" s="5">
        <v>30810042324596</v>
      </c>
      <c r="E2689" s="5">
        <f>[1]!nefin_factors__1[[#This Row],[SMB]]/D2688-1</f>
        <v>-1.1977552992968288</v>
      </c>
      <c r="F2689" s="5">
        <v>366527030671191</v>
      </c>
      <c r="G2689" s="5">
        <f>[1]!nefin_factors__1[[#This Row],[HML]]/F2688-1</f>
        <v>1.320116637386489</v>
      </c>
      <c r="H2689" s="5">
        <v>393415029575683</v>
      </c>
      <c r="I2689" s="6">
        <f>[1]!nefin_factors__1[[#This Row],[Risk_Free]]/H2688-1</f>
        <v>9.0091472017605092</v>
      </c>
      <c r="J2689">
        <v>132761</v>
      </c>
      <c r="K2689">
        <v>133120</v>
      </c>
      <c r="L2689">
        <v>131816</v>
      </c>
      <c r="M2689">
        <v>131816</v>
      </c>
      <c r="N2689">
        <v>9131600</v>
      </c>
      <c r="O2689">
        <v>131816</v>
      </c>
      <c r="P2689">
        <v>-6.8861598734272196E-3</v>
      </c>
      <c r="Q2689">
        <v>-6.9099788829805704E-3</v>
      </c>
      <c r="R2689" s="8">
        <v>1.8600000143051101</v>
      </c>
      <c r="S2689" s="8">
        <v>-2.1052611765768801E-2</v>
      </c>
      <c r="T2689" s="9">
        <v>-2.1277378208016701E-2</v>
      </c>
      <c r="U2689" s="12">
        <v>3.9269999999999999E-2</v>
      </c>
      <c r="V2689" s="16">
        <v>5.5263</v>
      </c>
      <c r="W2689" s="17">
        <f t="shared" si="41"/>
        <v>-4.700669980548855E-3</v>
      </c>
    </row>
    <row r="2690" spans="1:23" x14ac:dyDescent="0.2">
      <c r="A2690" s="14">
        <v>45489</v>
      </c>
      <c r="B2690" s="3">
        <v>-365297977712364</v>
      </c>
      <c r="C2690" s="3">
        <f>[1]!nefin_factors__1[[#This Row],[Rm_minus_Rf]]/B2689-1</f>
        <v>-2.2567026059867996</v>
      </c>
      <c r="D2690" s="3">
        <v>436568565905507</v>
      </c>
      <c r="E2690" s="3">
        <f>[1]!nefin_factors__1[[#This Row],[SMB]]/D2689-1</f>
        <v>13.169684069436979</v>
      </c>
      <c r="F2690" s="3">
        <v>436066208657697</v>
      </c>
      <c r="G2690" s="3">
        <f>[1]!nefin_factors__1[[#This Row],[HML]]/F2689-1</f>
        <v>0.1897245555373217</v>
      </c>
      <c r="H2690" s="3">
        <v>393415029575683</v>
      </c>
      <c r="I2690" s="4">
        <f>[1]!nefin_factors__1[[#This Row],[Risk_Free]]/H2689-1</f>
        <v>0</v>
      </c>
      <c r="J2690">
        <v>131817</v>
      </c>
      <c r="K2690">
        <v>133405</v>
      </c>
      <c r="L2690">
        <v>131817</v>
      </c>
      <c r="M2690">
        <v>132495</v>
      </c>
      <c r="N2690">
        <v>9841100</v>
      </c>
      <c r="O2690">
        <v>132495</v>
      </c>
      <c r="P2690">
        <v>5.1511197426716802E-3</v>
      </c>
      <c r="Q2690">
        <v>5.1378981100749996E-3</v>
      </c>
      <c r="R2690" s="8">
        <v>1.8500000238418599</v>
      </c>
      <c r="S2690" s="8">
        <v>-5.3763389173911999E-3</v>
      </c>
      <c r="T2690" s="9">
        <v>-5.3908434383075901E-3</v>
      </c>
      <c r="U2690" s="12">
        <v>3.9269999999999999E-2</v>
      </c>
      <c r="V2690" s="16">
        <v>5.4920999999999998</v>
      </c>
      <c r="W2690" s="17">
        <f t="shared" si="41"/>
        <v>-6.1885891102546609E-3</v>
      </c>
    </row>
    <row r="2691" spans="1:23" x14ac:dyDescent="0.2">
      <c r="A2691" s="15">
        <v>45490</v>
      </c>
      <c r="B2691" s="5">
        <v>427552255650492</v>
      </c>
      <c r="C2691" s="5">
        <f>[1]!nefin_factors__1[[#This Row],[Rm_minus_Rf]]/B2690-1</f>
        <v>-2.1704205381261295</v>
      </c>
      <c r="D2691" s="5">
        <v>-801993252036331</v>
      </c>
      <c r="E2691" s="5">
        <f>[1]!nefin_factors__1[[#This Row],[SMB]]/D2690-1</f>
        <v>-2.8370384738371621</v>
      </c>
      <c r="F2691" s="5">
        <v>-385558204271751</v>
      </c>
      <c r="G2691" s="5">
        <f>[1]!nefin_factors__1[[#This Row],[HML]]/F2690-1</f>
        <v>-1.8841735420375265</v>
      </c>
      <c r="H2691" s="5">
        <v>393415029575683</v>
      </c>
      <c r="I2691" s="6">
        <f>[1]!nefin_factors__1[[#This Row],[Risk_Free]]/H2690-1</f>
        <v>0</v>
      </c>
      <c r="J2691">
        <v>132495</v>
      </c>
      <c r="K2691">
        <v>134922</v>
      </c>
      <c r="L2691">
        <v>132495</v>
      </c>
      <c r="M2691">
        <v>133515</v>
      </c>
      <c r="N2691">
        <v>9398700</v>
      </c>
      <c r="O2691">
        <v>133515</v>
      </c>
      <c r="P2691">
        <v>7.6984037133476201E-3</v>
      </c>
      <c r="Q2691">
        <v>7.6689222137992299E-3</v>
      </c>
      <c r="R2691" s="8">
        <v>1.87000000476837</v>
      </c>
      <c r="S2691" s="8">
        <v>1.08108003614942E-2</v>
      </c>
      <c r="T2691" s="9">
        <v>1.0752781438702501E-2</v>
      </c>
      <c r="U2691" s="12">
        <v>3.9269999999999999E-2</v>
      </c>
      <c r="V2691" s="16">
        <v>5.4969000000000001</v>
      </c>
      <c r="W2691" s="17">
        <f t="shared" si="41"/>
        <v>8.7398262959537121E-4</v>
      </c>
    </row>
    <row r="2692" spans="1:23" x14ac:dyDescent="0.2">
      <c r="A2692" s="14">
        <v>45491</v>
      </c>
      <c r="B2692" s="3">
        <v>-13864984957809</v>
      </c>
      <c r="C2692" s="3">
        <f>[1]!nefin_factors__1[[#This Row],[Rm_minus_Rf]]/B2691-1</f>
        <v>-1.0324287494091555</v>
      </c>
      <c r="D2692" s="3">
        <v>-163514518730061</v>
      </c>
      <c r="E2692" s="3">
        <f>[1]!nefin_factors__1[[#This Row],[SMB]]/D2691-1</f>
        <v>-0.79611484471361404</v>
      </c>
      <c r="F2692" s="3">
        <v>-847170689306787</v>
      </c>
      <c r="G2692" s="3">
        <f>[1]!nefin_factors__1[[#This Row],[HML]]/F2691-1</f>
        <v>1.1972575863271735</v>
      </c>
      <c r="H2692" s="3">
        <v>393774532935875</v>
      </c>
      <c r="I2692" s="4">
        <f>[1]!nefin_factors__1[[#This Row],[Risk_Free]]/H2691-1</f>
        <v>9.1380179496391989E-4</v>
      </c>
      <c r="J2692">
        <v>133514</v>
      </c>
      <c r="K2692">
        <v>133514</v>
      </c>
      <c r="L2692">
        <v>131176</v>
      </c>
      <c r="M2692">
        <v>131672</v>
      </c>
      <c r="N2692">
        <v>9821200</v>
      </c>
      <c r="O2692">
        <v>131672</v>
      </c>
      <c r="P2692">
        <v>-1.3803692469010901E-2</v>
      </c>
      <c r="Q2692">
        <v>-1.38998493372376E-2</v>
      </c>
      <c r="R2692" s="8">
        <v>1.8600000143051101</v>
      </c>
      <c r="S2692" s="8">
        <v>-5.3475884693891E-3</v>
      </c>
      <c r="T2692" s="9">
        <v>-5.3619380003948596E-3</v>
      </c>
      <c r="U2692" s="12">
        <v>3.9269999999999999E-2</v>
      </c>
      <c r="V2692" s="16">
        <v>5.5315000000000003</v>
      </c>
      <c r="W2692" s="17">
        <f t="shared" ref="W2692:W2755" si="42">V2692/V2691-1</f>
        <v>6.2944568756935215E-3</v>
      </c>
    </row>
    <row r="2693" spans="1:23" x14ac:dyDescent="0.2">
      <c r="A2693" s="15">
        <v>45492</v>
      </c>
      <c r="B2693" s="5">
        <v>-882228816779211</v>
      </c>
      <c r="C2693" s="5">
        <f>[1]!nefin_factors__1[[#This Row],[Rm_minus_Rf]]/B2692-1</f>
        <v>62.62998729993749</v>
      </c>
      <c r="D2693" s="5">
        <v>-385608984559129</v>
      </c>
      <c r="E2693" s="5">
        <f>[1]!nefin_factors__1[[#This Row],[SMB]]/D2692-1</f>
        <v>1.3582553253005876</v>
      </c>
      <c r="F2693" s="5">
        <v>-834243014021881</v>
      </c>
      <c r="G2693" s="5">
        <f>[1]!nefin_factors__1[[#This Row],[HML]]/F2692-1</f>
        <v>-1.5259823608255729E-2</v>
      </c>
      <c r="H2693" s="5">
        <v>393415029575683</v>
      </c>
      <c r="I2693" s="6">
        <f>[1]!nefin_factors__1[[#This Row],[Risk_Free]]/H2692-1</f>
        <v>-9.1296752360203737E-4</v>
      </c>
      <c r="J2693">
        <v>131672</v>
      </c>
      <c r="K2693">
        <v>131936</v>
      </c>
      <c r="L2693">
        <v>131156</v>
      </c>
      <c r="M2693">
        <v>131792</v>
      </c>
      <c r="N2693">
        <v>7054700</v>
      </c>
      <c r="O2693">
        <v>131792</v>
      </c>
      <c r="P2693">
        <v>9.1135548939780297E-4</v>
      </c>
      <c r="Q2693">
        <v>9.1094045712592604E-4</v>
      </c>
      <c r="R2693" s="8">
        <v>1.8400000333786</v>
      </c>
      <c r="S2693" s="8">
        <v>-1.07526778347825E-2</v>
      </c>
      <c r="T2693" s="9">
        <v>-1.08109056545937E-2</v>
      </c>
      <c r="U2693" s="12">
        <v>3.9269999999999999E-2</v>
      </c>
      <c r="V2693" s="16">
        <v>5.6357999999999997</v>
      </c>
      <c r="W2693" s="17">
        <f t="shared" si="42"/>
        <v>1.8855644942601391E-2</v>
      </c>
    </row>
    <row r="2694" spans="1:23" x14ac:dyDescent="0.2">
      <c r="A2694" s="14">
        <v>45495</v>
      </c>
      <c r="B2694" s="3">
        <v>211893527360466</v>
      </c>
      <c r="C2694" s="3">
        <f>[1]!nefin_factors__1[[#This Row],[Rm_minus_Rf]]/B2693-1</f>
        <v>-1.2401797848023537</v>
      </c>
      <c r="D2694" s="3">
        <v>969635815410809</v>
      </c>
      <c r="E2694" s="3">
        <f>[1]!nefin_factors__1[[#This Row],[SMB]]/D2693-1</f>
        <v>-3.5145571141694334</v>
      </c>
      <c r="F2694" s="3">
        <v>-541067984371398</v>
      </c>
      <c r="G2694" s="3">
        <f>[1]!nefin_factors__1[[#This Row],[HML]]/F2693-1</f>
        <v>-0.35142641259539931</v>
      </c>
      <c r="H2694" s="3">
        <v>393415029575683</v>
      </c>
      <c r="I2694" s="4">
        <f>[1]!nefin_factors__1[[#This Row],[Risk_Free]]/H2693-1</f>
        <v>0</v>
      </c>
      <c r="J2694">
        <v>131792</v>
      </c>
      <c r="K2694">
        <v>132943</v>
      </c>
      <c r="L2694">
        <v>131676</v>
      </c>
      <c r="M2694">
        <v>132018</v>
      </c>
      <c r="N2694">
        <v>7702100</v>
      </c>
      <c r="O2694">
        <v>132018</v>
      </c>
      <c r="P2694">
        <v>1.71482335801865E-3</v>
      </c>
      <c r="Q2694">
        <v>1.713354727166E-3</v>
      </c>
      <c r="R2694" s="8">
        <v>1.8200000524520901</v>
      </c>
      <c r="S2694" s="8">
        <v>-1.08695546541865E-2</v>
      </c>
      <c r="T2694" s="9">
        <v>-1.0929059852906301E-2</v>
      </c>
      <c r="U2694" s="12">
        <v>3.9269999999999999E-2</v>
      </c>
      <c r="V2694" s="16">
        <v>5.6562000000000001</v>
      </c>
      <c r="W2694" s="17">
        <f t="shared" si="42"/>
        <v>3.6197168103908606E-3</v>
      </c>
    </row>
    <row r="2695" spans="1:23" x14ac:dyDescent="0.2">
      <c r="A2695" s="15">
        <v>45496</v>
      </c>
      <c r="B2695" s="5">
        <v>-110790920429967</v>
      </c>
      <c r="C2695" s="5">
        <f>[1]!nefin_factors__1[[#This Row],[Rm_minus_Rf]]/B2694-1</f>
        <v>-1.5228612775957675</v>
      </c>
      <c r="D2695" s="5">
        <v>-475489543013609</v>
      </c>
      <c r="E2695" s="5">
        <f>[1]!nefin_factors__1[[#This Row],[SMB]]/D2694-1</f>
        <v>-1.4903795171923973</v>
      </c>
      <c r="F2695" s="5">
        <v>-127162515775461</v>
      </c>
      <c r="G2695" s="5">
        <f>[1]!nefin_factors__1[[#This Row],[HML]]/F2694-1</f>
        <v>-0.76497867283129706</v>
      </c>
      <c r="H2695" s="5">
        <v>393415029575683</v>
      </c>
      <c r="I2695" s="6">
        <f>[1]!nefin_factors__1[[#This Row],[Risk_Free]]/H2694-1</f>
        <v>0</v>
      </c>
      <c r="J2695">
        <v>132016</v>
      </c>
      <c r="K2695">
        <v>132016</v>
      </c>
      <c r="L2695">
        <v>130371</v>
      </c>
      <c r="M2695">
        <v>131512</v>
      </c>
      <c r="N2695">
        <v>9093200</v>
      </c>
      <c r="O2695">
        <v>131512</v>
      </c>
      <c r="P2695">
        <v>-3.8328106773318801E-3</v>
      </c>
      <c r="Q2695">
        <v>-3.8401747188496899E-3</v>
      </c>
      <c r="R2695" s="8">
        <v>1.8400000333786</v>
      </c>
      <c r="S2695" s="8">
        <v>1.0989000192372299E-2</v>
      </c>
      <c r="T2695" s="9">
        <v>1.09290598529062E-2</v>
      </c>
      <c r="U2695" s="12">
        <v>3.9269999999999999E-2</v>
      </c>
      <c r="V2695" s="16">
        <v>5.6230000000000002</v>
      </c>
      <c r="W2695" s="17">
        <f t="shared" si="42"/>
        <v>-5.8696651462112337E-3</v>
      </c>
    </row>
    <row r="2696" spans="1:23" x14ac:dyDescent="0.2">
      <c r="A2696" s="14">
        <v>45497</v>
      </c>
      <c r="B2696" s="3">
        <v>-235416403663223</v>
      </c>
      <c r="C2696" s="3">
        <f>[1]!nefin_factors__1[[#This Row],[Rm_minus_Rf]]/B2695-1</f>
        <v>1.1248709077386363</v>
      </c>
      <c r="D2696" s="3">
        <v>-333640950511248</v>
      </c>
      <c r="E2696" s="3">
        <f>[1]!nefin_factors__1[[#This Row],[SMB]]/D2695-1</f>
        <v>-0.29832116097304195</v>
      </c>
      <c r="F2696" s="3">
        <v>-228929563648716</v>
      </c>
      <c r="G2696" s="3">
        <f>[1]!nefin_factors__1[[#This Row],[HML]]/F2695-1</f>
        <v>0.80029124347422953</v>
      </c>
      <c r="H2696" s="3">
        <v>393774532935875</v>
      </c>
      <c r="I2696" s="4">
        <f>[1]!nefin_factors__1[[#This Row],[Risk_Free]]/H2695-1</f>
        <v>9.1380179496391989E-4</v>
      </c>
      <c r="J2696">
        <v>131510</v>
      </c>
      <c r="K2696">
        <v>131520</v>
      </c>
      <c r="L2696">
        <v>129719</v>
      </c>
      <c r="M2696">
        <v>129962</v>
      </c>
      <c r="N2696">
        <v>9220400</v>
      </c>
      <c r="O2696">
        <v>129962</v>
      </c>
      <c r="P2696">
        <v>-1.1785996715128699E-2</v>
      </c>
      <c r="Q2696">
        <v>-1.18560021741552E-2</v>
      </c>
      <c r="R2696" s="8">
        <v>1.8099999427795399</v>
      </c>
      <c r="S2696" s="8">
        <v>-1.63043967689359E-2</v>
      </c>
      <c r="T2696" s="9">
        <v>-1.64387760972175E-2</v>
      </c>
      <c r="U2696" s="12">
        <v>3.9269999999999999E-2</v>
      </c>
      <c r="V2696" s="16">
        <v>5.6223999999999998</v>
      </c>
      <c r="W2696" s="17">
        <f t="shared" si="42"/>
        <v>-1.0670460608219745E-4</v>
      </c>
    </row>
    <row r="2697" spans="1:23" x14ac:dyDescent="0.2">
      <c r="A2697" s="15">
        <v>45498</v>
      </c>
      <c r="B2697" s="5">
        <v>-520459806408085</v>
      </c>
      <c r="C2697" s="5">
        <f>[1]!nefin_factors__1[[#This Row],[Rm_minus_Rf]]/B2696-1</f>
        <v>1.2108051873591328</v>
      </c>
      <c r="D2697" s="5">
        <v>360767037150093</v>
      </c>
      <c r="E2697" s="5">
        <f>[1]!nefin_factors__1[[#This Row],[SMB]]/D2696-1</f>
        <v>-2.0813032291068554</v>
      </c>
      <c r="F2697" s="5">
        <v>710889181531556</v>
      </c>
      <c r="G2697" s="5">
        <f>[1]!nefin_factors__1[[#This Row],[HML]]/F2696-1</f>
        <v>-4.1052746976025745</v>
      </c>
      <c r="H2697" s="5">
        <v>394134003871782</v>
      </c>
      <c r="I2697" s="6">
        <f>[1]!nefin_factors__1[[#This Row],[Risk_Free]]/H2696-1</f>
        <v>9.128851813420269E-4</v>
      </c>
      <c r="J2697">
        <v>129963</v>
      </c>
      <c r="K2697">
        <v>130418</v>
      </c>
      <c r="L2697">
        <v>129835</v>
      </c>
      <c r="M2697">
        <v>130353</v>
      </c>
      <c r="N2697">
        <v>7617300</v>
      </c>
      <c r="O2697">
        <v>130353</v>
      </c>
      <c r="P2697">
        <v>3.00857173635372E-3</v>
      </c>
      <c r="Q2697">
        <v>3.0040550413403299E-3</v>
      </c>
      <c r="R2697" s="8">
        <v>1.8099999427795399</v>
      </c>
      <c r="S2697" s="8">
        <v>0</v>
      </c>
      <c r="T2697" s="9">
        <v>0</v>
      </c>
      <c r="U2697" s="12">
        <v>3.9269999999999999E-2</v>
      </c>
      <c r="V2697" s="16">
        <v>5.6359000000000004</v>
      </c>
      <c r="W2697" s="17">
        <f t="shared" si="42"/>
        <v>2.4011098463290192E-3</v>
      </c>
    </row>
    <row r="2698" spans="1:23" x14ac:dyDescent="0.2">
      <c r="A2698" s="14">
        <v>45499</v>
      </c>
      <c r="B2698" s="3">
        <v>102681881860896</v>
      </c>
      <c r="C2698" s="3">
        <f>[1]!nefin_factors__1[[#This Row],[Rm_minus_Rf]]/B2697-1</f>
        <v>-1.1972907044821528</v>
      </c>
      <c r="D2698" s="3">
        <v>108432803926542</v>
      </c>
      <c r="E2698" s="3">
        <f>[1]!nefin_factors__1[[#This Row],[SMB]]/D2697-1</f>
        <v>-0.69943816158173622</v>
      </c>
      <c r="F2698" s="3">
        <v>-112907386064796</v>
      </c>
      <c r="G2698" s="3">
        <f>[1]!nefin_factors__1[[#This Row],[HML]]/F2697-1</f>
        <v>-1.1588255792858539</v>
      </c>
      <c r="H2698" s="3">
        <v>394134003871782</v>
      </c>
      <c r="I2698" s="4">
        <f>[1]!nefin_factors__1[[#This Row],[Risk_Free]]/H2697-1</f>
        <v>0</v>
      </c>
      <c r="J2698">
        <v>130354</v>
      </c>
      <c r="K2698">
        <v>130354</v>
      </c>
      <c r="L2698">
        <v>129338</v>
      </c>
      <c r="M2698">
        <v>129992</v>
      </c>
      <c r="N2698">
        <v>7973300</v>
      </c>
      <c r="O2698">
        <v>129992</v>
      </c>
      <c r="P2698">
        <v>-2.76940308239937E-3</v>
      </c>
      <c r="Q2698">
        <v>-2.77324497391932E-3</v>
      </c>
      <c r="R2698" s="8">
        <v>1.8200000524520901</v>
      </c>
      <c r="S2698" s="8">
        <v>5.5249226456823798E-3</v>
      </c>
      <c r="T2698" s="9">
        <v>5.5097162443112496E-3</v>
      </c>
      <c r="U2698" s="12">
        <v>3.9269999999999999E-2</v>
      </c>
      <c r="V2698" s="16">
        <v>5.6048999999999998</v>
      </c>
      <c r="W2698" s="17">
        <f t="shared" si="42"/>
        <v>-5.5004524565731572E-3</v>
      </c>
    </row>
    <row r="2699" spans="1:23" x14ac:dyDescent="0.2">
      <c r="A2699" s="15">
        <v>45502</v>
      </c>
      <c r="B2699" s="5">
        <v>-512493613386646</v>
      </c>
      <c r="C2699" s="5">
        <f>[1]!nefin_factors__1[[#This Row],[Rm_minus_Rf]]/B2698-1</f>
        <v>-5.9910812316521955</v>
      </c>
      <c r="D2699" s="5">
        <v>-101226670592853</v>
      </c>
      <c r="E2699" s="5">
        <f>[1]!nefin_factors__1[[#This Row],[SMB]]/D2698-1</f>
        <v>-1.9335428664320919</v>
      </c>
      <c r="F2699" s="5">
        <v>133260408296519</v>
      </c>
      <c r="G2699" s="5">
        <f>[1]!nefin_factors__1[[#This Row],[HML]]/F2698-1</f>
        <v>-2.1802629831501252</v>
      </c>
      <c r="H2699" s="5">
        <v>393774532935875</v>
      </c>
      <c r="I2699" s="6">
        <f>[1]!nefin_factors__1[[#This Row],[Risk_Free]]/H2698-1</f>
        <v>-9.1205258205517836E-4</v>
      </c>
      <c r="J2699">
        <v>129992</v>
      </c>
      <c r="K2699">
        <v>131220</v>
      </c>
      <c r="L2699">
        <v>129729</v>
      </c>
      <c r="M2699">
        <v>131005</v>
      </c>
      <c r="N2699">
        <v>8502100</v>
      </c>
      <c r="O2699">
        <v>131005</v>
      </c>
      <c r="P2699">
        <v>7.7927872484460101E-3</v>
      </c>
      <c r="Q2699">
        <v>7.7625803112303998E-3</v>
      </c>
      <c r="R2699" s="8">
        <v>1.8500000238418599</v>
      </c>
      <c r="S2699" s="8">
        <v>1.6483500288558599E-2</v>
      </c>
      <c r="T2699" s="9">
        <v>1.6349122069192399E-2</v>
      </c>
      <c r="U2699" s="12">
        <v>3.9269999999999999E-2</v>
      </c>
      <c r="V2699" s="16">
        <v>5.5701999999999998</v>
      </c>
      <c r="W2699" s="17">
        <f t="shared" si="42"/>
        <v>-6.1910114364216451E-3</v>
      </c>
    </row>
    <row r="2700" spans="1:23" x14ac:dyDescent="0.2">
      <c r="A2700" s="14">
        <v>45503</v>
      </c>
      <c r="B2700" s="3">
        <v>-610826479969183</v>
      </c>
      <c r="C2700" s="3">
        <f>[1]!nefin_factors__1[[#This Row],[Rm_minus_Rf]]/B2699-1</f>
        <v>0.19187139900678263</v>
      </c>
      <c r="D2700" s="3">
        <v>-3073637841.81674</v>
      </c>
      <c r="E2700" s="3">
        <f>[1]!nefin_factors__1[[#This Row],[SMB]]/D2699-1</f>
        <v>-0.99996963608677614</v>
      </c>
      <c r="F2700" s="3">
        <v>352405706749528</v>
      </c>
      <c r="G2700" s="3">
        <f>[1]!nefin_factors__1[[#This Row],[HML]]/F2699-1</f>
        <v>1.6444891716479413</v>
      </c>
      <c r="H2700" s="3">
        <v>393415029575683</v>
      </c>
      <c r="I2700" s="4">
        <f>[1]!nefin_factors__1[[#This Row],[Risk_Free]]/H2699-1</f>
        <v>-9.1296752360203737E-4</v>
      </c>
      <c r="J2700">
        <v>131005</v>
      </c>
      <c r="K2700">
        <v>131457</v>
      </c>
      <c r="L2700">
        <v>130200</v>
      </c>
      <c r="M2700">
        <v>131043</v>
      </c>
      <c r="N2700">
        <v>7982900</v>
      </c>
      <c r="O2700">
        <v>131043</v>
      </c>
      <c r="P2700">
        <v>2.9006526468444699E-4</v>
      </c>
      <c r="Q2700">
        <v>2.9002320388894602E-4</v>
      </c>
      <c r="R2700" s="8">
        <v>1.8400000333786</v>
      </c>
      <c r="S2700" s="8">
        <v>-5.4054001807470903E-3</v>
      </c>
      <c r="T2700" s="9">
        <v>-5.4200622162860097E-3</v>
      </c>
      <c r="U2700" s="12">
        <v>3.9269999999999999E-2</v>
      </c>
      <c r="V2700" s="16">
        <v>5.6097000000000001</v>
      </c>
      <c r="W2700" s="17">
        <f t="shared" si="42"/>
        <v>7.0913073139204919E-3</v>
      </c>
    </row>
    <row r="2701" spans="1:23" x14ac:dyDescent="0.2">
      <c r="A2701" s="15">
        <v>45504</v>
      </c>
      <c r="B2701" s="5">
        <v>107796935715442</v>
      </c>
      <c r="C2701" s="5">
        <f>[1]!nefin_factors__1[[#This Row],[Rm_minus_Rf]]/B2700-1</f>
        <v>-1.176477181737243</v>
      </c>
      <c r="D2701" s="5">
        <v>297278940604404</v>
      </c>
      <c r="E2701" s="5">
        <f>[1]!nefin_factors__1[[#This Row],[SMB]]/D2700-1</f>
        <v>-96719.922626450643</v>
      </c>
      <c r="F2701" s="5">
        <v>-340203193036077</v>
      </c>
      <c r="G2701" s="5">
        <f>[1]!nefin_factors__1[[#This Row],[HML]]/F2700-1</f>
        <v>-1.9653736773277513</v>
      </c>
      <c r="H2701" s="5">
        <v>393415029575683</v>
      </c>
      <c r="I2701" s="6">
        <f>[1]!nefin_factors__1[[#This Row],[Risk_Free]]/H2700-1</f>
        <v>0</v>
      </c>
      <c r="J2701">
        <v>131045</v>
      </c>
      <c r="K2701">
        <v>132233</v>
      </c>
      <c r="L2701">
        <v>130780</v>
      </c>
      <c r="M2701">
        <v>131750</v>
      </c>
      <c r="N2701">
        <v>10282800</v>
      </c>
      <c r="O2701">
        <v>131750</v>
      </c>
      <c r="P2701">
        <v>5.3951756293735302E-3</v>
      </c>
      <c r="Q2701">
        <v>5.3806738058770204E-3</v>
      </c>
      <c r="R2701" s="8">
        <v>1.8600000143051101</v>
      </c>
      <c r="S2701" s="8">
        <v>1.0869554654186601E-2</v>
      </c>
      <c r="T2701" s="9">
        <v>1.08109056545937E-2</v>
      </c>
      <c r="U2701" s="12">
        <v>3.9269999999999999E-2</v>
      </c>
      <c r="V2701" s="16">
        <v>5.6254</v>
      </c>
      <c r="W2701" s="17">
        <f t="shared" si="42"/>
        <v>2.7987236394102499E-3</v>
      </c>
    </row>
    <row r="2702" spans="1:23" x14ac:dyDescent="0.2">
      <c r="A2702" s="14">
        <v>45505</v>
      </c>
      <c r="B2702" s="3">
        <v>451932312664875</v>
      </c>
      <c r="C2702" s="3">
        <f>[1]!nefin_factors__1[[#This Row],[Rm_minus_Rf]]/B2701-1</f>
        <v>3.19244118272404</v>
      </c>
      <c r="D2702" s="3">
        <v>-91250224549485</v>
      </c>
      <c r="E2702" s="3">
        <f>[1]!nefin_factors__1[[#This Row],[SMB]]/D2701-1</f>
        <v>-1.3069515262802076</v>
      </c>
      <c r="F2702" s="3">
        <v>-471079973339749</v>
      </c>
      <c r="G2702" s="3">
        <f>[1]!nefin_factors__1[[#This Row],[HML]]/F2701-1</f>
        <v>0.38470179875646582</v>
      </c>
      <c r="H2702" s="3">
        <v>393415029575683</v>
      </c>
      <c r="I2702" s="4">
        <f>[1]!nefin_factors__1[[#This Row],[Risk_Free]]/H2701-1</f>
        <v>0</v>
      </c>
      <c r="J2702">
        <v>131716</v>
      </c>
      <c r="K2702">
        <v>131716</v>
      </c>
      <c r="L2702">
        <v>129902</v>
      </c>
      <c r="M2702">
        <v>130793</v>
      </c>
      <c r="N2702">
        <v>7086000</v>
      </c>
      <c r="O2702">
        <v>130793</v>
      </c>
      <c r="P2702">
        <v>-7.2637571157495601E-3</v>
      </c>
      <c r="Q2702">
        <v>-7.2902666500213598E-3</v>
      </c>
      <c r="R2702" s="8">
        <v>1.8400000333786</v>
      </c>
      <c r="S2702" s="8">
        <v>-1.07526778347825E-2</v>
      </c>
      <c r="T2702" s="9">
        <v>-1.08109056545937E-2</v>
      </c>
      <c r="U2702" s="12">
        <v>3.9269999999999999E-2</v>
      </c>
      <c r="V2702" s="16">
        <v>5.6387</v>
      </c>
      <c r="W2702" s="17">
        <f t="shared" si="42"/>
        <v>2.364276318128411E-3</v>
      </c>
    </row>
    <row r="2703" spans="1:23" x14ac:dyDescent="0.2">
      <c r="A2703" s="15">
        <v>45506</v>
      </c>
      <c r="B2703" s="5">
        <v>-112023566863475</v>
      </c>
      <c r="C2703" s="5">
        <f>[1]!nefin_factors__1[[#This Row],[Rm_minus_Rf]]/B2702-1</f>
        <v>-1.2478768694429352</v>
      </c>
      <c r="D2703" s="5">
        <v>14593841923193</v>
      </c>
      <c r="E2703" s="5">
        <f>[1]!nefin_factors__1[[#This Row],[SMB]]/D2702-1</f>
        <v>-1.1599321206632074</v>
      </c>
      <c r="F2703" s="5">
        <v>-149399261312108</v>
      </c>
      <c r="G2703" s="5">
        <f>[1]!nefin_factors__1[[#This Row],[HML]]/F2702-1</f>
        <v>-0.68285796517110842</v>
      </c>
      <c r="H2703" s="5">
        <v>39305549378521</v>
      </c>
      <c r="I2703" s="6">
        <f>[1]!nefin_factors__1[[#This Row],[Risk_Free]]/H2702-1</f>
        <v>-0.90009138842277092</v>
      </c>
      <c r="J2703">
        <v>130793</v>
      </c>
      <c r="K2703">
        <v>131725</v>
      </c>
      <c r="L2703">
        <v>130121</v>
      </c>
      <c r="M2703">
        <v>130499</v>
      </c>
      <c r="N2703">
        <v>8683700</v>
      </c>
      <c r="O2703">
        <v>130499</v>
      </c>
      <c r="P2703">
        <v>-2.24782671855528E-3</v>
      </c>
      <c r="Q2703">
        <v>-2.2503568733110001E-3</v>
      </c>
      <c r="R2703" s="8">
        <v>1.8600000143051101</v>
      </c>
      <c r="S2703" s="8">
        <v>1.0869554654186601E-2</v>
      </c>
      <c r="T2703" s="9">
        <v>1.08109056545937E-2</v>
      </c>
      <c r="U2703" s="12">
        <v>3.9269999999999999E-2</v>
      </c>
      <c r="V2703" s="16">
        <v>5.6554000000000002</v>
      </c>
      <c r="W2703" s="17">
        <f t="shared" si="42"/>
        <v>2.9616755635164527E-3</v>
      </c>
    </row>
    <row r="2704" spans="1:23" x14ac:dyDescent="0.2">
      <c r="A2704" s="14">
        <v>45509</v>
      </c>
      <c r="B2704" s="3">
        <v>-409303585014441</v>
      </c>
      <c r="C2704" s="3">
        <f>[1]!nefin_factors__1[[#This Row],[Rm_minus_Rf]]/B2703-1</f>
        <v>2.6537274831934798</v>
      </c>
      <c r="D2704" s="3">
        <v>-532490130616816</v>
      </c>
      <c r="E2704" s="3">
        <f>[1]!nefin_factors__1[[#This Row],[SMB]]/D2703-1</f>
        <v>-37.487316596911036</v>
      </c>
      <c r="F2704" s="3">
        <v>230677092229077</v>
      </c>
      <c r="G2704" s="3">
        <f>[1]!nefin_factors__1[[#This Row],[HML]]/F2703-1</f>
        <v>-2.5440310092777003</v>
      </c>
      <c r="H2704" s="3">
        <v>39305549378521</v>
      </c>
      <c r="I2704" s="4">
        <f>[1]!nefin_factors__1[[#This Row],[Risk_Free]]/H2703-1</f>
        <v>0</v>
      </c>
      <c r="J2704">
        <v>130499</v>
      </c>
      <c r="K2704">
        <v>131124</v>
      </c>
      <c r="L2704">
        <v>130157</v>
      </c>
      <c r="M2704">
        <v>130362</v>
      </c>
      <c r="N2704">
        <v>7774900</v>
      </c>
      <c r="O2704">
        <v>130362</v>
      </c>
      <c r="P2704">
        <v>-1.0498164736894001E-3</v>
      </c>
      <c r="Q2704">
        <v>-1.05036791698023E-3</v>
      </c>
      <c r="R2704" s="8">
        <v>1.8999999761581401</v>
      </c>
      <c r="S2704" s="8">
        <v>2.1505355669565001E-2</v>
      </c>
      <c r="T2704" s="9">
        <v>2.1277378208016801E-2</v>
      </c>
      <c r="U2704" s="12">
        <v>3.9269999999999999E-2</v>
      </c>
      <c r="V2704" s="16">
        <v>5.5716999999999999</v>
      </c>
      <c r="W2704" s="17">
        <f t="shared" si="42"/>
        <v>-1.4800014145772256E-2</v>
      </c>
    </row>
    <row r="2705" spans="1:23" x14ac:dyDescent="0.2">
      <c r="A2705" s="15">
        <v>45510</v>
      </c>
      <c r="B2705" s="5">
        <v>749999627500307</v>
      </c>
      <c r="C2705" s="5">
        <f>[1]!nefin_factors__1[[#This Row],[Rm_minus_Rf]]/B2704-1</f>
        <v>-2.8323798152753676</v>
      </c>
      <c r="D2705" s="5">
        <v>-631491055534413</v>
      </c>
      <c r="E2705" s="5">
        <f>[1]!nefin_factors__1[[#This Row],[SMB]]/D2704-1</f>
        <v>0.18592067575584581</v>
      </c>
      <c r="F2705" s="5">
        <v>-199928718791947</v>
      </c>
      <c r="G2705" s="5">
        <f>[1]!nefin_factors__1[[#This Row],[HML]]/F2704-1</f>
        <v>-1.8667038276752903</v>
      </c>
      <c r="H2705" s="5">
        <v>393415029575683</v>
      </c>
      <c r="I2705" s="6">
        <f>[1]!nefin_factors__1[[#This Row],[Risk_Free]]/H2704-1</f>
        <v>9.0091472017605092</v>
      </c>
      <c r="J2705">
        <v>130346</v>
      </c>
      <c r="K2705">
        <v>130346</v>
      </c>
      <c r="L2705">
        <v>129094</v>
      </c>
      <c r="M2705">
        <v>129721</v>
      </c>
      <c r="N2705">
        <v>5522000</v>
      </c>
      <c r="O2705">
        <v>129721</v>
      </c>
      <c r="P2705">
        <v>-4.9170770623341298E-3</v>
      </c>
      <c r="Q2705">
        <v>-4.9292056602536997E-3</v>
      </c>
      <c r="R2705" s="8">
        <v>1.87999999523163</v>
      </c>
      <c r="S2705" s="8">
        <v>-1.0526305882884401E-2</v>
      </c>
      <c r="T2705" s="9">
        <v>-1.0582099318558399E-2</v>
      </c>
      <c r="U2705" s="12">
        <v>3.9269999999999999E-2</v>
      </c>
      <c r="V2705" s="16">
        <v>5.5206999999999997</v>
      </c>
      <c r="W2705" s="17">
        <f t="shared" si="42"/>
        <v>-9.1534002189637143E-3</v>
      </c>
    </row>
    <row r="2706" spans="1:23" x14ac:dyDescent="0.2">
      <c r="A2706" s="14">
        <v>45511</v>
      </c>
      <c r="B2706" s="3">
        <v>918095384285549</v>
      </c>
      <c r="C2706" s="3">
        <f>[1]!nefin_factors__1[[#This Row],[Rm_minus_Rf]]/B2705-1</f>
        <v>0.22412778703036507</v>
      </c>
      <c r="D2706" s="3">
        <v>220985024972371</v>
      </c>
      <c r="E2706" s="3">
        <f>[1]!nefin_factors__1[[#This Row],[SMB]]/D2705-1</f>
        <v>-1.3499416548114964</v>
      </c>
      <c r="F2706" s="3">
        <v>-47426988963591</v>
      </c>
      <c r="G2706" s="3">
        <f>[1]!nefin_factors__1[[#This Row],[HML]]/F2705-1</f>
        <v>-0.76278050872248504</v>
      </c>
      <c r="H2706" s="3">
        <v>393415029575683</v>
      </c>
      <c r="I2706" s="4">
        <f>[1]!nefin_factors__1[[#This Row],[Risk_Free]]/H2705-1</f>
        <v>0</v>
      </c>
      <c r="J2706">
        <v>129949</v>
      </c>
      <c r="K2706">
        <v>129949</v>
      </c>
      <c r="L2706">
        <v>128589</v>
      </c>
      <c r="M2706">
        <v>129233</v>
      </c>
      <c r="N2706">
        <v>7962200</v>
      </c>
      <c r="O2706">
        <v>129233</v>
      </c>
      <c r="P2706">
        <v>-3.7619198125207198E-3</v>
      </c>
      <c r="Q2706">
        <v>-3.7690136293606E-3</v>
      </c>
      <c r="R2706" s="8">
        <v>1.8899999856948899</v>
      </c>
      <c r="S2706" s="8">
        <v>5.3191438769257804E-3</v>
      </c>
      <c r="T2706" s="9">
        <v>5.3050471972172202E-3</v>
      </c>
      <c r="U2706" s="12">
        <v>3.9269999999999999E-2</v>
      </c>
      <c r="V2706" s="16">
        <v>5.5010000000000003</v>
      </c>
      <c r="W2706" s="17">
        <f t="shared" si="42"/>
        <v>-3.5683880667305434E-3</v>
      </c>
    </row>
    <row r="2707" spans="1:23" x14ac:dyDescent="0.2">
      <c r="A2707" s="15">
        <v>45512</v>
      </c>
      <c r="B2707" s="5">
        <v>831174917368902</v>
      </c>
      <c r="C2707" s="5">
        <f>[1]!nefin_factors__1[[#This Row],[Rm_minus_Rf]]/B2706-1</f>
        <v>-9.4674767354687717E-2</v>
      </c>
      <c r="D2707" s="5">
        <v>484685944892099</v>
      </c>
      <c r="E2707" s="5">
        <f>[1]!nefin_factors__1[[#This Row],[SMB]]/D2706-1</f>
        <v>1.1932976904326327</v>
      </c>
      <c r="F2707" s="5">
        <v>175483905031545</v>
      </c>
      <c r="G2707" s="5">
        <f>[1]!nefin_factors__1[[#This Row],[HML]]/F2706-1</f>
        <v>-4.7000853072553568</v>
      </c>
      <c r="H2707" s="5">
        <v>393415029575683</v>
      </c>
      <c r="I2707" s="6">
        <f>[1]!nefin_factors__1[[#This Row],[Risk_Free]]/H2706-1</f>
        <v>0</v>
      </c>
      <c r="J2707">
        <v>129233</v>
      </c>
      <c r="K2707">
        <v>130130</v>
      </c>
      <c r="L2707">
        <v>128798</v>
      </c>
      <c r="M2707">
        <v>130067</v>
      </c>
      <c r="N2707">
        <v>8310600</v>
      </c>
      <c r="O2707">
        <v>130067</v>
      </c>
      <c r="P2707">
        <v>6.4534600295589302E-3</v>
      </c>
      <c r="Q2707">
        <v>6.4327256143859998E-3</v>
      </c>
      <c r="R2707" s="8">
        <v>1.9800000190734901</v>
      </c>
      <c r="S2707" s="8">
        <v>4.7619065640104298E-2</v>
      </c>
      <c r="T2707" s="9">
        <v>4.6520032836810499E-2</v>
      </c>
      <c r="U2707" s="12">
        <v>3.9269999999999999E-2</v>
      </c>
      <c r="V2707" s="16">
        <v>5.4767000000000001</v>
      </c>
      <c r="W2707" s="17">
        <f t="shared" si="42"/>
        <v>-4.4173786584257302E-3</v>
      </c>
    </row>
    <row r="2708" spans="1:23" x14ac:dyDescent="0.2">
      <c r="A2708" s="14">
        <v>45513</v>
      </c>
      <c r="B2708" s="3">
        <v>131737181418617</v>
      </c>
      <c r="C2708" s="3">
        <f>[1]!nefin_factors__1[[#This Row],[Rm_minus_Rf]]/B2707-1</f>
        <v>-0.84150486417993309</v>
      </c>
      <c r="D2708" s="3">
        <v>645656340196293</v>
      </c>
      <c r="E2708" s="3">
        <f>[1]!nefin_factors__1[[#This Row],[SMB]]/D2707-1</f>
        <v>0.33211277735736555</v>
      </c>
      <c r="F2708" s="3">
        <v>238794412654781</v>
      </c>
      <c r="G2708" s="3">
        <f>[1]!nefin_factors__1[[#This Row],[HML]]/F2707-1</f>
        <v>0.36077671973310199</v>
      </c>
      <c r="H2708" s="3">
        <v>393415029575683</v>
      </c>
      <c r="I2708" s="4">
        <f>[1]!nefin_factors__1[[#This Row],[Risk_Free]]/H2707-1</f>
        <v>0</v>
      </c>
      <c r="J2708">
        <v>130067</v>
      </c>
      <c r="K2708">
        <v>130529</v>
      </c>
      <c r="L2708">
        <v>129806</v>
      </c>
      <c r="M2708">
        <v>129893</v>
      </c>
      <c r="N2708">
        <v>8513300</v>
      </c>
      <c r="O2708">
        <v>129893</v>
      </c>
      <c r="P2708">
        <v>-1.33777207131713E-3</v>
      </c>
      <c r="Q2708">
        <v>-1.33866768721693E-3</v>
      </c>
      <c r="R2708" s="8">
        <v>2.0799999237060498</v>
      </c>
      <c r="S2708" s="8">
        <v>5.05050018531625E-2</v>
      </c>
      <c r="T2708" s="9">
        <v>4.9271002693926799E-2</v>
      </c>
      <c r="U2708" s="12">
        <v>4.0168000000000002E-2</v>
      </c>
      <c r="V2708" s="16">
        <v>5.4188999999999998</v>
      </c>
      <c r="W2708" s="17">
        <f t="shared" si="42"/>
        <v>-1.0553800646374678E-2</v>
      </c>
    </row>
    <row r="2709" spans="1:23" x14ac:dyDescent="0.2">
      <c r="A2709" s="15">
        <v>45516</v>
      </c>
      <c r="B2709" s="5">
        <v>43732798556449</v>
      </c>
      <c r="C2709" s="5">
        <f>[1]!nefin_factors__1[[#This Row],[Rm_minus_Rf]]/B2708-1</f>
        <v>-0.66802995110787522</v>
      </c>
      <c r="D2709" s="5">
        <v>108730508811069</v>
      </c>
      <c r="E2709" s="5">
        <f>[1]!nefin_factors__1[[#This Row],[SMB]]/D2708-1</f>
        <v>-0.83159693161533477</v>
      </c>
      <c r="F2709" s="5">
        <v>505711040007206</v>
      </c>
      <c r="G2709" s="5">
        <f>[1]!nefin_factors__1[[#This Row],[HML]]/F2708-1</f>
        <v>1.1177674736397605</v>
      </c>
      <c r="H2709" s="5">
        <v>393774532935875</v>
      </c>
      <c r="I2709" s="6">
        <f>[1]!nefin_factors__1[[#This Row],[Risk_Free]]/H2708-1</f>
        <v>9.1380179496391989E-4</v>
      </c>
      <c r="J2709">
        <v>129894</v>
      </c>
      <c r="K2709">
        <v>131421</v>
      </c>
      <c r="L2709">
        <v>129894</v>
      </c>
      <c r="M2709">
        <v>131213</v>
      </c>
      <c r="N2709">
        <v>7135300</v>
      </c>
      <c r="O2709">
        <v>131213</v>
      </c>
      <c r="P2709">
        <v>1.01622104347425E-2</v>
      </c>
      <c r="Q2709">
        <v>1.01109223484978E-2</v>
      </c>
      <c r="R2709" s="8">
        <v>2.1400001049041699</v>
      </c>
      <c r="S2709" s="8">
        <v>2.8846242018708598E-2</v>
      </c>
      <c r="T2709" s="9">
        <v>2.84380210209568E-2</v>
      </c>
      <c r="U2709" s="12">
        <v>4.0168000000000002E-2</v>
      </c>
      <c r="V2709" s="16">
        <v>5.4775</v>
      </c>
      <c r="W2709" s="17">
        <f t="shared" si="42"/>
        <v>1.0814002841905257E-2</v>
      </c>
    </row>
    <row r="2710" spans="1:23" x14ac:dyDescent="0.2">
      <c r="A2710" s="14">
        <v>45517</v>
      </c>
      <c r="B2710" s="3">
        <v>808520683093869</v>
      </c>
      <c r="C2710" s="3">
        <f>[1]!nefin_factors__1[[#This Row],[Rm_minus_Rf]]/B2709-1</f>
        <v>17.487741690032813</v>
      </c>
      <c r="D2710" s="3">
        <v>-229907683137602</v>
      </c>
      <c r="E2710" s="3">
        <f>[1]!nefin_factors__1[[#This Row],[SMB]]/D2709-1</f>
        <v>-3.1144726135430068</v>
      </c>
      <c r="F2710" s="3">
        <v>-113619901742145</v>
      </c>
      <c r="G2710" s="3">
        <f>[1]!nefin_factors__1[[#This Row],[HML]]/F2709-1</f>
        <v>-1.2246735640584907</v>
      </c>
      <c r="H2710" s="3">
        <v>393774532935875</v>
      </c>
      <c r="I2710" s="4">
        <f>[1]!nefin_factors__1[[#This Row],[Risk_Free]]/H2709-1</f>
        <v>0</v>
      </c>
      <c r="J2710">
        <v>131214</v>
      </c>
      <c r="K2710">
        <v>131765</v>
      </c>
      <c r="L2710">
        <v>130693</v>
      </c>
      <c r="M2710">
        <v>130730</v>
      </c>
      <c r="N2710">
        <v>7636400</v>
      </c>
      <c r="O2710">
        <v>130730</v>
      </c>
      <c r="P2710">
        <v>-3.6810377020569701E-3</v>
      </c>
      <c r="Q2710">
        <v>-3.68782939344303E-3</v>
      </c>
      <c r="R2710" s="8">
        <v>2.0699999332428001</v>
      </c>
      <c r="S2710" s="8">
        <v>-3.2710358985945702E-2</v>
      </c>
      <c r="T2710" s="9">
        <v>-3.3257303026980302E-2</v>
      </c>
      <c r="U2710" s="12">
        <v>4.0168000000000002E-2</v>
      </c>
      <c r="V2710" s="16">
        <v>5.5446</v>
      </c>
      <c r="W2710" s="17">
        <f t="shared" si="42"/>
        <v>1.2250114103149246E-2</v>
      </c>
    </row>
    <row r="2711" spans="1:23" x14ac:dyDescent="0.2">
      <c r="A2711" s="15">
        <v>45518</v>
      </c>
      <c r="B2711" s="5">
        <v>731533717064525</v>
      </c>
      <c r="C2711" s="5">
        <f>[1]!nefin_factors__1[[#This Row],[Rm_minus_Rf]]/B2710-1</f>
        <v>-9.5219538150523531E-2</v>
      </c>
      <c r="D2711" s="5">
        <v>-230302065420373</v>
      </c>
      <c r="E2711" s="5">
        <f>[1]!nefin_factors__1[[#This Row],[SMB]]/D2710-1</f>
        <v>1.7153940981387006E-3</v>
      </c>
      <c r="F2711" s="5">
        <v>858490657426429</v>
      </c>
      <c r="G2711" s="5">
        <f>[1]!nefin_factors__1[[#This Row],[HML]]/F2710-1</f>
        <v>-8.555812355609433</v>
      </c>
      <c r="H2711" s="5">
        <v>393774532935875</v>
      </c>
      <c r="I2711" s="6">
        <f>[1]!nefin_factors__1[[#This Row],[Risk_Free]]/H2710-1</f>
        <v>0</v>
      </c>
      <c r="J2711">
        <v>130730</v>
      </c>
      <c r="K2711">
        <v>131027</v>
      </c>
      <c r="L2711">
        <v>130473</v>
      </c>
      <c r="M2711">
        <v>130639</v>
      </c>
      <c r="N2711">
        <v>7327100</v>
      </c>
      <c r="O2711">
        <v>130639</v>
      </c>
      <c r="P2711">
        <v>-6.9609118029523298E-4</v>
      </c>
      <c r="Q2711">
        <v>-6.9633356424828995E-4</v>
      </c>
      <c r="R2711" s="8">
        <v>2.1600000858306898</v>
      </c>
      <c r="S2711" s="8">
        <v>4.3478335985692097E-2</v>
      </c>
      <c r="T2711" s="9">
        <v>4.25596864050816E-2</v>
      </c>
      <c r="U2711" s="12">
        <v>4.0168000000000002E-2</v>
      </c>
      <c r="V2711" s="16">
        <v>5.4702000000000002</v>
      </c>
      <c r="W2711" s="17">
        <f t="shared" si="42"/>
        <v>-1.3418461205497167E-2</v>
      </c>
    </row>
    <row r="2712" spans="1:23" x14ac:dyDescent="0.2">
      <c r="A2712" s="14">
        <v>45519</v>
      </c>
      <c r="B2712" s="3">
        <v>582793709413547</v>
      </c>
      <c r="C2712" s="3">
        <f>[1]!nefin_factors__1[[#This Row],[Rm_minus_Rf]]/B2711-1</f>
        <v>-0.20332625028937434</v>
      </c>
      <c r="D2712" s="3">
        <v>100670088467257</v>
      </c>
      <c r="E2712" s="3">
        <f>[1]!nefin_factors__1[[#This Row],[SMB]]/D2711-1</f>
        <v>-1.437121952352024</v>
      </c>
      <c r="F2712" s="3">
        <v>-200100899179169</v>
      </c>
      <c r="G2712" s="3">
        <f>[1]!nefin_factors__1[[#This Row],[HML]]/F2711-1</f>
        <v>-1.2330845390665388</v>
      </c>
      <c r="H2712" s="3">
        <v>394134003871782</v>
      </c>
      <c r="I2712" s="4">
        <f>[1]!nefin_factors__1[[#This Row],[Risk_Free]]/H2711-1</f>
        <v>9.128851813420269E-4</v>
      </c>
      <c r="J2712">
        <v>130639</v>
      </c>
      <c r="K2712">
        <v>130798</v>
      </c>
      <c r="L2712">
        <v>129642</v>
      </c>
      <c r="M2712">
        <v>129713</v>
      </c>
      <c r="N2712">
        <v>9068100</v>
      </c>
      <c r="O2712">
        <v>129713</v>
      </c>
      <c r="P2712">
        <v>-7.0882355192553002E-3</v>
      </c>
      <c r="Q2712">
        <v>-7.1134764069366004E-3</v>
      </c>
      <c r="R2712" s="8">
        <v>2.0499999523162802</v>
      </c>
      <c r="S2712" s="8">
        <v>-5.0925985714533301E-2</v>
      </c>
      <c r="T2712" s="9">
        <v>-5.2268491542535399E-2</v>
      </c>
      <c r="U2712" s="12">
        <v>4.0168000000000002E-2</v>
      </c>
      <c r="V2712" s="16">
        <v>5.4736000000000002</v>
      </c>
      <c r="W2712" s="17">
        <f t="shared" si="42"/>
        <v>6.215494863075488E-4</v>
      </c>
    </row>
    <row r="2713" spans="1:23" x14ac:dyDescent="0.2">
      <c r="A2713" s="15">
        <v>45520</v>
      </c>
      <c r="B2713" s="5">
        <v>-186973144712135</v>
      </c>
      <c r="C2713" s="5">
        <f>[1]!nefin_factors__1[[#This Row],[Rm_minus_Rf]]/B2712-1</f>
        <v>-1.3208221737675963</v>
      </c>
      <c r="D2713" s="5">
        <v>-504747892599831</v>
      </c>
      <c r="E2713" s="5">
        <f>[1]!nefin_factors__1[[#This Row],[SMB]]/D2712-1</f>
        <v>-6.0138814844093487</v>
      </c>
      <c r="F2713" s="5">
        <v>327360250535415</v>
      </c>
      <c r="G2713" s="5">
        <f>[1]!nefin_factors__1[[#This Row],[HML]]/F2712-1</f>
        <v>-2.6359759095450084</v>
      </c>
      <c r="H2713" s="5">
        <v>394493442389399</v>
      </c>
      <c r="I2713" s="6">
        <f>[1]!nefin_factors__1[[#This Row],[Risk_Free]]/H2712-1</f>
        <v>9.1197033010614881E-4</v>
      </c>
      <c r="J2713">
        <v>129718</v>
      </c>
      <c r="K2713">
        <v>129902</v>
      </c>
      <c r="L2713">
        <v>128070</v>
      </c>
      <c r="M2713">
        <v>128121</v>
      </c>
      <c r="N2713">
        <v>9897900</v>
      </c>
      <c r="O2713">
        <v>128121</v>
      </c>
      <c r="P2713">
        <v>-1.22732494044544E-2</v>
      </c>
      <c r="Q2713">
        <v>-1.23491877094453E-2</v>
      </c>
      <c r="R2713" s="8">
        <v>1.9400000572204601</v>
      </c>
      <c r="S2713" s="8">
        <v>-5.3658486660712802E-2</v>
      </c>
      <c r="T2713" s="9">
        <v>-5.5151767319649103E-2</v>
      </c>
      <c r="U2713" s="12">
        <v>4.0168000000000002E-2</v>
      </c>
      <c r="V2713" s="16">
        <v>5.4412000000000003</v>
      </c>
      <c r="W2713" s="17">
        <f t="shared" si="42"/>
        <v>-5.9193218357205257E-3</v>
      </c>
    </row>
    <row r="2714" spans="1:23" x14ac:dyDescent="0.2">
      <c r="A2714" s="14">
        <v>45523</v>
      </c>
      <c r="B2714" s="3">
        <v>123985888637247</v>
      </c>
      <c r="C2714" s="3">
        <f>[1]!nefin_factors__1[[#This Row],[Rm_minus_Rf]]/B2713-1</f>
        <v>-1.6631213740782744</v>
      </c>
      <c r="D2714" s="3">
        <v>645485850935714</v>
      </c>
      <c r="E2714" s="3">
        <f>[1]!nefin_factors__1[[#This Row],[SMB]]/D2713-1</f>
        <v>-2.278828223751419</v>
      </c>
      <c r="F2714" s="3">
        <v>979292893719209</v>
      </c>
      <c r="G2714" s="3">
        <f>[1]!nefin_factors__1[[#This Row],[HML]]/F2713-1</f>
        <v>1.9914838228450877</v>
      </c>
      <c r="H2714" s="3">
        <v>395212222193075</v>
      </c>
      <c r="I2714" s="4">
        <f>[1]!nefin_factors__1[[#This Row],[Risk_Free]]/H2713-1</f>
        <v>1.822032324092504E-3</v>
      </c>
      <c r="J2714">
        <v>128130</v>
      </c>
      <c r="K2714">
        <v>130609</v>
      </c>
      <c r="L2714">
        <v>128128</v>
      </c>
      <c r="M2714">
        <v>130515</v>
      </c>
      <c r="N2714">
        <v>9013500</v>
      </c>
      <c r="O2714">
        <v>130515</v>
      </c>
      <c r="P2714">
        <v>1.8685461399770498E-2</v>
      </c>
      <c r="Q2714">
        <v>1.8513032792958999E-2</v>
      </c>
      <c r="R2714" s="8">
        <v>2.1199998855590798</v>
      </c>
      <c r="S2714" s="8">
        <v>9.2783413932739006E-2</v>
      </c>
      <c r="T2714" s="9">
        <v>8.8728032132036394E-2</v>
      </c>
      <c r="U2714" s="12">
        <v>4.0168000000000002E-2</v>
      </c>
      <c r="V2714" s="16">
        <v>5.4431000000000003</v>
      </c>
      <c r="W2714" s="17">
        <f t="shared" si="42"/>
        <v>3.4918767918834526E-4</v>
      </c>
    </row>
    <row r="2715" spans="1:23" x14ac:dyDescent="0.2">
      <c r="A2715" s="15">
        <v>45524</v>
      </c>
      <c r="B2715" s="5">
        <v>256709429423967</v>
      </c>
      <c r="C2715" s="5">
        <f>[1]!nefin_factors__1[[#This Row],[Rm_minus_Rf]]/B2714-1</f>
        <v>1.0704729566042572</v>
      </c>
      <c r="D2715" s="5">
        <v>608438474343614</v>
      </c>
      <c r="E2715" s="5">
        <f>[1]!nefin_factors__1[[#This Row],[SMB]]/D2714-1</f>
        <v>-5.7394560296550434E-2</v>
      </c>
      <c r="F2715" s="5">
        <v>208015776376522</v>
      </c>
      <c r="G2715" s="5">
        <f>[1]!nefin_factors__1[[#This Row],[HML]]/F2714-1</f>
        <v>-0.78758573894424067</v>
      </c>
      <c r="H2715" s="5">
        <v>394493442389399</v>
      </c>
      <c r="I2715" s="6">
        <f>[1]!nefin_factors__1[[#This Row],[Risk_Free]]/H2714-1</f>
        <v>-1.8187185600875289E-3</v>
      </c>
      <c r="J2715">
        <v>130515</v>
      </c>
      <c r="K2715">
        <v>130769</v>
      </c>
      <c r="L2715">
        <v>129692</v>
      </c>
      <c r="M2715">
        <v>130661</v>
      </c>
      <c r="N2715">
        <v>8556100</v>
      </c>
      <c r="O2715">
        <v>130661</v>
      </c>
      <c r="P2715">
        <v>1.11864536643291E-3</v>
      </c>
      <c r="Q2715">
        <v>1.118020148926E-3</v>
      </c>
      <c r="R2715" s="8">
        <v>2.1400001049041699</v>
      </c>
      <c r="S2715" s="8">
        <v>9.4340662380829592E-3</v>
      </c>
      <c r="T2715" s="9">
        <v>9.3898433520467495E-3</v>
      </c>
      <c r="U2715" s="12">
        <v>4.0168000000000002E-2</v>
      </c>
      <c r="V2715" s="16">
        <v>5.4481000000000002</v>
      </c>
      <c r="W2715" s="17">
        <f t="shared" si="42"/>
        <v>9.1859418346151855E-4</v>
      </c>
    </row>
    <row r="2716" spans="1:23" x14ac:dyDescent="0.2">
      <c r="A2716" s="14">
        <v>45525</v>
      </c>
      <c r="B2716" s="3">
        <v>100217569510238</v>
      </c>
      <c r="C2716" s="3">
        <f>[1]!nefin_factors__1[[#This Row],[Rm_minus_Rf]]/B2715-1</f>
        <v>-0.60960697963017074</v>
      </c>
      <c r="D2716" s="3">
        <v>-28283603324625</v>
      </c>
      <c r="E2716" s="3">
        <f>[1]!nefin_factors__1[[#This Row],[SMB]]/D2715-1</f>
        <v>-1.0464855601959384</v>
      </c>
      <c r="F2716" s="3">
        <v>-314464662583997</v>
      </c>
      <c r="G2716" s="3">
        <f>[1]!nefin_factors__1[[#This Row],[HML]]/F2715-1</f>
        <v>-2.5117346773486817</v>
      </c>
      <c r="H2716" s="3">
        <v>394493442389399</v>
      </c>
      <c r="I2716" s="4">
        <f>[1]!nefin_factors__1[[#This Row],[Risk_Free]]/H2715-1</f>
        <v>0</v>
      </c>
      <c r="J2716">
        <v>130613</v>
      </c>
      <c r="K2716">
        <v>130670</v>
      </c>
      <c r="L2716">
        <v>128822</v>
      </c>
      <c r="M2716">
        <v>130341</v>
      </c>
      <c r="N2716">
        <v>10540900</v>
      </c>
      <c r="O2716">
        <v>130341</v>
      </c>
      <c r="P2716">
        <v>-2.4490858021903898E-3</v>
      </c>
      <c r="Q2716">
        <v>-2.4520897183915999E-3</v>
      </c>
      <c r="R2716" s="8">
        <v>2.2200000286102299</v>
      </c>
      <c r="S2716" s="8">
        <v>3.7383140086171503E-2</v>
      </c>
      <c r="T2716" s="9">
        <v>3.6701330717277297E-2</v>
      </c>
      <c r="U2716" s="12">
        <v>4.0168000000000002E-2</v>
      </c>
      <c r="V2716" s="16">
        <v>5.4520999999999997</v>
      </c>
      <c r="W2716" s="17">
        <f t="shared" si="42"/>
        <v>7.3420091408005206E-4</v>
      </c>
    </row>
    <row r="2717" spans="1:23" x14ac:dyDescent="0.2">
      <c r="A2717" s="15">
        <v>45526</v>
      </c>
      <c r="B2717" s="5">
        <v>-914499263033842</v>
      </c>
      <c r="C2717" s="5">
        <f>[1]!nefin_factors__1[[#This Row],[Rm_minus_Rf]]/B2716-1</f>
        <v>-10.125139109868543</v>
      </c>
      <c r="D2717" s="5">
        <v>-168883456836482</v>
      </c>
      <c r="E2717" s="5">
        <f>[1]!nefin_factors__1[[#This Row],[SMB]]/D2716-1</f>
        <v>4.9710728826918711</v>
      </c>
      <c r="F2717" s="5">
        <v>471691384424896</v>
      </c>
      <c r="G2717" s="5">
        <f>[1]!nefin_factors__1[[#This Row],[HML]]/F2716-1</f>
        <v>-2.4999821619031741</v>
      </c>
      <c r="H2717" s="5">
        <v>395212222193075</v>
      </c>
      <c r="I2717" s="6">
        <f>[1]!nefin_factors__1[[#This Row],[Risk_Free]]/H2716-1</f>
        <v>1.822032324092504E-3</v>
      </c>
      <c r="J2717">
        <v>130341</v>
      </c>
      <c r="K2717">
        <v>131319</v>
      </c>
      <c r="L2717">
        <v>129406</v>
      </c>
      <c r="M2717">
        <v>129682</v>
      </c>
      <c r="N2717">
        <v>10520800</v>
      </c>
      <c r="O2717">
        <v>129682</v>
      </c>
      <c r="P2717">
        <v>-5.0559685747385598E-3</v>
      </c>
      <c r="Q2717">
        <v>-5.0687932294828002E-3</v>
      </c>
      <c r="R2717" s="8">
        <v>2.0699999332428001</v>
      </c>
      <c r="S2717" s="8">
        <v>-6.7567609655093105E-2</v>
      </c>
      <c r="T2717" s="9">
        <v>-6.9958633744257606E-2</v>
      </c>
      <c r="U2717" s="12">
        <v>4.0168000000000002E-2</v>
      </c>
      <c r="V2717" s="16">
        <v>5.4305000000000003</v>
      </c>
      <c r="W2717" s="17">
        <f t="shared" si="42"/>
        <v>-3.9617761963278708E-3</v>
      </c>
    </row>
    <row r="2718" spans="1:23" x14ac:dyDescent="0.2">
      <c r="A2718" s="14">
        <v>45527</v>
      </c>
      <c r="B2718" s="3">
        <v>546337406384939</v>
      </c>
      <c r="C2718" s="3">
        <f>[1]!nefin_factors__1[[#This Row],[Rm_minus_Rf]]/B2717-1</f>
        <v>-1.5974170001761077</v>
      </c>
      <c r="D2718" s="3">
        <v>130761054839634</v>
      </c>
      <c r="E2718" s="3">
        <f>[1]!nefin_factors__1[[#This Row],[SMB]]/D2717-1</f>
        <v>-1.7742679910101602</v>
      </c>
      <c r="F2718" s="3">
        <v>-620072261578677</v>
      </c>
      <c r="G2718" s="3">
        <f>[1]!nefin_factors__1[[#This Row],[HML]]/F2717-1</f>
        <v>-2.3145719469408848</v>
      </c>
      <c r="H2718" s="3">
        <v>395212222193075</v>
      </c>
      <c r="I2718" s="4">
        <f>[1]!nefin_factors__1[[#This Row],[Risk_Free]]/H2717-1</f>
        <v>0</v>
      </c>
      <c r="J2718">
        <v>129647</v>
      </c>
      <c r="K2718">
        <v>129647</v>
      </c>
      <c r="L2718">
        <v>126973</v>
      </c>
      <c r="M2718">
        <v>127830</v>
      </c>
      <c r="N2718">
        <v>13183200</v>
      </c>
      <c r="O2718">
        <v>127830</v>
      </c>
      <c r="P2718">
        <v>-1.42810875834735E-2</v>
      </c>
      <c r="Q2718">
        <v>-1.43840437072188E-2</v>
      </c>
      <c r="R2718" s="8">
        <v>2.03999996185303</v>
      </c>
      <c r="S2718" s="8">
        <v>-1.44927402692103E-2</v>
      </c>
      <c r="T2718" s="9">
        <v>-1.45987858707927E-2</v>
      </c>
      <c r="U2718" s="12">
        <v>4.0168000000000002E-2</v>
      </c>
      <c r="V2718" s="16">
        <v>5.4850000000000003</v>
      </c>
      <c r="W2718" s="17">
        <f t="shared" si="42"/>
        <v>1.0035908295737084E-2</v>
      </c>
    </row>
    <row r="2719" spans="1:23" x14ac:dyDescent="0.2">
      <c r="A2719" s="15">
        <v>45530</v>
      </c>
      <c r="B2719" s="5">
        <v>784613596366414</v>
      </c>
      <c r="C2719" s="5">
        <f>[1]!nefin_factors__1[[#This Row],[Rm_minus_Rf]]/B2718-1</f>
        <v>0.4361337649532826</v>
      </c>
      <c r="D2719" s="5">
        <v>-117567562374476</v>
      </c>
      <c r="E2719" s="5">
        <f>[1]!nefin_factors__1[[#This Row],[SMB]]/D2718-1</f>
        <v>-1.8991022787225251</v>
      </c>
      <c r="F2719" s="5">
        <v>696597036865411</v>
      </c>
      <c r="G2719" s="5">
        <f>[1]!nefin_factors__1[[#This Row],[HML]]/F2718-1</f>
        <v>-2.1234126730518557</v>
      </c>
      <c r="H2719" s="5">
        <v>395212222193075</v>
      </c>
      <c r="I2719" s="6">
        <f>[1]!nefin_factors__1[[#This Row],[Risk_Free]]/H2718-1</f>
        <v>0</v>
      </c>
      <c r="J2719">
        <v>127829</v>
      </c>
      <c r="K2719">
        <v>128095</v>
      </c>
      <c r="L2719">
        <v>127306</v>
      </c>
      <c r="M2719">
        <v>127874</v>
      </c>
      <c r="N2719">
        <v>8395300</v>
      </c>
      <c r="O2719">
        <v>127874</v>
      </c>
      <c r="P2719">
        <v>3.4420715012117902E-4</v>
      </c>
      <c r="Q2719">
        <v>3.4414792443029598E-4</v>
      </c>
      <c r="R2719" s="8">
        <v>2.0799999237060498</v>
      </c>
      <c r="S2719" s="8">
        <v>1.9607824804414899E-2</v>
      </c>
      <c r="T2719" s="9">
        <v>1.94180678768161E-2</v>
      </c>
      <c r="U2719" s="12">
        <v>4.0168000000000002E-2</v>
      </c>
      <c r="V2719" s="16">
        <v>5.4686000000000003</v>
      </c>
      <c r="W2719" s="17">
        <f t="shared" si="42"/>
        <v>-2.9899726526891879E-3</v>
      </c>
    </row>
    <row r="2720" spans="1:23" x14ac:dyDescent="0.2">
      <c r="A2720" s="14">
        <v>45531</v>
      </c>
      <c r="B2720" s="3">
        <v>-2740720229723</v>
      </c>
      <c r="C2720" s="3">
        <f>[1]!nefin_factors__1[[#This Row],[Rm_minus_Rf]]/B2719-1</f>
        <v>-1.0034930827638158</v>
      </c>
      <c r="D2720" s="3">
        <v>144738989290222</v>
      </c>
      <c r="E2720" s="3">
        <f>[1]!nefin_factors__1[[#This Row],[SMB]]/D2719-1</f>
        <v>-2.2311132966183278</v>
      </c>
      <c r="F2720" s="3">
        <v>512266357676849</v>
      </c>
      <c r="G2720" s="3">
        <f>[1]!nefin_factors__1[[#This Row],[HML]]/F2719-1</f>
        <v>-0.26461593924950388</v>
      </c>
      <c r="H2720" s="3">
        <v>395930872393535</v>
      </c>
      <c r="I2720" s="4">
        <f>[1]!nefin_factors__1[[#This Row],[Risk_Free]]/H2719-1</f>
        <v>1.8183906268691707E-3</v>
      </c>
      <c r="J2720">
        <v>127873</v>
      </c>
      <c r="K2720">
        <v>128210</v>
      </c>
      <c r="L2720">
        <v>127411</v>
      </c>
      <c r="M2720">
        <v>127698</v>
      </c>
      <c r="N2720">
        <v>9522100</v>
      </c>
      <c r="O2720">
        <v>127698</v>
      </c>
      <c r="P2720">
        <v>-1.37635484930476E-3</v>
      </c>
      <c r="Q2720">
        <v>-1.37730289563899E-3</v>
      </c>
      <c r="R2720" s="8">
        <v>2.1199998855590798</v>
      </c>
      <c r="S2720" s="8">
        <v>1.92307515962582E-2</v>
      </c>
      <c r="T2720" s="9">
        <v>1.9048177668909899E-2</v>
      </c>
      <c r="U2720" s="12">
        <v>4.0168000000000002E-2</v>
      </c>
      <c r="V2720" s="16">
        <v>5.4626000000000001</v>
      </c>
      <c r="W2720" s="17">
        <f t="shared" si="42"/>
        <v>-1.0971729510295125E-3</v>
      </c>
    </row>
    <row r="2721" spans="1:23" x14ac:dyDescent="0.2">
      <c r="A2721" s="15">
        <v>45532</v>
      </c>
      <c r="B2721" s="5">
        <v>285975544725343</v>
      </c>
      <c r="C2721" s="5">
        <f>[1]!nefin_factors__1[[#This Row],[Rm_minus_Rf]]/B2720-1</f>
        <v>-105.34320935933182</v>
      </c>
      <c r="D2721" s="5">
        <v>-204144955834884</v>
      </c>
      <c r="E2721" s="5">
        <f>[1]!nefin_factors__1[[#This Row],[SMB]]/D2720-1</f>
        <v>-2.4104351345548274</v>
      </c>
      <c r="F2721" s="5">
        <v>560706508083776</v>
      </c>
      <c r="G2721" s="5">
        <f>[1]!nefin_factors__1[[#This Row],[HML]]/F2720-1</f>
        <v>9.4560475582673886E-2</v>
      </c>
      <c r="H2721" s="5">
        <v>396649393037629</v>
      </c>
      <c r="I2721" s="6">
        <f>[1]!nefin_factors__1[[#This Row],[Risk_Free]]/H2720-1</f>
        <v>1.8147628644118452E-3</v>
      </c>
      <c r="J2721">
        <v>127698</v>
      </c>
      <c r="K2721">
        <v>128100</v>
      </c>
      <c r="L2721">
        <v>126869</v>
      </c>
      <c r="M2721">
        <v>127734</v>
      </c>
      <c r="N2721">
        <v>12692800</v>
      </c>
      <c r="O2721">
        <v>127734</v>
      </c>
      <c r="P2721">
        <v>2.8191514354181102E-4</v>
      </c>
      <c r="Q2721">
        <v>2.8187541293466298E-4</v>
      </c>
      <c r="R2721" s="8">
        <v>2.1700000762939502</v>
      </c>
      <c r="S2721" s="8">
        <v>2.3584996902807499E-2</v>
      </c>
      <c r="T2721" s="9">
        <v>2.33111680085131E-2</v>
      </c>
      <c r="U2721" s="12">
        <v>4.0168000000000002E-2</v>
      </c>
      <c r="V2721" s="16">
        <v>5.5197000000000003</v>
      </c>
      <c r="W2721" s="17">
        <f t="shared" si="42"/>
        <v>1.0452897887452961E-2</v>
      </c>
    </row>
    <row r="2722" spans="1:23" x14ac:dyDescent="0.2">
      <c r="A2722" s="14">
        <v>45533</v>
      </c>
      <c r="B2722" s="3">
        <v>-927683959044337</v>
      </c>
      <c r="C2722" s="3">
        <f>[1]!nefin_factors__1[[#This Row],[Rm_minus_Rf]]/B2721-1</f>
        <v>-4.2439275880575886</v>
      </c>
      <c r="D2722" s="3">
        <v>-83282965132323</v>
      </c>
      <c r="E2722" s="3">
        <f>[1]!nefin_factors__1[[#This Row],[SMB]]/D2721-1</f>
        <v>-0.59204005412857852</v>
      </c>
      <c r="F2722" s="3">
        <v>350937057103297</v>
      </c>
      <c r="G2722" s="3">
        <f>[1]!nefin_factors__1[[#This Row],[HML]]/F2721-1</f>
        <v>-0.37411631211017982</v>
      </c>
      <c r="H2722" s="3">
        <v>397367784172209</v>
      </c>
      <c r="I2722" s="4">
        <f>[1]!nefin_factors__1[[#This Row],[Risk_Free]]/H2721-1</f>
        <v>1.8111489572147921E-3</v>
      </c>
      <c r="J2722">
        <v>127734</v>
      </c>
      <c r="K2722">
        <v>128423</v>
      </c>
      <c r="L2722">
        <v>127389</v>
      </c>
      <c r="M2722">
        <v>127792</v>
      </c>
      <c r="N2722">
        <v>13138300</v>
      </c>
      <c r="O2722">
        <v>127792</v>
      </c>
      <c r="P2722">
        <v>4.5406861133301401E-4</v>
      </c>
      <c r="Q2722">
        <v>4.53965553376857E-4</v>
      </c>
      <c r="R2722" s="8">
        <v>2.2999999523162802</v>
      </c>
      <c r="S2722" s="8">
        <v>5.9907774862552297E-2</v>
      </c>
      <c r="T2722" s="9">
        <v>5.8181899492185801E-2</v>
      </c>
      <c r="U2722" s="12">
        <v>4.0168000000000002E-2</v>
      </c>
      <c r="V2722" s="16">
        <v>5.5736999999999997</v>
      </c>
      <c r="W2722" s="17">
        <f t="shared" si="42"/>
        <v>9.7831403880643819E-3</v>
      </c>
    </row>
    <row r="2723" spans="1:23" x14ac:dyDescent="0.2">
      <c r="A2723" s="15">
        <v>45534</v>
      </c>
      <c r="B2723" s="5">
        <v>566603164645153</v>
      </c>
      <c r="C2723" s="5">
        <f>[1]!nefin_factors__1[[#This Row],[Rm_minus_Rf]]/B2722-1</f>
        <v>-1.6107717602758216</v>
      </c>
      <c r="D2723" s="5">
        <v>628967958884614</v>
      </c>
      <c r="E2723" s="5">
        <f>[1]!nefin_factors__1[[#This Row],[SMB]]/D2722-1</f>
        <v>-8.5521801833698738</v>
      </c>
      <c r="F2723" s="5">
        <v>-89886580801005</v>
      </c>
      <c r="G2723" s="5">
        <f>[1]!nefin_factors__1[[#This Row],[HML]]/F2722-1</f>
        <v>-1.2561330557192973</v>
      </c>
      <c r="H2723" s="5">
        <v>397367784172209</v>
      </c>
      <c r="I2723" s="6">
        <f>[1]!nefin_factors__1[[#This Row],[Risk_Free]]/H2722-1</f>
        <v>0</v>
      </c>
      <c r="J2723">
        <v>127791</v>
      </c>
      <c r="K2723">
        <v>128277</v>
      </c>
      <c r="L2723">
        <v>127226</v>
      </c>
      <c r="M2723">
        <v>127768</v>
      </c>
      <c r="N2723">
        <v>10742000</v>
      </c>
      <c r="O2723">
        <v>127768</v>
      </c>
      <c r="P2723">
        <v>-1.87805183423095E-4</v>
      </c>
      <c r="Q2723">
        <v>-1.87822821024879E-4</v>
      </c>
      <c r="R2723" s="8">
        <v>2.3099999427795401</v>
      </c>
      <c r="S2723" s="8">
        <v>4.3478220306856202E-3</v>
      </c>
      <c r="T2723" s="9">
        <v>4.3383975598868703E-3</v>
      </c>
      <c r="U2723" s="12">
        <v>4.0168000000000002E-2</v>
      </c>
      <c r="V2723" s="16">
        <v>5.5819000000000001</v>
      </c>
      <c r="W2723" s="17">
        <f t="shared" si="42"/>
        <v>1.4711950768790949E-3</v>
      </c>
    </row>
    <row r="2724" spans="1:23" x14ac:dyDescent="0.2">
      <c r="A2724" s="14">
        <v>45537</v>
      </c>
      <c r="B2724" s="3">
        <v>-821822710555557</v>
      </c>
      <c r="C2724" s="3">
        <f>[1]!nefin_factors__1[[#This Row],[Rm_minus_Rf]]/B2723-1</f>
        <v>-2.4504379111088102</v>
      </c>
      <c r="D2724" s="3">
        <v>255572847965515</v>
      </c>
      <c r="E2724" s="3">
        <f>[1]!nefin_factors__1[[#This Row],[SMB]]/D2723-1</f>
        <v>-0.59366316780470441</v>
      </c>
      <c r="F2724" s="3">
        <v>91046920599783</v>
      </c>
      <c r="G2724" s="3">
        <f>[1]!nefin_factors__1[[#This Row],[HML]]/F2723-1</f>
        <v>-2.012908932439502</v>
      </c>
      <c r="H2724" s="3">
        <v>398086045844126</v>
      </c>
      <c r="I2724" s="4">
        <f>[1]!nefin_factors__1[[#This Row],[Risk_Free]]/H2723-1</f>
        <v>1.8075488263682438E-3</v>
      </c>
      <c r="J2724">
        <v>127768</v>
      </c>
      <c r="K2724">
        <v>128579</v>
      </c>
      <c r="L2724">
        <v>127235</v>
      </c>
      <c r="M2724">
        <v>128197</v>
      </c>
      <c r="N2724">
        <v>9103600</v>
      </c>
      <c r="O2724">
        <v>128197</v>
      </c>
      <c r="P2724">
        <v>3.35764823743023E-3</v>
      </c>
      <c r="Q2724">
        <v>3.3520239227176601E-3</v>
      </c>
      <c r="R2724" s="8">
        <v>2.3699998855590798</v>
      </c>
      <c r="S2724" s="8">
        <v>2.5974001846660301E-2</v>
      </c>
      <c r="T2724" s="9">
        <v>2.5642407096791098E-2</v>
      </c>
      <c r="U2724" s="12">
        <v>4.0168000000000002E-2</v>
      </c>
      <c r="V2724" s="16">
        <v>5.6262999999999996</v>
      </c>
      <c r="W2724" s="17">
        <f t="shared" si="42"/>
        <v>7.9542808004442467E-3</v>
      </c>
    </row>
    <row r="2725" spans="1:23" x14ac:dyDescent="0.2">
      <c r="A2725" s="15">
        <v>45538</v>
      </c>
      <c r="B2725" s="5">
        <v>-201141412815287</v>
      </c>
      <c r="C2725" s="5">
        <f>[1]!nefin_factors__1[[#This Row],[Rm_minus_Rf]]/B2724-1</f>
        <v>-0.75524962959551922</v>
      </c>
      <c r="D2725" s="5">
        <v>-10432790402016</v>
      </c>
      <c r="E2725" s="5">
        <f>[1]!nefin_factors__1[[#This Row],[SMB]]/D2724-1</f>
        <v>-1.0408212002372947</v>
      </c>
      <c r="F2725" s="5">
        <v>-380909499785588</v>
      </c>
      <c r="G2725" s="5">
        <f>[1]!nefin_factors__1[[#This Row],[HML]]/F2724-1</f>
        <v>-5.1836615371096455</v>
      </c>
      <c r="H2725" s="5">
        <v>398086045844126</v>
      </c>
      <c r="I2725" s="6">
        <f>[1]!nefin_factors__1[[#This Row],[Risk_Free]]/H2724-1</f>
        <v>0</v>
      </c>
      <c r="J2725">
        <v>128197</v>
      </c>
      <c r="K2725">
        <v>128197</v>
      </c>
      <c r="L2725">
        <v>126594</v>
      </c>
      <c r="M2725">
        <v>126922</v>
      </c>
      <c r="N2725">
        <v>10271900</v>
      </c>
      <c r="O2725">
        <v>126922</v>
      </c>
      <c r="P2725">
        <v>-9.9456305529770396E-3</v>
      </c>
      <c r="Q2725">
        <v>-9.9954187281178497E-3</v>
      </c>
      <c r="R2725" s="8">
        <v>2.4000000953674299</v>
      </c>
      <c r="S2725" s="8">
        <v>1.2658316986067E-2</v>
      </c>
      <c r="T2725" s="9">
        <v>1.2578870230597399E-2</v>
      </c>
      <c r="U2725" s="12">
        <v>4.0168000000000002E-2</v>
      </c>
      <c r="V2725" s="16">
        <v>5.6044999999999998</v>
      </c>
      <c r="W2725" s="17">
        <f t="shared" si="42"/>
        <v>-3.874660078559633E-3</v>
      </c>
    </row>
    <row r="2726" spans="1:23" x14ac:dyDescent="0.2">
      <c r="A2726" s="14">
        <v>45539</v>
      </c>
      <c r="B2726" s="3">
        <v>12930478629609</v>
      </c>
      <c r="C2726" s="3">
        <f>[1]!nefin_factors__1[[#This Row],[Rm_minus_Rf]]/B2725-1</f>
        <v>-1.064285511614077</v>
      </c>
      <c r="D2726" s="3">
        <v>364741316431215</v>
      </c>
      <c r="E2726" s="3">
        <f>[1]!nefin_factors__1[[#This Row],[SMB]]/D2725-1</f>
        <v>-35.961050915077671</v>
      </c>
      <c r="F2726" s="3">
        <v>562579029097099</v>
      </c>
      <c r="G2726" s="3">
        <f>[1]!nefin_factors__1[[#This Row],[HML]]/F2725-1</f>
        <v>-2.4769361998421457</v>
      </c>
      <c r="H2726" s="3">
        <v>398086045844126</v>
      </c>
      <c r="I2726" s="4">
        <f>[1]!nefin_factors__1[[#This Row],[Risk_Free]]/H2725-1</f>
        <v>0</v>
      </c>
      <c r="J2726">
        <v>126944</v>
      </c>
      <c r="K2726">
        <v>129126</v>
      </c>
      <c r="L2726">
        <v>126944</v>
      </c>
      <c r="M2726">
        <v>129126</v>
      </c>
      <c r="N2726">
        <v>9186200</v>
      </c>
      <c r="O2726">
        <v>129126</v>
      </c>
      <c r="P2726">
        <v>1.7364995824206999E-2</v>
      </c>
      <c r="Q2726">
        <v>1.7215947294894798E-2</v>
      </c>
      <c r="R2726" s="8">
        <v>2.5299999713897701</v>
      </c>
      <c r="S2726" s="8">
        <v>5.4166612856920003E-2</v>
      </c>
      <c r="T2726" s="9">
        <v>5.2750514340708703E-2</v>
      </c>
      <c r="U2726" s="12">
        <v>4.0168000000000002E-2</v>
      </c>
      <c r="V2726" s="16">
        <v>5.6378000000000004</v>
      </c>
      <c r="W2726" s="17">
        <f t="shared" si="42"/>
        <v>5.9416540280132768E-3</v>
      </c>
    </row>
    <row r="2727" spans="1:23" x14ac:dyDescent="0.2">
      <c r="A2727" s="15">
        <v>45540</v>
      </c>
      <c r="B2727" s="5">
        <v>219904088135331</v>
      </c>
      <c r="C2727" s="5">
        <f>[1]!nefin_factors__1[[#This Row],[Rm_minus_Rf]]/B2726-1</f>
        <v>16.006647196475868</v>
      </c>
      <c r="D2727" s="5">
        <v>-723063259863073</v>
      </c>
      <c r="E2727" s="5">
        <f>[1]!nefin_factors__1[[#This Row],[SMB]]/D2726-1</f>
        <v>-2.9824002033491386</v>
      </c>
      <c r="F2727" s="5">
        <v>756697293619082</v>
      </c>
      <c r="G2727" s="5">
        <f>[1]!nefin_factors__1[[#This Row],[HML]]/F2726-1</f>
        <v>0.34505065863107198</v>
      </c>
      <c r="H2727" s="5">
        <v>397726931188114</v>
      </c>
      <c r="I2727" s="6">
        <f>[1]!nefin_factors__1[[#This Row],[Risk_Free]]/H2726-1</f>
        <v>-9.0210309997307281E-4</v>
      </c>
      <c r="J2727">
        <v>129125</v>
      </c>
      <c r="K2727">
        <v>129495</v>
      </c>
      <c r="L2727">
        <v>128932</v>
      </c>
      <c r="M2727">
        <v>129036</v>
      </c>
      <c r="N2727">
        <v>14411200</v>
      </c>
      <c r="O2727">
        <v>129036</v>
      </c>
      <c r="P2727">
        <v>-6.9699363412478699E-4</v>
      </c>
      <c r="Q2727">
        <v>-6.9723664711335797E-4</v>
      </c>
      <c r="R2727" s="8">
        <v>2.75</v>
      </c>
      <c r="S2727" s="8">
        <v>8.6956534030859997E-2</v>
      </c>
      <c r="T2727" s="9">
        <v>8.3381620247442195E-2</v>
      </c>
      <c r="U2727" s="12">
        <v>4.0168000000000002E-2</v>
      </c>
      <c r="V2727" s="16">
        <v>5.6749000000000001</v>
      </c>
      <c r="W2727" s="17">
        <f t="shared" si="42"/>
        <v>6.5805810777253004E-3</v>
      </c>
    </row>
    <row r="2728" spans="1:23" x14ac:dyDescent="0.2">
      <c r="A2728" s="14">
        <v>45541</v>
      </c>
      <c r="B2728" s="3">
        <v>-132361714517378</v>
      </c>
      <c r="C2728" s="3">
        <f>[1]!nefin_factors__1[[#This Row],[Rm_minus_Rf]]/B2727-1</f>
        <v>-1.6019065659021372</v>
      </c>
      <c r="D2728" s="3">
        <v>-627004254719913</v>
      </c>
      <c r="E2728" s="3">
        <f>[1]!nefin_factors__1[[#This Row],[SMB]]/D2727-1</f>
        <v>-0.1328500706305431</v>
      </c>
      <c r="F2728" s="3">
        <v>-525196105102756</v>
      </c>
      <c r="G2728" s="3">
        <f>[1]!nefin_factors__1[[#This Row],[HML]]/F2727-1</f>
        <v>-1.6940636758338101</v>
      </c>
      <c r="H2728" s="3">
        <v>398086045844126</v>
      </c>
      <c r="I2728" s="4">
        <f>[1]!nefin_factors__1[[#This Row],[Risk_Free]]/H2727-1</f>
        <v>9.0291762476146786E-4</v>
      </c>
      <c r="J2728">
        <v>129043</v>
      </c>
      <c r="K2728">
        <v>130361</v>
      </c>
      <c r="L2728">
        <v>129042</v>
      </c>
      <c r="M2728">
        <v>129922</v>
      </c>
      <c r="N2728">
        <v>9745200</v>
      </c>
      <c r="O2728">
        <v>129922</v>
      </c>
      <c r="P2728">
        <v>6.8663008772744697E-3</v>
      </c>
      <c r="Q2728">
        <v>6.8428351871603604E-3</v>
      </c>
      <c r="R2728" s="8">
        <v>2.8399999141693102</v>
      </c>
      <c r="S2728" s="8">
        <v>3.2727241516113302E-2</v>
      </c>
      <c r="T2728" s="9">
        <v>3.2203110272560898E-2</v>
      </c>
      <c r="U2728" s="12">
        <v>4.0168000000000002E-2</v>
      </c>
      <c r="V2728" s="16">
        <v>5.6757999999999997</v>
      </c>
      <c r="W2728" s="17">
        <f t="shared" si="42"/>
        <v>1.5859310296217899E-4</v>
      </c>
    </row>
    <row r="2729" spans="1:23" x14ac:dyDescent="0.2">
      <c r="A2729" s="15">
        <v>45544</v>
      </c>
      <c r="B2729" s="5">
        <v>-262248805343769</v>
      </c>
      <c r="C2729" s="5">
        <f>[1]!nefin_factors__1[[#This Row],[Rm_minus_Rf]]/B2728-1</f>
        <v>0.98130408252862189</v>
      </c>
      <c r="D2729" s="5">
        <v>-517636315987913</v>
      </c>
      <c r="E2729" s="5">
        <f>[1]!nefin_factors__1[[#This Row],[SMB]]/D2728-1</f>
        <v>-0.17442934064435556</v>
      </c>
      <c r="F2729" s="5">
        <v>-9729739038.5217705</v>
      </c>
      <c r="G2729" s="5">
        <f>[1]!nefin_factors__1[[#This Row],[HML]]/F2728-1</f>
        <v>-0.99998147408378701</v>
      </c>
      <c r="H2729" s="5">
        <v>399163195711649</v>
      </c>
      <c r="I2729" s="6">
        <f>[1]!nefin_factors__1[[#This Row],[Risk_Free]]/H2728-1</f>
        <v>2.7058217156015196E-3</v>
      </c>
      <c r="J2729">
        <v>129923</v>
      </c>
      <c r="K2729">
        <v>130283</v>
      </c>
      <c r="L2729">
        <v>127669</v>
      </c>
      <c r="M2729">
        <v>127669</v>
      </c>
      <c r="N2729">
        <v>12318800</v>
      </c>
      <c r="O2729">
        <v>127669</v>
      </c>
      <c r="P2729">
        <v>-1.7341173935130301E-2</v>
      </c>
      <c r="Q2729">
        <v>-1.7493293275629599E-2</v>
      </c>
      <c r="R2729" s="8">
        <v>2.6900000572204599</v>
      </c>
      <c r="S2729" s="8">
        <v>-5.2816852634563101E-2</v>
      </c>
      <c r="T2729" s="9">
        <v>-5.4262807065747203E-2</v>
      </c>
      <c r="U2729" s="12">
        <v>4.0168000000000002E-2</v>
      </c>
      <c r="V2729" s="16">
        <v>5.6672000000000002</v>
      </c>
      <c r="W2729" s="17">
        <f t="shared" si="42"/>
        <v>-1.5152049050353167E-3</v>
      </c>
    </row>
    <row r="2730" spans="1:23" x14ac:dyDescent="0.2">
      <c r="A2730" s="14">
        <v>45545</v>
      </c>
      <c r="B2730" s="3">
        <v>-197897197598949</v>
      </c>
      <c r="C2730" s="3">
        <f>[1]!nefin_factors__1[[#This Row],[Rm_minus_Rf]]/B2729-1</f>
        <v>-0.24538379749896155</v>
      </c>
      <c r="D2730" s="3">
        <v>-360523547644411</v>
      </c>
      <c r="E2730" s="3">
        <f>[1]!nefin_factors__1[[#This Row],[SMB]]/D2729-1</f>
        <v>-0.3035196014863274</v>
      </c>
      <c r="F2730" s="3">
        <v>-798025445204642</v>
      </c>
      <c r="G2730" s="3">
        <f>[1]!nefin_factors__1[[#This Row],[HML]]/F2729-1</f>
        <v>82018.20339745158</v>
      </c>
      <c r="H2730" s="3">
        <v>399163195711649</v>
      </c>
      <c r="I2730" s="4">
        <f>[1]!nefin_factors__1[[#This Row],[Risk_Free]]/H2729-1</f>
        <v>0</v>
      </c>
      <c r="J2730">
        <v>127667</v>
      </c>
      <c r="K2730">
        <v>127668</v>
      </c>
      <c r="L2730">
        <v>124390</v>
      </c>
      <c r="M2730">
        <v>124610</v>
      </c>
      <c r="N2730">
        <v>12833100</v>
      </c>
      <c r="O2730">
        <v>124610</v>
      </c>
      <c r="P2730">
        <v>-2.3960397590644601E-2</v>
      </c>
      <c r="Q2730">
        <v>-2.4252117153144299E-2</v>
      </c>
      <c r="R2730" s="8">
        <v>2.3299999237060498</v>
      </c>
      <c r="S2730" s="8">
        <v>-0.13382904306938501</v>
      </c>
      <c r="T2730" s="9">
        <v>-0.14367298005186799</v>
      </c>
      <c r="U2730" s="12">
        <v>4.0168000000000002E-2</v>
      </c>
      <c r="V2730" s="16">
        <v>5.7068000000000003</v>
      </c>
      <c r="W2730" s="17">
        <f t="shared" si="42"/>
        <v>6.9875776397516631E-3</v>
      </c>
    </row>
    <row r="2731" spans="1:23" x14ac:dyDescent="0.2">
      <c r="A2731" s="15">
        <v>45546</v>
      </c>
      <c r="B2731" s="5">
        <v>101536989233233</v>
      </c>
      <c r="C2731" s="5">
        <f>[1]!nefin_factors__1[[#This Row],[Rm_minus_Rf]]/B2730-1</f>
        <v>-1.5130794698720496</v>
      </c>
      <c r="D2731" s="5">
        <v>598480494572518</v>
      </c>
      <c r="E2731" s="5">
        <f>[1]!nefin_factors__1[[#This Row],[SMB]]/D2730-1</f>
        <v>-2.6600316358886134</v>
      </c>
      <c r="F2731" s="5">
        <v>-212940839914802</v>
      </c>
      <c r="G2731" s="5">
        <f>[1]!nefin_factors__1[[#This Row],[HML]]/F2730-1</f>
        <v>-0.73316535056072496</v>
      </c>
      <c r="H2731" s="5">
        <v>399881133930968</v>
      </c>
      <c r="I2731" s="6">
        <f>[1]!nefin_factors__1[[#This Row],[Risk_Free]]/H2730-1</f>
        <v>1.7986082560517147E-3</v>
      </c>
      <c r="J2731">
        <v>124611</v>
      </c>
      <c r="K2731">
        <v>126056</v>
      </c>
      <c r="L2731">
        <v>123946</v>
      </c>
      <c r="M2731">
        <v>125668</v>
      </c>
      <c r="N2731">
        <v>16398000</v>
      </c>
      <c r="O2731">
        <v>125668</v>
      </c>
      <c r="P2731">
        <v>8.4904903298290701E-3</v>
      </c>
      <c r="Q2731">
        <v>8.4546488484139697E-3</v>
      </c>
      <c r="R2731" s="8">
        <v>2.4000000953674299</v>
      </c>
      <c r="S2731" s="8">
        <v>3.0042993113079699E-2</v>
      </c>
      <c r="T2731" s="9">
        <v>2.9600542256902999E-2</v>
      </c>
      <c r="U2731" s="12">
        <v>4.0168000000000002E-2</v>
      </c>
      <c r="V2731" s="16">
        <v>5.6958000000000002</v>
      </c>
      <c r="W2731" s="17">
        <f t="shared" si="42"/>
        <v>-1.9275250578257852E-3</v>
      </c>
    </row>
    <row r="2732" spans="1:23" x14ac:dyDescent="0.2">
      <c r="A2732" s="14">
        <v>45547</v>
      </c>
      <c r="B2732" s="3">
        <v>-559302472784818</v>
      </c>
      <c r="C2732" s="3">
        <f>[1]!nefin_factors__1[[#This Row],[Rm_minus_Rf]]/B2731-1</f>
        <v>-6.5083618000538328</v>
      </c>
      <c r="D2732" s="3">
        <v>-232866081130324</v>
      </c>
      <c r="E2732" s="3">
        <f>[1]!nefin_factors__1[[#This Row],[SMB]]/D2731-1</f>
        <v>-1.3890955231492637</v>
      </c>
      <c r="F2732" s="3">
        <v>571834758449306</v>
      </c>
      <c r="G2732" s="3">
        <f>[1]!nefin_factors__1[[#This Row],[HML]]/F2731-1</f>
        <v>-3.6854160933999229</v>
      </c>
      <c r="H2732" s="3">
        <v>400240054550638</v>
      </c>
      <c r="I2732" s="4">
        <f>[1]!nefin_factors__1[[#This Row],[Risk_Free]]/H2731-1</f>
        <v>8.9756827520637295E-4</v>
      </c>
      <c r="J2732">
        <v>125668</v>
      </c>
      <c r="K2732">
        <v>125901</v>
      </c>
      <c r="L2732">
        <v>124734</v>
      </c>
      <c r="M2732">
        <v>125236</v>
      </c>
      <c r="N2732">
        <v>11517200</v>
      </c>
      <c r="O2732">
        <v>125236</v>
      </c>
      <c r="P2732">
        <v>-3.4376293089728401E-3</v>
      </c>
      <c r="Q2732">
        <v>-3.4435515327743901E-3</v>
      </c>
      <c r="R2732" s="8">
        <v>2.4200000762939502</v>
      </c>
      <c r="S2732" s="8">
        <v>8.3333250549106896E-3</v>
      </c>
      <c r="T2732" s="9">
        <v>8.2987946046891303E-3</v>
      </c>
      <c r="U2732" s="12">
        <v>4.0168000000000002E-2</v>
      </c>
      <c r="V2732" s="16">
        <v>5.7149000000000001</v>
      </c>
      <c r="W2732" s="17">
        <f t="shared" si="42"/>
        <v>3.3533480810421512E-3</v>
      </c>
    </row>
    <row r="2733" spans="1:23" x14ac:dyDescent="0.2">
      <c r="A2733" s="15">
        <v>45548</v>
      </c>
      <c r="B2733" s="5">
        <v>567274021056581</v>
      </c>
      <c r="C2733" s="5">
        <f>[1]!nefin_factors__1[[#This Row],[Rm_minus_Rf]]/B2732-1</f>
        <v>-2.014252660518506</v>
      </c>
      <c r="D2733" s="5">
        <v>19747168993779</v>
      </c>
      <c r="E2733" s="5">
        <f>[1]!nefin_factors__1[[#This Row],[SMB]]/D2732-1</f>
        <v>-1.0848005381373145</v>
      </c>
      <c r="F2733" s="5">
        <v>209687891693317</v>
      </c>
      <c r="G2733" s="5">
        <f>[1]!nefin_factors__1[[#This Row],[HML]]/F2732-1</f>
        <v>-0.63330684503693713</v>
      </c>
      <c r="H2733" s="5">
        <v>400957798838641</v>
      </c>
      <c r="I2733" s="6">
        <f>[1]!nefin_factors__1[[#This Row],[Risk_Free]]/H2732-1</f>
        <v>1.7932845047425872E-3</v>
      </c>
      <c r="J2733">
        <v>125235</v>
      </c>
      <c r="K2733">
        <v>126417</v>
      </c>
      <c r="L2733">
        <v>125233</v>
      </c>
      <c r="M2733">
        <v>126139</v>
      </c>
      <c r="N2733">
        <v>9990000</v>
      </c>
      <c r="O2733">
        <v>126139</v>
      </c>
      <c r="P2733">
        <v>7.2103867897410599E-3</v>
      </c>
      <c r="Q2733">
        <v>7.18451623428346E-3</v>
      </c>
      <c r="R2733" s="8">
        <v>2.5099999904632599</v>
      </c>
      <c r="S2733" s="8">
        <v>3.7190046004932399E-2</v>
      </c>
      <c r="T2733" s="9">
        <v>3.6515177649175098E-2</v>
      </c>
      <c r="U2733" s="12">
        <v>4.0168000000000002E-2</v>
      </c>
      <c r="V2733" s="16">
        <v>5.7087000000000003</v>
      </c>
      <c r="W2733" s="17">
        <f t="shared" si="42"/>
        <v>-1.0848833750370934E-3</v>
      </c>
    </row>
    <row r="2734" spans="1:23" x14ac:dyDescent="0.2">
      <c r="A2734" s="14">
        <v>45551</v>
      </c>
      <c r="B2734" s="3">
        <v>207885112443066</v>
      </c>
      <c r="C2734" s="3">
        <f>[1]!nefin_factors__1[[#This Row],[Rm_minus_Rf]]/B2733-1</f>
        <v>-0.63353669527141787</v>
      </c>
      <c r="D2734" s="3">
        <v>554774845579561</v>
      </c>
      <c r="E2734" s="3">
        <f>[1]!nefin_factors__1[[#This Row],[SMB]]/D2733-1</f>
        <v>27.09389263617145</v>
      </c>
      <c r="F2734" s="3">
        <v>437277694013934</v>
      </c>
      <c r="G2734" s="3">
        <f>[1]!nefin_factors__1[[#This Row],[HML]]/F2733-1</f>
        <v>1.0853740789834578</v>
      </c>
      <c r="H2734" s="3">
        <v>401675413897573</v>
      </c>
      <c r="I2734" s="4">
        <f>[1]!nefin_factors__1[[#This Row],[Risk_Free]]/H2733-1</f>
        <v>1.7897520911440701E-3</v>
      </c>
      <c r="J2734">
        <v>126139</v>
      </c>
      <c r="K2734">
        <v>126720</v>
      </c>
      <c r="L2734">
        <v>125828</v>
      </c>
      <c r="M2734">
        <v>126087</v>
      </c>
      <c r="N2734">
        <v>9388600</v>
      </c>
      <c r="O2734">
        <v>126087</v>
      </c>
      <c r="P2734">
        <v>-4.1224363598890701E-4</v>
      </c>
      <c r="Q2734">
        <v>-4.1232863175672598E-4</v>
      </c>
      <c r="R2734" s="8">
        <v>2.5599999427795401</v>
      </c>
      <c r="S2734" s="8">
        <v>1.9920299803290398E-2</v>
      </c>
      <c r="T2734" s="9">
        <v>1.97244867955358E-2</v>
      </c>
      <c r="U2734" s="12">
        <v>4.0168000000000002E-2</v>
      </c>
      <c r="V2734" s="16">
        <v>5.6969000000000003</v>
      </c>
      <c r="W2734" s="17">
        <f t="shared" si="42"/>
        <v>-2.0670205125510321E-3</v>
      </c>
    </row>
    <row r="2735" spans="1:23" x14ac:dyDescent="0.2">
      <c r="A2735" s="15">
        <v>45552</v>
      </c>
      <c r="B2735" s="5">
        <v>-156760884503658</v>
      </c>
      <c r="C2735" s="5">
        <f>[1]!nefin_factors__1[[#This Row],[Rm_minus_Rf]]/B2734-1</f>
        <v>-1.7540746071779934</v>
      </c>
      <c r="D2735" s="5">
        <v>122854548576869</v>
      </c>
      <c r="E2735" s="5">
        <f>[1]!nefin_factors__1[[#This Row],[SMB]]/D2734-1</f>
        <v>-0.77855061462181907</v>
      </c>
      <c r="F2735" s="5">
        <v>19411481997149</v>
      </c>
      <c r="G2735" s="5">
        <f>[1]!nefin_factors__1[[#This Row],[HML]]/F2734-1</f>
        <v>-0.95560834164907016</v>
      </c>
      <c r="H2735" s="5">
        <v>402034172980459</v>
      </c>
      <c r="I2735" s="6">
        <f>[1]!nefin_factors__1[[#This Row],[Risk_Free]]/H2734-1</f>
        <v>8.9315668938971804E-4</v>
      </c>
      <c r="J2735">
        <v>126088</v>
      </c>
      <c r="K2735">
        <v>127989</v>
      </c>
      <c r="L2735">
        <v>126087</v>
      </c>
      <c r="M2735">
        <v>127858</v>
      </c>
      <c r="N2735">
        <v>9530800</v>
      </c>
      <c r="O2735">
        <v>127858</v>
      </c>
      <c r="P2735">
        <v>1.4045857225566401E-2</v>
      </c>
      <c r="Q2735">
        <v>1.3948128234742899E-2</v>
      </c>
      <c r="R2735" s="8">
        <v>2.3299999237060498</v>
      </c>
      <c r="S2735" s="8">
        <v>-8.9843759458745107E-2</v>
      </c>
      <c r="T2735" s="9">
        <v>-9.4139001306302997E-2</v>
      </c>
      <c r="U2735" s="12">
        <v>4.0168000000000002E-2</v>
      </c>
      <c r="V2735" s="16">
        <v>5.6988000000000003</v>
      </c>
      <c r="W2735" s="17">
        <f t="shared" si="42"/>
        <v>3.3351471853104719E-4</v>
      </c>
    </row>
    <row r="2736" spans="1:23" x14ac:dyDescent="0.2">
      <c r="A2736" s="14">
        <v>45553</v>
      </c>
      <c r="B2736" s="3">
        <v>-896254173112603</v>
      </c>
      <c r="C2736" s="3">
        <f>[1]!nefin_factors__1[[#This Row],[Rm_minus_Rf]]/B2735-1</f>
        <v>4.7173329682998117</v>
      </c>
      <c r="D2736" s="3">
        <v>616159888916612</v>
      </c>
      <c r="E2736" s="3">
        <f>[1]!nefin_factors__1[[#This Row],[SMB]]/D2735-1</f>
        <v>4.0153608153228957</v>
      </c>
      <c r="F2736" s="3">
        <v>168794915008007</v>
      </c>
      <c r="G2736" s="3">
        <f>[1]!nefin_factors__1[[#This Row],[HML]]/F2735-1</f>
        <v>7.695622262782317</v>
      </c>
      <c r="H2736" s="3">
        <v>401675413897573</v>
      </c>
      <c r="I2736" s="4">
        <f>[1]!nefin_factors__1[[#This Row],[Risk_Free]]/H2735-1</f>
        <v>-8.9235967237899505E-4</v>
      </c>
      <c r="J2736">
        <v>127856</v>
      </c>
      <c r="K2736">
        <v>127872</v>
      </c>
      <c r="L2736">
        <v>125833</v>
      </c>
      <c r="M2736">
        <v>125946</v>
      </c>
      <c r="N2736">
        <v>11223300</v>
      </c>
      <c r="O2736">
        <v>125946</v>
      </c>
      <c r="P2736">
        <v>-1.4954089693253399E-2</v>
      </c>
      <c r="Q2736">
        <v>-1.50670294477611E-2</v>
      </c>
      <c r="R2736" s="8">
        <v>2.0599999427795401</v>
      </c>
      <c r="S2736" s="8">
        <v>-0.11587982393452501</v>
      </c>
      <c r="T2736" s="9">
        <v>-0.12316227980885899</v>
      </c>
      <c r="U2736" s="12">
        <v>4.0168000000000002E-2</v>
      </c>
      <c r="V2736" s="16">
        <v>5.7140000000000004</v>
      </c>
      <c r="W2736" s="17">
        <f t="shared" si="42"/>
        <v>2.6672281883906024E-3</v>
      </c>
    </row>
    <row r="2737" spans="1:23" x14ac:dyDescent="0.2">
      <c r="A2737" s="15">
        <v>45554</v>
      </c>
      <c r="B2737" s="5">
        <v>-514819527467753</v>
      </c>
      <c r="C2737" s="5">
        <f>[1]!nefin_factors__1[[#This Row],[Rm_minus_Rf]]/B2736-1</f>
        <v>-0.425587581165915</v>
      </c>
      <c r="D2737" s="5">
        <v>-172022197725372</v>
      </c>
      <c r="E2737" s="5">
        <f>[1]!nefin_factors__1[[#This Row],[SMB]]/D2736-1</f>
        <v>-1.2791843494191695</v>
      </c>
      <c r="F2737" s="5">
        <v>-473425801803694</v>
      </c>
      <c r="G2737" s="5">
        <f>[1]!nefin_factors__1[[#This Row],[HML]]/F2736-1</f>
        <v>-3.8047397149448279</v>
      </c>
      <c r="H2737" s="5">
        <v>402034172980459</v>
      </c>
      <c r="I2737" s="6">
        <f>[1]!nefin_factors__1[[#This Row],[Risk_Free]]/H2736-1</f>
        <v>8.9315668938971804E-4</v>
      </c>
      <c r="J2737">
        <v>125946</v>
      </c>
      <c r="K2737">
        <v>127542</v>
      </c>
      <c r="L2737">
        <v>125946</v>
      </c>
      <c r="M2737">
        <v>127210</v>
      </c>
      <c r="N2737">
        <v>9367300</v>
      </c>
      <c r="O2737">
        <v>127210</v>
      </c>
      <c r="P2737">
        <v>1.0036047194829501E-2</v>
      </c>
      <c r="Q2737">
        <v>9.9860205081951994E-3</v>
      </c>
      <c r="R2737" s="8">
        <v>2.0799999237060498</v>
      </c>
      <c r="S2737" s="8">
        <v>9.7087288747823592E-3</v>
      </c>
      <c r="T2737" s="9">
        <v>9.6619020088770692E-3</v>
      </c>
      <c r="U2737" s="12">
        <v>4.0168000000000002E-2</v>
      </c>
      <c r="V2737" s="16">
        <v>5.7801</v>
      </c>
      <c r="W2737" s="17">
        <f t="shared" si="42"/>
        <v>1.1568078403920046E-2</v>
      </c>
    </row>
    <row r="2738" spans="1:23" x14ac:dyDescent="0.2">
      <c r="A2738" s="14">
        <v>45555</v>
      </c>
      <c r="B2738" s="3">
        <v>-144933153530799</v>
      </c>
      <c r="C2738" s="3">
        <f>[1]!nefin_factors__1[[#This Row],[Rm_minus_Rf]]/B2737-1</f>
        <v>-0.71847774647616247</v>
      </c>
      <c r="D2738" s="3">
        <v>-939399573446413</v>
      </c>
      <c r="E2738" s="3">
        <f>[1]!nefin_factors__1[[#This Row],[SMB]]/D2737-1</f>
        <v>4.4609206594728823</v>
      </c>
      <c r="F2738" s="3">
        <v>-336644376113643</v>
      </c>
      <c r="G2738" s="3">
        <f>[1]!nefin_factors__1[[#This Row],[HML]]/F2737-1</f>
        <v>-0.2889184010861483</v>
      </c>
      <c r="H2738" s="3">
        <v>402034172980459</v>
      </c>
      <c r="I2738" s="4">
        <f>[1]!nefin_factors__1[[#This Row],[Risk_Free]]/H2737-1</f>
        <v>0</v>
      </c>
      <c r="J2738">
        <v>127213</v>
      </c>
      <c r="K2738">
        <v>128511</v>
      </c>
      <c r="L2738">
        <v>127213</v>
      </c>
      <c r="M2738">
        <v>128228</v>
      </c>
      <c r="N2738">
        <v>9141300</v>
      </c>
      <c r="O2738">
        <v>128228</v>
      </c>
      <c r="P2738">
        <v>8.0025155255090095E-3</v>
      </c>
      <c r="Q2738">
        <v>7.9706652070838102E-3</v>
      </c>
      <c r="R2738" s="8">
        <v>2.1900000572204599</v>
      </c>
      <c r="S2738" s="8">
        <v>5.2884681514031397E-2</v>
      </c>
      <c r="T2738" s="9">
        <v>5.1533712923027997E-2</v>
      </c>
      <c r="U2738" s="12">
        <v>4.0168000000000002E-2</v>
      </c>
      <c r="V2738" s="16">
        <v>5.7778999999999998</v>
      </c>
      <c r="W2738" s="17">
        <f t="shared" si="42"/>
        <v>-3.8061625231400331E-4</v>
      </c>
    </row>
    <row r="2739" spans="1:23" x14ac:dyDescent="0.2">
      <c r="A2739" s="15">
        <v>45558</v>
      </c>
      <c r="B2739" s="5">
        <v>-328935875288653</v>
      </c>
      <c r="C2739" s="5">
        <f>[1]!nefin_factors__1[[#This Row],[Rm_minus_Rf]]/B2738-1</f>
        <v>1.2695695724218994</v>
      </c>
      <c r="D2739" s="5">
        <v>-203163327281584</v>
      </c>
      <c r="E2739" s="5">
        <f>[1]!nefin_factors__1[[#This Row],[SMB]]/D2738-1</f>
        <v>-0.78373065836486333</v>
      </c>
      <c r="F2739" s="5">
        <v>-103736868301514</v>
      </c>
      <c r="G2739" s="5">
        <f>[1]!nefin_factors__1[[#This Row],[HML]]/F2738-1</f>
        <v>-0.69185028575527152</v>
      </c>
      <c r="H2739" s="5">
        <v>402034172980459</v>
      </c>
      <c r="I2739" s="6">
        <f>[1]!nefin_factors__1[[#This Row],[Risk_Free]]/H2738-1</f>
        <v>0</v>
      </c>
      <c r="J2739">
        <v>128228</v>
      </c>
      <c r="K2739">
        <v>130899</v>
      </c>
      <c r="L2739">
        <v>127362</v>
      </c>
      <c r="M2739">
        <v>129593</v>
      </c>
      <c r="N2739">
        <v>13170900</v>
      </c>
      <c r="O2739">
        <v>129593</v>
      </c>
      <c r="P2739">
        <v>1.0645100913997001E-2</v>
      </c>
      <c r="Q2739">
        <v>1.05888407385727E-2</v>
      </c>
      <c r="R2739" s="8">
        <v>2.2000000476837198</v>
      </c>
      <c r="S2739" s="8">
        <v>4.5662055716786396E-3</v>
      </c>
      <c r="T2739" s="9">
        <v>4.5558120822135296E-3</v>
      </c>
      <c r="U2739" s="12">
        <v>4.0168000000000002E-2</v>
      </c>
      <c r="V2739" s="16">
        <v>5.8072999999999997</v>
      </c>
      <c r="W2739" s="17">
        <f t="shared" si="42"/>
        <v>5.0883539002060107E-3</v>
      </c>
    </row>
    <row r="2740" spans="1:23" x14ac:dyDescent="0.2">
      <c r="A2740" s="14">
        <v>45559</v>
      </c>
      <c r="B2740" s="3">
        <v>956840521183652</v>
      </c>
      <c r="C2740" s="3">
        <f>[1]!nefin_factors__1[[#This Row],[Rm_minus_Rf]]/B2739-1</f>
        <v>-3.9088968187005757</v>
      </c>
      <c r="D2740" s="3">
        <v>-549973741453177</v>
      </c>
      <c r="E2740" s="3">
        <f>[1]!nefin_factors__1[[#This Row],[SMB]]/D2739-1</f>
        <v>1.7070522461512674</v>
      </c>
      <c r="F2740" s="3">
        <v>335820333216056</v>
      </c>
      <c r="G2740" s="3">
        <f>[1]!nefin_factors__1[[#This Row],[HML]]/F2739-1</f>
        <v>-4.2372322272153538</v>
      </c>
      <c r="H2740" s="3">
        <v>402034172980459</v>
      </c>
      <c r="I2740" s="4">
        <f>[1]!nefin_factors__1[[#This Row],[Risk_Free]]/H2739-1</f>
        <v>0</v>
      </c>
      <c r="J2740">
        <v>129587</v>
      </c>
      <c r="K2740">
        <v>129587</v>
      </c>
      <c r="L2740">
        <v>125829</v>
      </c>
      <c r="M2740">
        <v>126042</v>
      </c>
      <c r="N2740">
        <v>13453200</v>
      </c>
      <c r="O2740">
        <v>126042</v>
      </c>
      <c r="P2740">
        <v>-2.74011713595642E-2</v>
      </c>
      <c r="Q2740">
        <v>-2.7783585372177701E-2</v>
      </c>
      <c r="R2740" s="8">
        <v>2.0599999427795401</v>
      </c>
      <c r="S2740" s="8">
        <v>-6.3636409940797403E-2</v>
      </c>
      <c r="T2740" s="9">
        <v>-6.5751427014118805E-2</v>
      </c>
      <c r="U2740" s="12">
        <v>4.0168000000000002E-2</v>
      </c>
      <c r="V2740" s="16">
        <v>5.7897999999999996</v>
      </c>
      <c r="W2740" s="17">
        <f t="shared" si="42"/>
        <v>-3.0134485905670694E-3</v>
      </c>
    </row>
    <row r="2741" spans="1:23" x14ac:dyDescent="0.2">
      <c r="A2741" s="15">
        <v>45560</v>
      </c>
      <c r="B2741" s="5">
        <v>-28047379312441</v>
      </c>
      <c r="C2741" s="5">
        <f>[1]!nefin_factors__1[[#This Row],[Rm_minus_Rf]]/B2740-1</f>
        <v>-1.0293124911534319</v>
      </c>
      <c r="D2741" s="5">
        <v>-226019728600734</v>
      </c>
      <c r="E2741" s="5">
        <f>[1]!nefin_factors__1[[#This Row],[SMB]]/D2740-1</f>
        <v>-0.58903541830282713</v>
      </c>
      <c r="F2741" s="5">
        <v>292673972566251</v>
      </c>
      <c r="G2741" s="5">
        <f>[1]!nefin_factors__1[[#This Row],[HML]]/F2740-1</f>
        <v>-0.12848048906569931</v>
      </c>
      <c r="H2741" s="5">
        <v>402034172980459</v>
      </c>
      <c r="I2741" s="6">
        <f>[1]!nefin_factors__1[[#This Row],[Risk_Free]]/H2740-1</f>
        <v>0</v>
      </c>
      <c r="J2741">
        <v>126102</v>
      </c>
      <c r="K2741">
        <v>126290</v>
      </c>
      <c r="L2741">
        <v>124578</v>
      </c>
      <c r="M2741">
        <v>124612</v>
      </c>
      <c r="N2741">
        <v>11762700</v>
      </c>
      <c r="O2741">
        <v>124612</v>
      </c>
      <c r="P2741">
        <v>-1.1345424541026E-2</v>
      </c>
      <c r="Q2741">
        <v>-1.1410274839385399E-2</v>
      </c>
      <c r="R2741" s="8">
        <v>1.96000003814697</v>
      </c>
      <c r="S2741" s="8">
        <v>-4.8543644373911697E-2</v>
      </c>
      <c r="T2741" s="9">
        <v>-4.97614623194007E-2</v>
      </c>
      <c r="U2741" s="12">
        <v>4.0168000000000002E-2</v>
      </c>
      <c r="V2741" s="16">
        <v>5.7846000000000002</v>
      </c>
      <c r="W2741" s="17">
        <f t="shared" si="42"/>
        <v>-8.9813119624160276E-4</v>
      </c>
    </row>
    <row r="2742" spans="1:23" x14ac:dyDescent="0.2">
      <c r="A2742" s="14">
        <v>45561</v>
      </c>
      <c r="B2742" s="3">
        <v>770783832748036</v>
      </c>
      <c r="C2742" s="3">
        <f>[1]!nefin_factors__1[[#This Row],[Rm_minus_Rf]]/B2741-1</f>
        <v>-28.481492090996849</v>
      </c>
      <c r="D2742" s="3">
        <v>-403645719271402</v>
      </c>
      <c r="E2742" s="3">
        <f>[1]!nefin_factors__1[[#This Row],[SMB]]/D2741-1</f>
        <v>0.78588710715800381</v>
      </c>
      <c r="F2742" s="3">
        <v>919222192724917</v>
      </c>
      <c r="G2742" s="3">
        <f>[1]!nefin_factors__1[[#This Row],[HML]]/F2741-1</f>
        <v>2.1407719130775722</v>
      </c>
      <c r="H2742" s="3">
        <v>402034172980459</v>
      </c>
      <c r="I2742" s="4">
        <f>[1]!nefin_factors__1[[#This Row],[Risk_Free]]/H2741-1</f>
        <v>0</v>
      </c>
      <c r="J2742">
        <v>124610</v>
      </c>
      <c r="K2742">
        <v>124956</v>
      </c>
      <c r="L2742">
        <v>123495</v>
      </c>
      <c r="M2742">
        <v>123560</v>
      </c>
      <c r="N2742">
        <v>11071100</v>
      </c>
      <c r="O2742">
        <v>123560</v>
      </c>
      <c r="P2742">
        <v>-8.4422046030879806E-3</v>
      </c>
      <c r="Q2742">
        <v>-8.4780418518320098E-3</v>
      </c>
      <c r="R2742" s="8">
        <v>1.87999999523163</v>
      </c>
      <c r="S2742" s="8">
        <v>-4.0816347631797999E-2</v>
      </c>
      <c r="T2742" s="9">
        <v>-4.1672718399676803E-2</v>
      </c>
      <c r="U2742" s="12">
        <v>4.0168000000000002E-2</v>
      </c>
      <c r="V2742" s="16">
        <v>5.7648000000000001</v>
      </c>
      <c r="W2742" s="17">
        <f t="shared" si="42"/>
        <v>-3.4228814438336252E-3</v>
      </c>
    </row>
    <row r="2743" spans="1:23" x14ac:dyDescent="0.2">
      <c r="A2743" s="15">
        <v>45562</v>
      </c>
      <c r="B2743" s="5">
        <v>-638016740923546</v>
      </c>
      <c r="C2743" s="5">
        <f>[1]!nefin_factors__1[[#This Row],[Rm_minus_Rf]]/B2742-1</f>
        <v>-1.8277505492673058</v>
      </c>
      <c r="D2743" s="5">
        <v>117640913834375</v>
      </c>
      <c r="E2743" s="5">
        <f>[1]!nefin_factors__1[[#This Row],[SMB]]/D2742-1</f>
        <v>-1.2914459592107701</v>
      </c>
      <c r="F2743" s="5">
        <v>-134174679385435</v>
      </c>
      <c r="G2743" s="5">
        <f>[1]!nefin_factors__1[[#This Row],[HML]]/F2742-1</f>
        <v>-1.1459654482315003</v>
      </c>
      <c r="H2743" s="5">
        <v>402034172980459</v>
      </c>
      <c r="I2743" s="6">
        <f>[1]!nefin_factors__1[[#This Row],[Risk_Free]]/H2742-1</f>
        <v>0</v>
      </c>
      <c r="J2743">
        <v>123560</v>
      </c>
      <c r="K2743">
        <v>125301</v>
      </c>
      <c r="L2743">
        <v>123560</v>
      </c>
      <c r="M2743">
        <v>124698</v>
      </c>
      <c r="N2743">
        <v>17561100</v>
      </c>
      <c r="O2743">
        <v>124698</v>
      </c>
      <c r="P2743">
        <v>9.2101003561022594E-3</v>
      </c>
      <c r="Q2743">
        <v>9.1679460146100594E-3</v>
      </c>
      <c r="R2743" s="8">
        <v>1.87000000476837</v>
      </c>
      <c r="S2743" s="8">
        <v>-5.3191438769257804E-3</v>
      </c>
      <c r="T2743" s="9">
        <v>-5.33334088906338E-3</v>
      </c>
      <c r="U2743" s="12">
        <v>4.1957000000000001E-2</v>
      </c>
      <c r="V2743" s="16">
        <v>5.6623999999999999</v>
      </c>
      <c r="W2743" s="17">
        <f t="shared" si="42"/>
        <v>-1.7762975298362571E-2</v>
      </c>
    </row>
    <row r="2744" spans="1:23" x14ac:dyDescent="0.2">
      <c r="A2744" s="14">
        <v>45565</v>
      </c>
      <c r="B2744" s="3">
        <v>-680552183052631</v>
      </c>
      <c r="C2744" s="3">
        <f>[1]!nefin_factors__1[[#This Row],[Rm_minus_Rf]]/B2743-1</f>
        <v>6.6668222635527963E-2</v>
      </c>
      <c r="D2744" s="3">
        <v>-702067202135916</v>
      </c>
      <c r="E2744" s="3">
        <f>[1]!nefin_factors__1[[#This Row],[SMB]]/D2743-1</f>
        <v>-6.9678829350505271</v>
      </c>
      <c r="F2744" s="3">
        <v>111893566537905</v>
      </c>
      <c r="G2744" s="3">
        <f>[1]!nefin_factors__1[[#This Row],[HML]]/F2743-1</f>
        <v>-1.8339395111686874</v>
      </c>
      <c r="H2744" s="3">
        <v>402034172980459</v>
      </c>
      <c r="I2744" s="4">
        <f>[1]!nefin_factors__1[[#This Row],[Risk_Free]]/H2743-1</f>
        <v>0</v>
      </c>
      <c r="J2744">
        <v>124699</v>
      </c>
      <c r="K2744">
        <v>124699</v>
      </c>
      <c r="L2744">
        <v>120457</v>
      </c>
      <c r="M2744">
        <v>120772</v>
      </c>
      <c r="N2744">
        <v>19742800</v>
      </c>
      <c r="O2744">
        <v>120772</v>
      </c>
      <c r="P2744">
        <v>-3.1484065502253501E-2</v>
      </c>
      <c r="Q2744">
        <v>-3.1990343510755297E-2</v>
      </c>
      <c r="R2744" s="8">
        <v>1.54999995231628</v>
      </c>
      <c r="S2744" s="8">
        <v>-0.17112302226529899</v>
      </c>
      <c r="T2744" s="9">
        <v>-0.18768353324895901</v>
      </c>
      <c r="U2744" s="12">
        <v>4.1957000000000001E-2</v>
      </c>
      <c r="V2744" s="16">
        <v>5.7648000000000001</v>
      </c>
      <c r="W2744" s="17">
        <f t="shared" si="42"/>
        <v>1.8084204577564433E-2</v>
      </c>
    </row>
    <row r="2745" spans="1:23" x14ac:dyDescent="0.2">
      <c r="A2745" s="15">
        <v>45566</v>
      </c>
      <c r="B2745" s="5">
        <v>563360148952909</v>
      </c>
      <c r="C2745" s="5">
        <f>[1]!nefin_factors__1[[#This Row],[Rm_minus_Rf]]/B2744-1</f>
        <v>-1.8277986067518661</v>
      </c>
      <c r="D2745" s="5">
        <v>161492568476522</v>
      </c>
      <c r="E2745" s="5">
        <f>[1]!nefin_factors__1[[#This Row],[SMB]]/D2744-1</f>
        <v>-1.2300243737140963</v>
      </c>
      <c r="F2745" s="5">
        <v>189745791293783</v>
      </c>
      <c r="G2745" s="5">
        <f>[1]!nefin_factors__1[[#This Row],[HML]]/F2744-1</f>
        <v>0.69577033930279475</v>
      </c>
      <c r="H2745" s="5">
        <v>402034172980459</v>
      </c>
      <c r="I2745" s="6">
        <f>[1]!nefin_factors__1[[#This Row],[Risk_Free]]/H2744-1</f>
        <v>0</v>
      </c>
      <c r="J2745">
        <v>120768</v>
      </c>
      <c r="K2745">
        <v>121770</v>
      </c>
      <c r="L2745">
        <v>120768</v>
      </c>
      <c r="M2745">
        <v>121188</v>
      </c>
      <c r="N2745">
        <v>13682900</v>
      </c>
      <c r="O2745">
        <v>121188</v>
      </c>
      <c r="P2745">
        <v>3.4445070049349299E-3</v>
      </c>
      <c r="Q2745">
        <v>3.4385882781844202E-3</v>
      </c>
      <c r="R2745" s="8">
        <v>1.62999999523163</v>
      </c>
      <c r="S2745" s="8">
        <v>5.1612932500929402E-2</v>
      </c>
      <c r="T2745" s="9">
        <v>5.0325111725822401E-2</v>
      </c>
      <c r="U2745" s="12">
        <v>4.1957000000000001E-2</v>
      </c>
      <c r="V2745" s="16">
        <v>5.798</v>
      </c>
      <c r="W2745" s="17">
        <f t="shared" si="42"/>
        <v>5.7590896475159248E-3</v>
      </c>
    </row>
    <row r="2746" spans="1:23" x14ac:dyDescent="0.2">
      <c r="A2746" s="14">
        <v>45567</v>
      </c>
      <c r="B2746" s="3">
        <v>842289129759927</v>
      </c>
      <c r="C2746" s="3">
        <f>[1]!nefin_factors__1[[#This Row],[Rm_minus_Rf]]/B2745-1</f>
        <v>0.49511663422670238</v>
      </c>
      <c r="D2746" s="3">
        <v>52591885165495</v>
      </c>
      <c r="E2746" s="3">
        <f>[1]!nefin_factors__1[[#This Row],[SMB]]/D2745-1</f>
        <v>-0.67433866671616616</v>
      </c>
      <c r="F2746" s="3">
        <v>107126052275865</v>
      </c>
      <c r="G2746" s="3">
        <f>[1]!nefin_factors__1[[#This Row],[HML]]/F2745-1</f>
        <v>-0.43542330216957503</v>
      </c>
      <c r="H2746" s="3">
        <v>402034172980459</v>
      </c>
      <c r="I2746" s="4">
        <f>[1]!nefin_factors__1[[#This Row],[Risk_Free]]/H2745-1</f>
        <v>0</v>
      </c>
      <c r="J2746">
        <v>121183</v>
      </c>
      <c r="K2746">
        <v>122209</v>
      </c>
      <c r="L2746">
        <v>120700</v>
      </c>
      <c r="M2746">
        <v>122102</v>
      </c>
      <c r="N2746">
        <v>18128200</v>
      </c>
      <c r="O2746">
        <v>122102</v>
      </c>
      <c r="P2746">
        <v>7.5420008581708001E-3</v>
      </c>
      <c r="Q2746">
        <v>7.51370216646786E-3</v>
      </c>
      <c r="R2746" s="8">
        <v>1.6499999761581401</v>
      </c>
      <c r="S2746" s="8">
        <v>1.22699269846755E-2</v>
      </c>
      <c r="T2746" s="9">
        <v>1.2195261569588599E-2</v>
      </c>
      <c r="U2746" s="12">
        <v>4.1957000000000001E-2</v>
      </c>
      <c r="V2746" s="16">
        <v>5.7694000000000001</v>
      </c>
      <c r="W2746" s="17">
        <f t="shared" si="42"/>
        <v>-4.9327354260089162E-3</v>
      </c>
    </row>
    <row r="2747" spans="1:23" x14ac:dyDescent="0.2">
      <c r="A2747" s="15">
        <v>45568</v>
      </c>
      <c r="B2747" s="5">
        <v>-138437198065448</v>
      </c>
      <c r="C2747" s="5">
        <f>[1]!nefin_factors__1[[#This Row],[Rm_minus_Rf]]/B2746-1</f>
        <v>-1.1643582864531399</v>
      </c>
      <c r="D2747" s="5">
        <v>181491851351932</v>
      </c>
      <c r="E2747" s="5">
        <f>[1]!nefin_factors__1[[#This Row],[SMB]]/D2746-1</f>
        <v>2.4509478179155852</v>
      </c>
      <c r="F2747" s="5">
        <v>-499606171865258</v>
      </c>
      <c r="G2747" s="5">
        <f>[1]!nefin_factors__1[[#This Row],[HML]]/F2746-1</f>
        <v>-5.6637224209354811</v>
      </c>
      <c r="H2747" s="5">
        <v>402034172980459</v>
      </c>
      <c r="I2747" s="6">
        <f>[1]!nefin_factors__1[[#This Row],[Risk_Free]]/H2746-1</f>
        <v>0</v>
      </c>
      <c r="J2747">
        <v>122105</v>
      </c>
      <c r="K2747">
        <v>122105</v>
      </c>
      <c r="L2747">
        <v>120617</v>
      </c>
      <c r="M2747">
        <v>120767</v>
      </c>
      <c r="N2747">
        <v>9953300</v>
      </c>
      <c r="O2747">
        <v>120767</v>
      </c>
      <c r="P2747">
        <v>-1.09334818430492E-2</v>
      </c>
      <c r="Q2747">
        <v>-1.09936916262478E-2</v>
      </c>
      <c r="R2747" s="8">
        <v>1.54999995231628</v>
      </c>
      <c r="S2747" s="8">
        <v>-6.0606075931405698E-2</v>
      </c>
      <c r="T2747" s="9">
        <v>-6.2520373295411102E-2</v>
      </c>
      <c r="U2747" s="12">
        <v>4.1957000000000001E-2</v>
      </c>
      <c r="V2747" s="16">
        <v>5.7713000000000001</v>
      </c>
      <c r="W2747" s="17">
        <f t="shared" si="42"/>
        <v>3.2932367317228817E-4</v>
      </c>
    </row>
    <row r="2748" spans="1:23" x14ac:dyDescent="0.2">
      <c r="A2748" s="14">
        <v>45569</v>
      </c>
      <c r="B2748" s="3">
        <v>-838414187484506</v>
      </c>
      <c r="C2748" s="3">
        <f>[1]!nefin_factors__1[[#This Row],[Rm_minus_Rf]]/B2747-1</f>
        <v>5.0562782200209995</v>
      </c>
      <c r="D2748" s="3">
        <v>960209012689708</v>
      </c>
      <c r="E2748" s="3">
        <f>[1]!nefin_factors__1[[#This Row],[SMB]]/D2747-1</f>
        <v>4.2906453129279098</v>
      </c>
      <c r="F2748" s="3">
        <v>206010835588273</v>
      </c>
      <c r="G2748" s="3">
        <f>[1]!nefin_factors__1[[#This Row],[HML]]/F2747-1</f>
        <v>-1.4123464584497434</v>
      </c>
      <c r="H2748" s="3">
        <v>402392899773618</v>
      </c>
      <c r="I2748" s="4">
        <f>[1]!nefin_factors__1[[#This Row],[Risk_Free]]/H2747-1</f>
        <v>8.9227935650249002E-4</v>
      </c>
      <c r="J2748">
        <v>120767</v>
      </c>
      <c r="K2748">
        <v>121612</v>
      </c>
      <c r="L2748">
        <v>120428</v>
      </c>
      <c r="M2748">
        <v>121078</v>
      </c>
      <c r="N2748">
        <v>8338500</v>
      </c>
      <c r="O2748">
        <v>121078</v>
      </c>
      <c r="P2748">
        <v>2.5752068031830201E-3</v>
      </c>
      <c r="Q2748">
        <v>2.5718966398290098E-3</v>
      </c>
      <c r="R2748" s="8">
        <v>1.4299999475479099</v>
      </c>
      <c r="S2748" s="8">
        <v>-7.7419360296783396E-2</v>
      </c>
      <c r="T2748" s="9">
        <v>-8.0580492575433302E-2</v>
      </c>
      <c r="U2748" s="12">
        <v>4.1957000000000001E-2</v>
      </c>
      <c r="V2748" s="16">
        <v>5.7885</v>
      </c>
      <c r="W2748" s="17">
        <f t="shared" si="42"/>
        <v>2.9802644118308574E-3</v>
      </c>
    </row>
    <row r="2749" spans="1:23" x14ac:dyDescent="0.2">
      <c r="A2749" s="15">
        <v>45572</v>
      </c>
      <c r="B2749" s="5">
        <v>-815883500459419</v>
      </c>
      <c r="C2749" s="5">
        <f>[1]!nefin_factors__1[[#This Row],[Rm_minus_Rf]]/B2748-1</f>
        <v>-2.6872979204569325E-2</v>
      </c>
      <c r="D2749" s="5">
        <v>-361532383527932</v>
      </c>
      <c r="E2749" s="5">
        <f>[1]!nefin_factors__1[[#This Row],[SMB]]/D2748-1</f>
        <v>-1.3765142575731701</v>
      </c>
      <c r="F2749" s="5">
        <v>89872621491928</v>
      </c>
      <c r="G2749" s="5">
        <f>[1]!nefin_factors__1[[#This Row],[HML]]/F2748-1</f>
        <v>-0.5637480852145822</v>
      </c>
      <c r="H2749" s="5">
        <v>403827484164232</v>
      </c>
      <c r="I2749" s="6">
        <f>[1]!nefin_factors__1[[#This Row],[Risk_Free]]/H2748-1</f>
        <v>3.5651334589181793E-3</v>
      </c>
      <c r="J2749">
        <v>121078</v>
      </c>
      <c r="K2749">
        <v>121609</v>
      </c>
      <c r="L2749">
        <v>120252</v>
      </c>
      <c r="M2749">
        <v>120269</v>
      </c>
      <c r="N2749">
        <v>8937000</v>
      </c>
      <c r="O2749">
        <v>120269</v>
      </c>
      <c r="P2749">
        <v>-6.6816432382431597E-3</v>
      </c>
      <c r="Q2749">
        <v>-6.7040653499366998E-3</v>
      </c>
      <c r="R2749" s="8">
        <v>1.3999999761581401</v>
      </c>
      <c r="S2749" s="8">
        <v>-2.09790017413727E-2</v>
      </c>
      <c r="T2749" s="9">
        <v>-2.1202188000719598E-2</v>
      </c>
      <c r="U2749" s="12">
        <v>4.1957000000000001E-2</v>
      </c>
      <c r="V2749" s="16">
        <v>5.7603</v>
      </c>
      <c r="W2749" s="17">
        <f t="shared" si="42"/>
        <v>-4.8717284270536343E-3</v>
      </c>
    </row>
    <row r="2750" spans="1:23" x14ac:dyDescent="0.2">
      <c r="A2750" s="14">
        <v>45573</v>
      </c>
      <c r="B2750" s="3">
        <v>-344654838386659</v>
      </c>
      <c r="C2750" s="3">
        <f>[1]!nefin_factors__1[[#This Row],[Rm_minus_Rf]]/B2749-1</f>
        <v>-0.57756856439358562</v>
      </c>
      <c r="D2750" s="3">
        <v>50112814425012</v>
      </c>
      <c r="E2750" s="3">
        <f>[1]!nefin_factors__1[[#This Row],[SMB]]/D2749-1</f>
        <v>-1.1386122425216725</v>
      </c>
      <c r="F2750" s="3">
        <v>374029613836877</v>
      </c>
      <c r="G2750" s="3">
        <f>[1]!nefin_factors__1[[#This Row],[HML]]/F2749-1</f>
        <v>3.1617748278375393</v>
      </c>
      <c r="H2750" s="3">
        <v>40454458277206</v>
      </c>
      <c r="I2750" s="4">
        <f>[1]!nefin_factors__1[[#This Row],[Risk_Free]]/H2749-1</f>
        <v>-0.89982242451642136</v>
      </c>
      <c r="J2750">
        <v>120267</v>
      </c>
      <c r="K2750">
        <v>121050</v>
      </c>
      <c r="L2750">
        <v>120158</v>
      </c>
      <c r="M2750">
        <v>120283</v>
      </c>
      <c r="N2750">
        <v>8895300</v>
      </c>
      <c r="O2750">
        <v>120283</v>
      </c>
      <c r="P2750">
        <v>1.1640572383564401E-4</v>
      </c>
      <c r="Q2750">
        <v>1.16398949215105E-4</v>
      </c>
      <c r="R2750" s="8">
        <v>1.37999999523163</v>
      </c>
      <c r="S2750" s="8">
        <v>-1.4285700905079499E-2</v>
      </c>
      <c r="T2750" s="9">
        <v>-1.4388723877542701E-2</v>
      </c>
      <c r="U2750" s="12">
        <v>4.1957000000000001E-2</v>
      </c>
      <c r="V2750" s="16">
        <v>5.7743000000000002</v>
      </c>
      <c r="W2750" s="17">
        <f t="shared" si="42"/>
        <v>2.4304289707133275E-3</v>
      </c>
    </row>
    <row r="2751" spans="1:23" x14ac:dyDescent="0.2">
      <c r="A2751" s="15">
        <v>45574</v>
      </c>
      <c r="B2751" s="5">
        <v>-12449768410926</v>
      </c>
      <c r="C2751" s="5">
        <f>[1]!nefin_factors__1[[#This Row],[Rm_minus_Rf]]/B2750-1</f>
        <v>-0.96387757540499419</v>
      </c>
      <c r="D2751" s="5">
        <v>-60930521749775</v>
      </c>
      <c r="E2751" s="5">
        <f>[1]!nefin_factors__1[[#This Row],[SMB]]/D2750-1</f>
        <v>-2.2158670880668745</v>
      </c>
      <c r="F2751" s="5">
        <v>319656002645373</v>
      </c>
      <c r="G2751" s="5">
        <f>[1]!nefin_factors__1[[#This Row],[HML]]/F2750-1</f>
        <v>-0.14537247634947326</v>
      </c>
      <c r="H2751" s="5">
        <v>405261552383074</v>
      </c>
      <c r="I2751" s="6">
        <f>[1]!nefin_factors__1[[#This Row],[Risk_Free]]/H2750-1</f>
        <v>9.0177228825090445</v>
      </c>
      <c r="J2751">
        <v>120283</v>
      </c>
      <c r="K2751">
        <v>120782</v>
      </c>
      <c r="L2751">
        <v>119120</v>
      </c>
      <c r="M2751">
        <v>120125</v>
      </c>
      <c r="N2751">
        <v>9373600</v>
      </c>
      <c r="O2751">
        <v>120125</v>
      </c>
      <c r="P2751">
        <v>-1.31356883350098E-3</v>
      </c>
      <c r="Q2751">
        <v>-1.31443232129108E-3</v>
      </c>
      <c r="R2751" s="8">
        <v>1.5</v>
      </c>
      <c r="S2751" s="8">
        <v>8.6956525494936696E-2</v>
      </c>
      <c r="T2751" s="9">
        <v>8.3381612394392804E-2</v>
      </c>
      <c r="U2751" s="12">
        <v>4.1957000000000001E-2</v>
      </c>
      <c r="V2751" s="16">
        <v>5.8173000000000004</v>
      </c>
      <c r="W2751" s="17">
        <f t="shared" si="42"/>
        <v>7.4467900871102444E-3</v>
      </c>
    </row>
    <row r="2752" spans="1:23" x14ac:dyDescent="0.2">
      <c r="A2752" s="14">
        <v>45575</v>
      </c>
      <c r="B2752" s="3">
        <v>185617123529537</v>
      </c>
      <c r="C2752" s="3">
        <f>[1]!nefin_factors__1[[#This Row],[Rm_minus_Rf]]/B2751-1</f>
        <v>-15.90928324149694</v>
      </c>
      <c r="D2752" s="3">
        <v>-11729844935728</v>
      </c>
      <c r="E2752" s="3">
        <f>[1]!nefin_factors__1[[#This Row],[SMB]]/D2751-1</f>
        <v>-0.80748819148637418</v>
      </c>
      <c r="F2752" s="3">
        <v>-151209209194997</v>
      </c>
      <c r="G2752" s="3">
        <f>[1]!nefin_factors__1[[#This Row],[HML]]/F2751-1</f>
        <v>-1.4730372899105193</v>
      </c>
      <c r="H2752" s="3">
        <v>405261552383074</v>
      </c>
      <c r="I2752" s="4">
        <f>[1]!nefin_factors__1[[#This Row],[Risk_Free]]/H2751-1</f>
        <v>0</v>
      </c>
      <c r="J2752">
        <v>120125</v>
      </c>
      <c r="K2752">
        <v>120356</v>
      </c>
      <c r="L2752">
        <v>118404</v>
      </c>
      <c r="M2752">
        <v>118533</v>
      </c>
      <c r="N2752">
        <v>9804400</v>
      </c>
      <c r="O2752">
        <v>118533</v>
      </c>
      <c r="P2752">
        <v>-1.32528616024974E-2</v>
      </c>
      <c r="Q2752">
        <v>-1.33414644712523E-2</v>
      </c>
      <c r="R2752" s="8">
        <v>1.5</v>
      </c>
      <c r="S2752" s="8">
        <v>0</v>
      </c>
      <c r="T2752" s="9">
        <v>0</v>
      </c>
      <c r="U2752" s="12">
        <v>4.1957000000000001E-2</v>
      </c>
      <c r="V2752" s="16">
        <v>5.8124000000000002</v>
      </c>
      <c r="W2752" s="17">
        <f t="shared" si="42"/>
        <v>-8.4231516339194901E-4</v>
      </c>
    </row>
    <row r="2753" spans="1:23" x14ac:dyDescent="0.2">
      <c r="A2753" s="15">
        <v>45576</v>
      </c>
      <c r="B2753" s="5">
        <v>-400947866605145</v>
      </c>
      <c r="C2753" s="5">
        <f>[1]!nefin_factors__1[[#This Row],[Rm_minus_Rf]]/B2752-1</f>
        <v>-3.1600801638397478</v>
      </c>
      <c r="D2753" s="5">
        <v>120402315666421</v>
      </c>
      <c r="E2753" s="5">
        <f>[1]!nefin_factors__1[[#This Row],[SMB]]/D2752-1</f>
        <v>-11.264612731553417</v>
      </c>
      <c r="F2753" s="5">
        <v>215302042103079</v>
      </c>
      <c r="G2753" s="5">
        <f>[1]!nefin_factors__1[[#This Row],[HML]]/F2752-1</f>
        <v>-2.4238685808179108</v>
      </c>
      <c r="H2753" s="5">
        <v>406336765033322</v>
      </c>
      <c r="I2753" s="6">
        <f>[1]!nefin_factors__1[[#This Row],[Risk_Free]]/H2752-1</f>
        <v>2.6531326347771778E-3</v>
      </c>
      <c r="J2753">
        <v>118534</v>
      </c>
      <c r="K2753">
        <v>120322</v>
      </c>
      <c r="L2753">
        <v>118534</v>
      </c>
      <c r="M2753">
        <v>120022</v>
      </c>
      <c r="N2753">
        <v>9685600</v>
      </c>
      <c r="O2753">
        <v>120022</v>
      </c>
      <c r="P2753">
        <v>1.2561902592526999E-2</v>
      </c>
      <c r="Q2753">
        <v>1.24836564926732E-2</v>
      </c>
      <c r="R2753" s="8">
        <v>1.5599999427795399</v>
      </c>
      <c r="S2753" s="8">
        <v>3.9999961853027302E-2</v>
      </c>
      <c r="T2753" s="9">
        <v>3.9220676473499201E-2</v>
      </c>
      <c r="U2753" s="12">
        <v>4.1957000000000001E-2</v>
      </c>
      <c r="V2753" s="16">
        <v>5.8002000000000002</v>
      </c>
      <c r="W2753" s="17">
        <f t="shared" si="42"/>
        <v>-2.098960842337072E-3</v>
      </c>
    </row>
    <row r="2754" spans="1:23" x14ac:dyDescent="0.2">
      <c r="A2754" s="14">
        <v>45579</v>
      </c>
      <c r="B2754" s="3">
        <v>77191271685978</v>
      </c>
      <c r="C2754" s="3">
        <f>[1]!nefin_factors__1[[#This Row],[Rm_minus_Rf]]/B2753-1</f>
        <v>-1.1925219663582753</v>
      </c>
      <c r="D2754" s="3">
        <v>172884833398461</v>
      </c>
      <c r="E2754" s="3">
        <f>[1]!nefin_factors__1[[#This Row],[SMB]]/D2753-1</f>
        <v>0.43589292649025735</v>
      </c>
      <c r="F2754" s="3">
        <v>354353651223013</v>
      </c>
      <c r="G2754" s="3">
        <f>[1]!nefin_factors__1[[#This Row],[HML]]/F2753-1</f>
        <v>0.64584435782249106</v>
      </c>
      <c r="H2754" s="3">
        <v>407411687703085</v>
      </c>
      <c r="I2754" s="4">
        <f>[1]!nefin_factors__1[[#This Row],[Risk_Free]]/H2753-1</f>
        <v>2.6453985025816085E-3</v>
      </c>
      <c r="J2754">
        <v>120022</v>
      </c>
      <c r="K2754">
        <v>121713</v>
      </c>
      <c r="L2754">
        <v>120022</v>
      </c>
      <c r="M2754">
        <v>121163</v>
      </c>
      <c r="N2754">
        <v>11116400</v>
      </c>
      <c r="O2754">
        <v>121163</v>
      </c>
      <c r="P2754">
        <v>9.5065904584159498E-3</v>
      </c>
      <c r="Q2754">
        <v>9.4616871876975293E-3</v>
      </c>
      <c r="R2754" s="8">
        <v>1.62000000476837</v>
      </c>
      <c r="S2754" s="8">
        <v>3.8461579608730603E-2</v>
      </c>
      <c r="T2754" s="9">
        <v>3.7740367606068297E-2</v>
      </c>
      <c r="U2754" s="12">
        <v>4.1957000000000001E-2</v>
      </c>
      <c r="V2754" s="16">
        <v>5.7990000000000004</v>
      </c>
      <c r="W2754" s="17">
        <f t="shared" si="42"/>
        <v>-2.0688941760627078E-4</v>
      </c>
    </row>
    <row r="2755" spans="1:23" x14ac:dyDescent="0.2">
      <c r="A2755" s="15">
        <v>45580</v>
      </c>
      <c r="B2755" s="5">
        <v>142577641721407</v>
      </c>
      <c r="C2755" s="5">
        <f>[1]!nefin_factors__1[[#This Row],[Rm_minus_Rf]]/B2754-1</f>
        <v>0.84706947569703805</v>
      </c>
      <c r="D2755" s="5">
        <v>-859372568229576</v>
      </c>
      <c r="E2755" s="5">
        <f>[1]!nefin_factors__1[[#This Row],[SMB]]/D2754-1</f>
        <v>-5.9707805556830644</v>
      </c>
      <c r="F2755" s="5">
        <v>-631932089772314</v>
      </c>
      <c r="G2755" s="5">
        <f>[1]!nefin_factors__1[[#This Row],[HML]]/F2754-1</f>
        <v>-2.7833373173700036</v>
      </c>
      <c r="H2755" s="5">
        <v>40812814179314</v>
      </c>
      <c r="I2755" s="6">
        <f>[1]!nefin_factors__1[[#This Row],[Risk_Free]]/H2754-1</f>
        <v>-0.89982414493455154</v>
      </c>
      <c r="J2755">
        <v>121160</v>
      </c>
      <c r="K2755">
        <v>121160</v>
      </c>
      <c r="L2755">
        <v>119351</v>
      </c>
      <c r="M2755">
        <v>119625</v>
      </c>
      <c r="N2755">
        <v>10230700</v>
      </c>
      <c r="O2755">
        <v>119625</v>
      </c>
      <c r="P2755">
        <v>-1.2693644099271199E-2</v>
      </c>
      <c r="Q2755">
        <v>-1.2774896726456699E-2</v>
      </c>
      <c r="R2755" s="8">
        <v>1.6000000238418599</v>
      </c>
      <c r="S2755" s="8">
        <v>-1.23456672022499E-2</v>
      </c>
      <c r="T2755" s="9">
        <v>-1.2422508040835299E-2</v>
      </c>
      <c r="U2755" s="12">
        <v>4.1957000000000001E-2</v>
      </c>
      <c r="V2755" s="16">
        <v>5.8291000000000004</v>
      </c>
      <c r="W2755" s="17">
        <f t="shared" si="42"/>
        <v>5.1905500948439265E-3</v>
      </c>
    </row>
    <row r="2756" spans="1:23" x14ac:dyDescent="0.2">
      <c r="A2756" s="14">
        <v>45581</v>
      </c>
      <c r="B2756" s="3">
        <v>440277328803069</v>
      </c>
      <c r="C2756" s="3">
        <f>[1]!nefin_factors__1[[#This Row],[Rm_minus_Rf]]/B2755-1</f>
        <v>2.0879829648421273</v>
      </c>
      <c r="D2756" s="3">
        <v>-60735717406427</v>
      </c>
      <c r="E2756" s="3">
        <f>[1]!nefin_factors__1[[#This Row],[SMB]]/D2755-1</f>
        <v>-0.92932551066698488</v>
      </c>
      <c r="F2756" s="3">
        <v>-106300917819305</v>
      </c>
      <c r="G2756" s="3">
        <f>[1]!nefin_factors__1[[#This Row],[HML]]/F2755-1</f>
        <v>-0.831784269955961</v>
      </c>
      <c r="H2756" s="3">
        <v>40812814179314</v>
      </c>
      <c r="I2756" s="4">
        <f>[1]!nefin_factors__1[[#This Row],[Risk_Free]]/H2755-1</f>
        <v>0</v>
      </c>
      <c r="J2756">
        <v>119625</v>
      </c>
      <c r="K2756">
        <v>120145</v>
      </c>
      <c r="L2756">
        <v>119502</v>
      </c>
      <c r="M2756">
        <v>119781</v>
      </c>
      <c r="N2756">
        <v>6611500</v>
      </c>
      <c r="O2756">
        <v>119781</v>
      </c>
      <c r="P2756">
        <v>1.30407523510967E-3</v>
      </c>
      <c r="Q2756">
        <v>1.3032256675200801E-3</v>
      </c>
      <c r="R2756" s="8">
        <v>1.62000000476837</v>
      </c>
      <c r="S2756" s="8">
        <v>1.2499987892806701E-2</v>
      </c>
      <c r="T2756" s="9">
        <v>1.2422508040835299E-2</v>
      </c>
      <c r="U2756" s="12">
        <v>4.1957000000000001E-2</v>
      </c>
      <c r="V2756" s="16">
        <v>5.9870999999999999</v>
      </c>
      <c r="W2756" s="17">
        <f t="shared" ref="W2756:W2819" si="43">V2756/V2755-1</f>
        <v>2.7105385050865349E-2</v>
      </c>
    </row>
    <row r="2757" spans="1:23" x14ac:dyDescent="0.2">
      <c r="A2757" s="15">
        <v>45582</v>
      </c>
      <c r="B2757" s="5">
        <v>-608488567389082</v>
      </c>
      <c r="C2757" s="5">
        <f>[1]!nefin_factors__1[[#This Row],[Rm_minus_Rf]]/B2756-1</f>
        <v>-2.3820574614716352</v>
      </c>
      <c r="D2757" s="5">
        <v>289435593310524</v>
      </c>
      <c r="E2757" s="5">
        <f>[1]!nefin_factors__1[[#This Row],[SMB]]/D2756-1</f>
        <v>-5.7654922946525726</v>
      </c>
      <c r="F2757" s="5">
        <v>-136987514923897</v>
      </c>
      <c r="G2757" s="5">
        <f>[1]!nefin_factors__1[[#This Row],[HML]]/F2756-1</f>
        <v>0.28867669004283147</v>
      </c>
      <c r="H2757" s="5">
        <v>408844467119085</v>
      </c>
      <c r="I2757" s="6">
        <f>[1]!nefin_factors__1[[#This Row],[Risk_Free]]/H2756-1</f>
        <v>9.0175514808363317</v>
      </c>
      <c r="J2757">
        <v>119781</v>
      </c>
      <c r="K2757">
        <v>120052</v>
      </c>
      <c r="L2757">
        <v>118732</v>
      </c>
      <c r="M2757">
        <v>118856</v>
      </c>
      <c r="N2757">
        <v>9255500</v>
      </c>
      <c r="O2757">
        <v>118856</v>
      </c>
      <c r="P2757">
        <v>-7.72242676217427E-3</v>
      </c>
      <c r="Q2757">
        <v>-7.7523991055866402E-3</v>
      </c>
      <c r="R2757" s="8">
        <v>1.6599999666214</v>
      </c>
      <c r="S2757" s="8">
        <v>2.4691334404499901E-2</v>
      </c>
      <c r="T2757" s="9">
        <v>2.43914300731287E-2</v>
      </c>
      <c r="U2757" s="12">
        <v>4.1957000000000001E-2</v>
      </c>
      <c r="V2757" s="16">
        <v>6.0534999999999997</v>
      </c>
      <c r="W2757" s="17">
        <f t="shared" si="43"/>
        <v>1.1090511265888336E-2</v>
      </c>
    </row>
    <row r="2758" spans="1:23" x14ac:dyDescent="0.2">
      <c r="A2758" s="14">
        <v>45583</v>
      </c>
      <c r="B2758" s="3">
        <v>-260179103113944</v>
      </c>
      <c r="C2758" s="3">
        <f>[1]!nefin_factors__1[[#This Row],[Rm_minus_Rf]]/B2757-1</f>
        <v>-0.57241743385528676</v>
      </c>
      <c r="D2758" s="3">
        <v>-736306578284375</v>
      </c>
      <c r="E2758" s="3">
        <f>[1]!nefin_factors__1[[#This Row],[SMB]]/D2757-1</f>
        <v>-3.5439392918562742</v>
      </c>
      <c r="F2758" s="3">
        <v>560018317332663</v>
      </c>
      <c r="G2758" s="3">
        <f>[1]!nefin_factors__1[[#This Row],[HML]]/F2757-1</f>
        <v>-5.0880975002997859</v>
      </c>
      <c r="H2758" s="3">
        <v>409560663727326</v>
      </c>
      <c r="I2758" s="4">
        <f>[1]!nefin_factors__1[[#This Row],[Risk_Free]]/H2757-1</f>
        <v>1.7517581032406859E-3</v>
      </c>
      <c r="J2758">
        <v>118856</v>
      </c>
      <c r="K2758">
        <v>119729</v>
      </c>
      <c r="L2758">
        <v>118743</v>
      </c>
      <c r="M2758">
        <v>119007</v>
      </c>
      <c r="N2758">
        <v>8161500</v>
      </c>
      <c r="O2758">
        <v>119007</v>
      </c>
      <c r="P2758">
        <v>1.2704449081242201E-3</v>
      </c>
      <c r="Q2758">
        <v>1.2696385758535001E-3</v>
      </c>
      <c r="R2758" s="8">
        <v>1.6399999856948899</v>
      </c>
      <c r="S2758" s="8">
        <v>-1.2048181523292199E-2</v>
      </c>
      <c r="T2758" s="9">
        <v>-1.2121349147384599E-2</v>
      </c>
      <c r="U2758" s="12">
        <v>4.1957000000000001E-2</v>
      </c>
      <c r="V2758" s="16">
        <v>6.0633999999999997</v>
      </c>
      <c r="W2758" s="17">
        <f t="shared" si="43"/>
        <v>1.6354175270505422E-3</v>
      </c>
    </row>
    <row r="2759" spans="1:23" x14ac:dyDescent="0.2">
      <c r="A2759" s="15">
        <v>45586</v>
      </c>
      <c r="B2759" s="5">
        <v>-264655012637867</v>
      </c>
      <c r="C2759" s="5">
        <f>[1]!nefin_factors__1[[#This Row],[Rm_minus_Rf]]/B2758-1</f>
        <v>1.7203186075873234E-2</v>
      </c>
      <c r="D2759" s="5">
        <v>-565317435849136</v>
      </c>
      <c r="E2759" s="5">
        <f>[1]!nefin_factors__1[[#This Row],[SMB]]/D2758-1</f>
        <v>-0.23222547166922081</v>
      </c>
      <c r="F2759" s="5">
        <v>-152232515106425</v>
      </c>
      <c r="G2759" s="5">
        <f>[1]!nefin_factors__1[[#This Row],[HML]]/F2758-1</f>
        <v>-1.2718348853864285</v>
      </c>
      <c r="H2759" s="5">
        <v>410276731663828</v>
      </c>
      <c r="I2759" s="6">
        <f>[1]!nefin_factors__1[[#This Row],[Risk_Free]]/H2758-1</f>
        <v>1.7483806427727178E-3</v>
      </c>
      <c r="J2759">
        <v>119007</v>
      </c>
      <c r="K2759">
        <v>119451</v>
      </c>
      <c r="L2759">
        <v>118223</v>
      </c>
      <c r="M2759">
        <v>119299</v>
      </c>
      <c r="N2759">
        <v>9349300</v>
      </c>
      <c r="O2759">
        <v>119299</v>
      </c>
      <c r="P2759">
        <v>2.4536371810062198E-3</v>
      </c>
      <c r="Q2759">
        <v>2.45063192816112E-3</v>
      </c>
      <c r="R2759" s="8">
        <v>1.6499999761581401</v>
      </c>
      <c r="S2759" s="8">
        <v>6.0975552137092501E-3</v>
      </c>
      <c r="T2759" s="9">
        <v>6.0790403494022701E-3</v>
      </c>
      <c r="U2759" s="12">
        <v>4.1957000000000001E-2</v>
      </c>
      <c r="V2759" s="16">
        <v>6.0707000000000004</v>
      </c>
      <c r="W2759" s="17">
        <f t="shared" si="43"/>
        <v>1.2039449813636693E-3</v>
      </c>
    </row>
    <row r="2760" spans="1:23" x14ac:dyDescent="0.2">
      <c r="A2760" s="14">
        <v>45587</v>
      </c>
      <c r="B2760" s="3">
        <v>-2727372167646</v>
      </c>
      <c r="C2760" s="3">
        <f>[1]!nefin_factors__1[[#This Row],[Rm_minus_Rf]]/B2759-1</f>
        <v>-0.98969461360107347</v>
      </c>
      <c r="D2760" s="3">
        <v>126601184499627</v>
      </c>
      <c r="E2760" s="3">
        <f>[1]!nefin_factors__1[[#This Row],[SMB]]/D2759-1</f>
        <v>-1.2239470719834875</v>
      </c>
      <c r="F2760" s="3">
        <v>197046398574312</v>
      </c>
      <c r="G2760" s="3">
        <f>[1]!nefin_factors__1[[#This Row],[HML]]/F2759-1</f>
        <v>-2.2943778695146557</v>
      </c>
      <c r="H2760" s="3">
        <v>410992670975219</v>
      </c>
      <c r="I2760" s="4">
        <f>[1]!nefin_factors__1[[#This Row],[Risk_Free]]/H2759-1</f>
        <v>1.7450156349048118E-3</v>
      </c>
      <c r="J2760">
        <v>119309</v>
      </c>
      <c r="K2760">
        <v>122988</v>
      </c>
      <c r="L2760">
        <v>119303</v>
      </c>
      <c r="M2760">
        <v>122650</v>
      </c>
      <c r="N2760">
        <v>11928800</v>
      </c>
      <c r="O2760">
        <v>122650</v>
      </c>
      <c r="P2760">
        <v>2.8089087083714E-2</v>
      </c>
      <c r="Q2760">
        <v>2.7701823865432101E-2</v>
      </c>
      <c r="R2760" s="8">
        <v>1.7799999713897701</v>
      </c>
      <c r="S2760" s="8">
        <v>7.8787877036410797E-2</v>
      </c>
      <c r="T2760" s="9">
        <v>7.5838074767952707E-2</v>
      </c>
      <c r="U2760" s="12">
        <v>4.1957000000000001E-2</v>
      </c>
      <c r="V2760" s="16">
        <v>6.0580999999999996</v>
      </c>
      <c r="W2760" s="17">
        <f t="shared" si="43"/>
        <v>-2.0755431828290982E-3</v>
      </c>
    </row>
    <row r="2761" spans="1:23" x14ac:dyDescent="0.2">
      <c r="A2761" s="15">
        <v>45588</v>
      </c>
      <c r="B2761" s="5">
        <v>-372788303473814</v>
      </c>
      <c r="C2761" s="5">
        <f>[1]!nefin_factors__1[[#This Row],[Rm_minus_Rf]]/B2760-1</f>
        <v>135.68406090525161</v>
      </c>
      <c r="D2761" s="5">
        <v>511019896186833</v>
      </c>
      <c r="E2761" s="5">
        <f>[1]!nefin_factors__1[[#This Row],[SMB]]/D2760-1</f>
        <v>3.0364543049621986</v>
      </c>
      <c r="F2761" s="5">
        <v>927259645525309</v>
      </c>
      <c r="G2761" s="5">
        <f>[1]!nefin_factors__1[[#This Row],[HML]]/F2760-1</f>
        <v>3.7057934183740588</v>
      </c>
      <c r="H2761" s="5">
        <v>411708481707684</v>
      </c>
      <c r="I2761" s="6">
        <f>[1]!nefin_factors__1[[#This Row],[Risk_Free]]/H2760-1</f>
        <v>1.7416630101128039E-3</v>
      </c>
      <c r="J2761">
        <v>122649</v>
      </c>
      <c r="K2761">
        <v>122660</v>
      </c>
      <c r="L2761">
        <v>120796</v>
      </c>
      <c r="M2761">
        <v>121234</v>
      </c>
      <c r="N2761">
        <v>11312100</v>
      </c>
      <c r="O2761">
        <v>121234</v>
      </c>
      <c r="P2761">
        <v>-1.1545046881369699E-2</v>
      </c>
      <c r="Q2761">
        <v>-1.1612208357115799E-2</v>
      </c>
      <c r="R2761" s="8">
        <v>1.6799999475479099</v>
      </c>
      <c r="S2761" s="8">
        <v>-5.6179789578187901E-2</v>
      </c>
      <c r="T2761" s="9">
        <v>-5.7819586037144502E-2</v>
      </c>
      <c r="U2761" s="12">
        <v>4.1957000000000001E-2</v>
      </c>
      <c r="V2761" s="16">
        <v>5.9848999999999997</v>
      </c>
      <c r="W2761" s="17">
        <f t="shared" si="43"/>
        <v>-1.2082996318977912E-2</v>
      </c>
    </row>
    <row r="2762" spans="1:23" x14ac:dyDescent="0.2">
      <c r="A2762" s="14">
        <v>45589</v>
      </c>
      <c r="B2762" s="3">
        <v>575697801046849</v>
      </c>
      <c r="C2762" s="3">
        <f>[1]!nefin_factors__1[[#This Row],[Rm_minus_Rf]]/B2761-1</f>
        <v>-2.5443022103489579</v>
      </c>
      <c r="D2762" s="3">
        <v>729687451379582</v>
      </c>
      <c r="E2762" s="3">
        <f>[1]!nefin_factors__1[[#This Row],[SMB]]/D2761-1</f>
        <v>0.42790419086305476</v>
      </c>
      <c r="F2762" s="3">
        <v>-424968097557342</v>
      </c>
      <c r="G2762" s="3">
        <f>[1]!nefin_factors__1[[#This Row],[HML]]/F2761-1</f>
        <v>-1.4583053944039484</v>
      </c>
      <c r="H2762" s="3">
        <v>412066338871364</v>
      </c>
      <c r="I2762" s="4">
        <f>[1]!nefin_factors__1[[#This Row],[Risk_Free]]/H2761-1</f>
        <v>8.692003676866733E-4</v>
      </c>
      <c r="J2762">
        <v>121258</v>
      </c>
      <c r="K2762">
        <v>122674</v>
      </c>
      <c r="L2762">
        <v>121074</v>
      </c>
      <c r="M2762">
        <v>122350</v>
      </c>
      <c r="N2762">
        <v>10242300</v>
      </c>
      <c r="O2762">
        <v>122350</v>
      </c>
      <c r="P2762">
        <v>9.2053384364121395E-3</v>
      </c>
      <c r="Q2762">
        <v>9.1632275412981603E-3</v>
      </c>
      <c r="R2762" s="8">
        <v>1.71000003814697</v>
      </c>
      <c r="S2762" s="8">
        <v>1.7857197342682901E-2</v>
      </c>
      <c r="T2762" s="9">
        <v>1.76996306290528E-2</v>
      </c>
      <c r="U2762" s="12">
        <v>4.1957000000000001E-2</v>
      </c>
      <c r="V2762" s="16">
        <v>6.0293000000000001</v>
      </c>
      <c r="W2762" s="17">
        <f t="shared" si="43"/>
        <v>7.4186703203060755E-3</v>
      </c>
    </row>
    <row r="2763" spans="1:23" x14ac:dyDescent="0.2">
      <c r="A2763" s="15">
        <v>45590</v>
      </c>
      <c r="B2763" s="5">
        <v>-394871551958354</v>
      </c>
      <c r="C2763" s="5">
        <f>[1]!nefin_factors__1[[#This Row],[Rm_minus_Rf]]/B2762-1</f>
        <v>-1.6859007473023513</v>
      </c>
      <c r="D2763" s="5">
        <v>111387521705418</v>
      </c>
      <c r="E2763" s="5">
        <f>[1]!nefin_factors__1[[#This Row],[SMB]]/D2762-1</f>
        <v>-0.84734899648496986</v>
      </c>
      <c r="F2763" s="5">
        <v>256319003888051</v>
      </c>
      <c r="G2763" s="5">
        <f>[1]!nefin_factors__1[[#This Row],[HML]]/F2762-1</f>
        <v>-1.6031488136670431</v>
      </c>
      <c r="H2763" s="5">
        <v>412781956822261</v>
      </c>
      <c r="I2763" s="6">
        <f>[1]!nefin_factors__1[[#This Row],[Risk_Free]]/H2762-1</f>
        <v>1.7366571432577693E-3</v>
      </c>
      <c r="J2763">
        <v>122349</v>
      </c>
      <c r="K2763">
        <v>123098</v>
      </c>
      <c r="L2763">
        <v>121511</v>
      </c>
      <c r="M2763">
        <v>122543</v>
      </c>
      <c r="N2763">
        <v>4185300</v>
      </c>
      <c r="O2763">
        <v>122543</v>
      </c>
      <c r="P2763">
        <v>1.57744176542707E-3</v>
      </c>
      <c r="Q2763">
        <v>1.57619891101405E-3</v>
      </c>
      <c r="R2763" s="8">
        <v>1.71000003814697</v>
      </c>
      <c r="S2763" s="8">
        <v>0</v>
      </c>
      <c r="T2763" s="9">
        <v>0</v>
      </c>
      <c r="U2763" s="12">
        <v>4.1957000000000001E-2</v>
      </c>
      <c r="V2763" s="16">
        <v>6.0570000000000004</v>
      </c>
      <c r="W2763" s="17">
        <f t="shared" si="43"/>
        <v>4.5942315028280056E-3</v>
      </c>
    </row>
    <row r="2764" spans="1:23" x14ac:dyDescent="0.2">
      <c r="A2764" s="14">
        <v>45593</v>
      </c>
      <c r="B2764" s="3">
        <v>899143244516187</v>
      </c>
      <c r="C2764" s="3">
        <f>[1]!nefin_factors__1[[#This Row],[Rm_minus_Rf]]/B2763-1</f>
        <v>-3.2770524745500458</v>
      </c>
      <c r="D2764" s="3">
        <v>2299438360459</v>
      </c>
      <c r="E2764" s="3">
        <f>[1]!nefin_factors__1[[#This Row],[SMB]]/D2763-1</f>
        <v>-0.97935640971939186</v>
      </c>
      <c r="F2764" s="3">
        <v>251298475130715</v>
      </c>
      <c r="G2764" s="3">
        <f>[1]!nefin_factors__1[[#This Row],[HML]]/F2763-1</f>
        <v>-1.9587032881607014E-2</v>
      </c>
      <c r="H2764" s="3">
        <v>413855142894493</v>
      </c>
      <c r="I2764" s="4">
        <f>[1]!nefin_factors__1[[#This Row],[Risk_Free]]/H2763-1</f>
        <v>2.5998861008698082E-3</v>
      </c>
      <c r="J2764">
        <v>122850</v>
      </c>
      <c r="K2764">
        <v>123462</v>
      </c>
      <c r="L2764">
        <v>122290</v>
      </c>
      <c r="M2764">
        <v>123338</v>
      </c>
      <c r="N2764">
        <v>7819600</v>
      </c>
      <c r="O2764">
        <v>123338</v>
      </c>
      <c r="P2764">
        <v>6.4875186669168796E-3</v>
      </c>
      <c r="Q2764">
        <v>6.4665652924706003E-3</v>
      </c>
      <c r="R2764" s="8">
        <v>1.7300000190734901</v>
      </c>
      <c r="S2764" s="8">
        <v>1.1695895017749E-2</v>
      </c>
      <c r="T2764" s="9">
        <v>1.1628026712084899E-2</v>
      </c>
      <c r="U2764" s="12">
        <v>4.1957000000000001E-2</v>
      </c>
      <c r="V2764" s="16">
        <v>6.0529000000000002</v>
      </c>
      <c r="W2764" s="17">
        <f t="shared" si="43"/>
        <v>-6.7690275714049619E-4</v>
      </c>
    </row>
    <row r="2765" spans="1:23" x14ac:dyDescent="0.2">
      <c r="A2765" s="15">
        <v>45594</v>
      </c>
      <c r="B2765" s="5">
        <v>-505281778062765</v>
      </c>
      <c r="C2765" s="5">
        <f>[1]!nefin_factors__1[[#This Row],[Rm_minus_Rf]]/B2764-1</f>
        <v>-1.5619591551673706</v>
      </c>
      <c r="D2765" s="5">
        <v>-308306068228681</v>
      </c>
      <c r="E2765" s="5">
        <f>[1]!nefin_factors__1[[#This Row],[SMB]]/D2764-1</f>
        <v>-135.07885748550302</v>
      </c>
      <c r="F2765" s="5">
        <v>-176622458146239</v>
      </c>
      <c r="G2765" s="5">
        <f>[1]!nefin_factors__1[[#This Row],[HML]]/F2764-1</f>
        <v>-1.7028393548920953</v>
      </c>
      <c r="H2765" s="5">
        <v>414212807380521</v>
      </c>
      <c r="I2765" s="6">
        <f>[1]!nefin_factors__1[[#This Row],[Risk_Free]]/H2764-1</f>
        <v>8.6422626894644416E-4</v>
      </c>
      <c r="J2765">
        <v>123345</v>
      </c>
      <c r="K2765">
        <v>123865</v>
      </c>
      <c r="L2765">
        <v>122926</v>
      </c>
      <c r="M2765">
        <v>122972</v>
      </c>
      <c r="N2765">
        <v>9975100</v>
      </c>
      <c r="O2765">
        <v>122972</v>
      </c>
      <c r="P2765">
        <v>-2.9674552854757098E-3</v>
      </c>
      <c r="Q2765">
        <v>-2.9718669106065299E-3</v>
      </c>
      <c r="R2765" s="8">
        <v>1.8400000333786</v>
      </c>
      <c r="S2765" s="8">
        <v>6.3583822596733799E-2</v>
      </c>
      <c r="T2765" s="9">
        <v>6.1644170226613997E-2</v>
      </c>
      <c r="U2765" s="12">
        <v>4.1957000000000001E-2</v>
      </c>
      <c r="V2765" s="16">
        <v>6.032</v>
      </c>
      <c r="W2765" s="17">
        <f t="shared" si="43"/>
        <v>-3.4528903500801178E-3</v>
      </c>
    </row>
    <row r="2766" spans="1:23" x14ac:dyDescent="0.2">
      <c r="A2766" s="14">
        <v>45595</v>
      </c>
      <c r="B2766" s="3">
        <v>-157475948490901</v>
      </c>
      <c r="C2766" s="3">
        <f>[1]!nefin_factors__1[[#This Row],[Rm_minus_Rf]]/B2765-1</f>
        <v>-0.68834033735659528</v>
      </c>
      <c r="D2766" s="3">
        <v>968975646175285</v>
      </c>
      <c r="E2766" s="3">
        <f>[1]!nefin_factors__1[[#This Row],[SMB]]/D2765-1</f>
        <v>-4.1429016358398858</v>
      </c>
      <c r="F2766" s="3">
        <v>-33803981974444</v>
      </c>
      <c r="G2766" s="3">
        <f>[1]!nefin_factors__1[[#This Row],[HML]]/F2765-1</f>
        <v>-0.80860881266608153</v>
      </c>
      <c r="H2766" s="3">
        <v>414928040080254</v>
      </c>
      <c r="I2766" s="4">
        <f>[1]!nefin_factors__1[[#This Row],[Risk_Free]]/H2765-1</f>
        <v>1.7267276312775692E-3</v>
      </c>
      <c r="J2766">
        <v>122965</v>
      </c>
      <c r="K2766">
        <v>123958</v>
      </c>
      <c r="L2766">
        <v>122159</v>
      </c>
      <c r="M2766">
        <v>122483</v>
      </c>
      <c r="N2766">
        <v>9491400</v>
      </c>
      <c r="O2766">
        <v>122483</v>
      </c>
      <c r="P2766">
        <v>-3.9765149790196297E-3</v>
      </c>
      <c r="Q2766">
        <v>-3.9844423371933396E-3</v>
      </c>
      <c r="R2766" s="8">
        <v>1.83000004291534</v>
      </c>
      <c r="S2766" s="8">
        <v>-5.4347773270933004E-3</v>
      </c>
      <c r="T2766" s="9">
        <v>-5.4495994571011203E-3</v>
      </c>
      <c r="U2766" s="12">
        <v>4.5512999999999998E-2</v>
      </c>
      <c r="V2766" s="16">
        <v>5.9408000000000003</v>
      </c>
      <c r="W2766" s="17">
        <f t="shared" si="43"/>
        <v>-1.511936339522546E-2</v>
      </c>
    </row>
    <row r="2767" spans="1:23" x14ac:dyDescent="0.2">
      <c r="A2767" s="15">
        <v>45596</v>
      </c>
      <c r="B2767" s="5">
        <v>-725024790509838</v>
      </c>
      <c r="C2767" s="5">
        <f>[1]!nefin_factors__1[[#This Row],[Rm_minus_Rf]]/B2766-1</f>
        <v>3.6040350761991453</v>
      </c>
      <c r="D2767" s="5">
        <v>-267482855700063</v>
      </c>
      <c r="E2767" s="5">
        <f>[1]!nefin_factors__1[[#This Row],[SMB]]/D2766-1</f>
        <v>-1.2760470366369518</v>
      </c>
      <c r="F2767" s="5">
        <v>-16764397982444</v>
      </c>
      <c r="G2767" s="5">
        <f>[1]!nefin_factors__1[[#This Row],[HML]]/F2766-1</f>
        <v>-0.50407031943402469</v>
      </c>
      <c r="H2767" s="5">
        <v>415643144455302</v>
      </c>
      <c r="I2767" s="6">
        <f>[1]!nefin_factors__1[[#This Row],[Risk_Free]]/H2766-1</f>
        <v>1.7234419127463152E-3</v>
      </c>
      <c r="J2767">
        <v>122483</v>
      </c>
      <c r="K2767">
        <v>122908</v>
      </c>
      <c r="L2767">
        <v>122196</v>
      </c>
      <c r="M2767">
        <v>122447</v>
      </c>
      <c r="N2767">
        <v>7777800</v>
      </c>
      <c r="O2767">
        <v>122447</v>
      </c>
      <c r="P2767">
        <v>-2.9391833968794899E-4</v>
      </c>
      <c r="Q2767">
        <v>-2.9396154214868898E-4</v>
      </c>
      <c r="R2767" s="8">
        <v>1.7799999713897701</v>
      </c>
      <c r="S2767" s="8">
        <v>-2.73224428158588E-2</v>
      </c>
      <c r="T2767" s="9">
        <v>-2.7702642073505999E-2</v>
      </c>
      <c r="U2767" s="12">
        <v>4.5512999999999998E-2</v>
      </c>
      <c r="V2767" s="16">
        <v>6.04</v>
      </c>
      <c r="W2767" s="17">
        <f t="shared" si="43"/>
        <v>1.6698087799623007E-2</v>
      </c>
    </row>
    <row r="2768" spans="1:23" x14ac:dyDescent="0.2">
      <c r="A2768" s="14">
        <v>45597</v>
      </c>
      <c r="B2768" s="3">
        <v>-111439293025075</v>
      </c>
      <c r="C2768" s="3">
        <f>[1]!nefin_factors__1[[#This Row],[Rm_minus_Rf]]/B2767-1</f>
        <v>-0.84629588603899908</v>
      </c>
      <c r="D2768" s="3">
        <v>-135400497703931</v>
      </c>
      <c r="E2768" s="3">
        <f>[1]!nefin_factors__1[[#This Row],[SMB]]/D2767-1</f>
        <v>-0.49379747217982495</v>
      </c>
      <c r="F2768" s="3">
        <v>220284541599039</v>
      </c>
      <c r="G2768" s="3">
        <f>[1]!nefin_factors__1[[#This Row],[HML]]/F2767-1</f>
        <v>-14.140021003421966</v>
      </c>
      <c r="H2768" s="3">
        <v>416715560509706</v>
      </c>
      <c r="I2768" s="4">
        <f>[1]!nefin_factors__1[[#This Row],[Risk_Free]]/H2767-1</f>
        <v>2.5801365154460854E-3</v>
      </c>
      <c r="J2768">
        <v>122443</v>
      </c>
      <c r="K2768">
        <v>124862</v>
      </c>
      <c r="L2768">
        <v>122207</v>
      </c>
      <c r="M2768">
        <v>124862</v>
      </c>
      <c r="N2768">
        <v>11021500</v>
      </c>
      <c r="O2768">
        <v>124862</v>
      </c>
      <c r="P2768">
        <v>1.9722818852237999E-2</v>
      </c>
      <c r="Q2768">
        <v>1.9530844143188199E-2</v>
      </c>
      <c r="R2768" s="8">
        <v>1.8600000143051101</v>
      </c>
      <c r="S2768" s="8">
        <v>4.49438450568529E-2</v>
      </c>
      <c r="T2768" s="9">
        <v>4.39631471852008E-2</v>
      </c>
      <c r="U2768" s="12">
        <v>4.5512999999999998E-2</v>
      </c>
      <c r="V2768" s="16">
        <v>6.0509000000000004</v>
      </c>
      <c r="W2768" s="17">
        <f t="shared" si="43"/>
        <v>1.8046357615895126E-3</v>
      </c>
    </row>
    <row r="2769" spans="1:23" x14ac:dyDescent="0.2">
      <c r="A2769" s="15">
        <v>45600</v>
      </c>
      <c r="B2769" s="5">
        <v>171480933875588</v>
      </c>
      <c r="C2769" s="5">
        <f>[1]!nefin_factors__1[[#This Row],[Rm_minus_Rf]]/B2768-1</f>
        <v>-2.5387833969567897</v>
      </c>
      <c r="D2769" s="5">
        <v>117738426546947</v>
      </c>
      <c r="E2769" s="5">
        <f>[1]!nefin_factors__1[[#This Row],[SMB]]/D2768-1</f>
        <v>-1.8695568224896473</v>
      </c>
      <c r="F2769" s="5">
        <v>-207669810355228</v>
      </c>
      <c r="G2769" s="5">
        <f>[1]!nefin_factors__1[[#This Row],[HML]]/F2768-1</f>
        <v>-1.9427343782171866</v>
      </c>
      <c r="H2769" s="5">
        <v>418859527360427</v>
      </c>
      <c r="I2769" s="6">
        <f>[1]!nefin_factors__1[[#This Row],[Risk_Free]]/H2768-1</f>
        <v>5.1449167103301274E-3</v>
      </c>
      <c r="J2769">
        <v>124861</v>
      </c>
      <c r="K2769">
        <v>124881</v>
      </c>
      <c r="L2769">
        <v>123973</v>
      </c>
      <c r="M2769">
        <v>124056</v>
      </c>
      <c r="N2769">
        <v>8313500</v>
      </c>
      <c r="O2769">
        <v>124056</v>
      </c>
      <c r="P2769">
        <v>-6.4551264596114403E-3</v>
      </c>
      <c r="Q2769">
        <v>-6.47605088355728E-3</v>
      </c>
      <c r="R2769" s="8">
        <v>1.7699999809265099</v>
      </c>
      <c r="S2769" s="8">
        <v>-4.8387114347536501E-2</v>
      </c>
      <c r="T2769" s="9">
        <v>-4.9596959606274998E-2</v>
      </c>
      <c r="U2769" s="12">
        <v>4.5512999999999998E-2</v>
      </c>
      <c r="V2769" s="16">
        <v>6.1684999999999999</v>
      </c>
      <c r="W2769" s="17">
        <f t="shared" si="43"/>
        <v>1.9435125353253202E-2</v>
      </c>
    </row>
    <row r="2770" spans="1:23" x14ac:dyDescent="0.2">
      <c r="A2770" s="14">
        <v>45601</v>
      </c>
      <c r="B2770" s="3">
        <v>207363601315503</v>
      </c>
      <c r="C2770" s="3">
        <f>[1]!nefin_factors__1[[#This Row],[Rm_minus_Rf]]/B2769-1</f>
        <v>0.20925164465192614</v>
      </c>
      <c r="D2770" s="3">
        <v>159928796001122</v>
      </c>
      <c r="E2770" s="3">
        <f>[1]!nefin_factors__1[[#This Row],[SMB]]/D2769-1</f>
        <v>0.35833984444621425</v>
      </c>
      <c r="F2770" s="3">
        <v>-92311612811583</v>
      </c>
      <c r="G2770" s="3">
        <f>[1]!nefin_factors__1[[#This Row],[HML]]/F2769-1</f>
        <v>-0.55548852934530979</v>
      </c>
      <c r="H2770" s="3">
        <v>420288198160979</v>
      </c>
      <c r="I2770" s="4">
        <f>[1]!nefin_factors__1[[#This Row],[Risk_Free]]/H2769-1</f>
        <v>3.4108590284556151E-3</v>
      </c>
      <c r="J2770">
        <v>124056</v>
      </c>
      <c r="K2770">
        <v>124767</v>
      </c>
      <c r="L2770">
        <v>123278</v>
      </c>
      <c r="M2770">
        <v>123432</v>
      </c>
      <c r="N2770">
        <v>7348500</v>
      </c>
      <c r="O2770">
        <v>123432</v>
      </c>
      <c r="P2770">
        <v>-5.0299864577287899E-3</v>
      </c>
      <c r="Q2770">
        <v>-5.0426794211231299E-3</v>
      </c>
      <c r="R2770" s="8">
        <v>1.79999995231628</v>
      </c>
      <c r="S2770" s="8">
        <v>1.6949136561044999E-2</v>
      </c>
      <c r="T2770" s="9">
        <v>1.6807102601408701E-2</v>
      </c>
      <c r="U2770" s="12">
        <v>4.5512999999999998E-2</v>
      </c>
      <c r="V2770" s="16">
        <v>6.1623999999999999</v>
      </c>
      <c r="W2770" s="17">
        <f t="shared" si="43"/>
        <v>-9.8889519332090448E-4</v>
      </c>
    </row>
    <row r="2771" spans="1:23" x14ac:dyDescent="0.2">
      <c r="A2771" s="15">
        <v>45602</v>
      </c>
      <c r="B2771" s="5">
        <v>-154447841325834</v>
      </c>
      <c r="C2771" s="5">
        <f>[1]!nefin_factors__1[[#This Row],[Rm_minus_Rf]]/B2770-1</f>
        <v>-1.7448165461345462</v>
      </c>
      <c r="D2771" s="5">
        <v>122825023060953</v>
      </c>
      <c r="E2771" s="5">
        <f>[1]!nefin_factors__1[[#This Row],[SMB]]/D2770-1</f>
        <v>-0.23200182748770704</v>
      </c>
      <c r="F2771" s="5">
        <v>585372659404379</v>
      </c>
      <c r="G2771" s="5">
        <f>[1]!nefin_factors__1[[#This Row],[HML]]/F2770-1</f>
        <v>-7.341267816425022</v>
      </c>
      <c r="H2771" s="5">
        <v>421716357043911</v>
      </c>
      <c r="I2771" s="6">
        <f>[1]!nefin_factors__1[[#This Row],[Risk_Free]]/H2770-1</f>
        <v>3.3980466003591392E-3</v>
      </c>
      <c r="J2771">
        <v>123433</v>
      </c>
      <c r="K2771">
        <v>127169</v>
      </c>
      <c r="L2771">
        <v>123432</v>
      </c>
      <c r="M2771">
        <v>126913</v>
      </c>
      <c r="N2771">
        <v>11688100</v>
      </c>
      <c r="O2771">
        <v>126913</v>
      </c>
      <c r="P2771">
        <v>2.8201762913993199E-2</v>
      </c>
      <c r="Q2771">
        <v>2.7811415201105302E-2</v>
      </c>
      <c r="R2771" s="8">
        <v>1.95000004768372</v>
      </c>
      <c r="S2771" s="8">
        <v>8.3333388522820698E-2</v>
      </c>
      <c r="T2771" s="9">
        <v>8.0042758617677304E-2</v>
      </c>
      <c r="U2771" s="12">
        <v>4.5512999999999998E-2</v>
      </c>
      <c r="V2771" s="16">
        <v>6.1840999999999999</v>
      </c>
      <c r="W2771" s="17">
        <f t="shared" si="43"/>
        <v>3.5213553161106415E-3</v>
      </c>
    </row>
    <row r="2772" spans="1:23" x14ac:dyDescent="0.2">
      <c r="A2772" s="14">
        <v>45603</v>
      </c>
      <c r="B2772" s="3">
        <v>-778345324677498</v>
      </c>
      <c r="C2772" s="3">
        <f>[1]!nefin_factors__1[[#This Row],[Rm_minus_Rf]]/B2771-1</f>
        <v>4.0395351465964886</v>
      </c>
      <c r="D2772" s="3">
        <v>-115092426382118</v>
      </c>
      <c r="E2772" s="3">
        <f>[1]!nefin_factors__1[[#This Row],[SMB]]/D2771-1</f>
        <v>-1.9370438003093422</v>
      </c>
      <c r="F2772" s="3">
        <v>875152328505253</v>
      </c>
      <c r="G2772" s="3">
        <f>[1]!nefin_factors__1[[#This Row],[HML]]/F2771-1</f>
        <v>0.49503451253723907</v>
      </c>
      <c r="H2772" s="3">
        <v>422430244631178</v>
      </c>
      <c r="I2772" s="4">
        <f>[1]!nefin_factors__1[[#This Row],[Risk_Free]]/H2771-1</f>
        <v>1.6928145549561791E-3</v>
      </c>
      <c r="J2772">
        <v>126914</v>
      </c>
      <c r="K2772">
        <v>127532</v>
      </c>
      <c r="L2772">
        <v>126057</v>
      </c>
      <c r="M2772">
        <v>126135</v>
      </c>
      <c r="N2772">
        <v>10242600</v>
      </c>
      <c r="O2772">
        <v>126135</v>
      </c>
      <c r="P2772">
        <v>-6.13018366912765E-3</v>
      </c>
      <c r="Q2772">
        <v>-6.1490503888589803E-3</v>
      </c>
      <c r="R2772" s="8">
        <v>1.9700000286102299</v>
      </c>
      <c r="S2772" s="8">
        <v>1.02564002243335E-2</v>
      </c>
      <c r="T2772" s="9">
        <v>1.02041602440134E-2</v>
      </c>
      <c r="U2772" s="12">
        <v>4.5512999999999998E-2</v>
      </c>
      <c r="V2772" s="16">
        <v>6.0780000000000003</v>
      </c>
      <c r="W2772" s="17">
        <f t="shared" si="43"/>
        <v>-1.7156902378680727E-2</v>
      </c>
    </row>
    <row r="2773" spans="1:23" x14ac:dyDescent="0.2">
      <c r="A2773" s="15">
        <v>45604</v>
      </c>
      <c r="B2773" s="5">
        <v>-12202272580746</v>
      </c>
      <c r="C2773" s="5">
        <f>[1]!nefin_factors__1[[#This Row],[Rm_minus_Rf]]/B2772-1</f>
        <v>-0.98432280352451285</v>
      </c>
      <c r="D2773" s="5">
        <v>696594441956971</v>
      </c>
      <c r="E2773" s="5">
        <f>[1]!nefin_factors__1[[#This Row],[SMB]]/D2772-1</f>
        <v>-7.0524785501020721</v>
      </c>
      <c r="F2773" s="5">
        <v>-321267229752733</v>
      </c>
      <c r="G2773" s="5">
        <f>[1]!nefin_factors__1[[#This Row],[HML]]/F2772-1</f>
        <v>-1.3670986401892486</v>
      </c>
      <c r="H2773" s="5">
        <v>42314400437693</v>
      </c>
      <c r="I2773" s="6">
        <f>[1]!nefin_factors__1[[#This Row],[Risk_Free]]/H2772-1</f>
        <v>-0.89983103488568272</v>
      </c>
      <c r="J2773">
        <v>126135</v>
      </c>
      <c r="K2773">
        <v>126473</v>
      </c>
      <c r="L2773">
        <v>125566</v>
      </c>
      <c r="M2773">
        <v>125970</v>
      </c>
      <c r="N2773">
        <v>9548900</v>
      </c>
      <c r="O2773">
        <v>125970</v>
      </c>
      <c r="P2773">
        <v>-1.3081222499702299E-3</v>
      </c>
      <c r="Q2773">
        <v>-1.30897858875935E-3</v>
      </c>
      <c r="R2773" s="8">
        <v>1.9800000190734901</v>
      </c>
      <c r="S2773" s="8">
        <v>5.0761372172727403E-3</v>
      </c>
      <c r="T2773" s="9">
        <v>5.0632970666615101E-3</v>
      </c>
      <c r="U2773" s="12">
        <v>4.5512999999999998E-2</v>
      </c>
      <c r="V2773" s="16">
        <v>6.1612</v>
      </c>
      <c r="W2773" s="17">
        <f t="shared" si="43"/>
        <v>1.368871339256339E-2</v>
      </c>
    </row>
    <row r="2774" spans="1:23" x14ac:dyDescent="0.2">
      <c r="A2774" s="14">
        <v>45607</v>
      </c>
      <c r="B2774" s="3">
        <v>11709694486536</v>
      </c>
      <c r="C2774" s="3">
        <f>[1]!nefin_factors__1[[#This Row],[Rm_minus_Rf]]/B2773-1</f>
        <v>-1.9596322659610768</v>
      </c>
      <c r="D2774" s="3">
        <v>557143633653934</v>
      </c>
      <c r="E2774" s="3">
        <f>[1]!nefin_factors__1[[#This Row],[SMB]]/D2773-1</f>
        <v>-0.20018937835804751</v>
      </c>
      <c r="F2774" s="3">
        <v>556702600444425</v>
      </c>
      <c r="G2774" s="3">
        <f>[1]!nefin_factors__1[[#This Row],[HML]]/F2773-1</f>
        <v>-2.7328334448331302</v>
      </c>
      <c r="H2774" s="3">
        <v>424927844735246</v>
      </c>
      <c r="I2774" s="4">
        <f>[1]!nefin_factors__1[[#This Row],[Risk_Free]]/H2773-1</f>
        <v>9.0421568151708218</v>
      </c>
      <c r="J2774">
        <v>125964</v>
      </c>
      <c r="K2774">
        <v>125964</v>
      </c>
      <c r="L2774">
        <v>124694</v>
      </c>
      <c r="M2774">
        <v>125147</v>
      </c>
      <c r="N2774">
        <v>9784500</v>
      </c>
      <c r="O2774">
        <v>125147</v>
      </c>
      <c r="P2774">
        <v>-6.53330157974119E-3</v>
      </c>
      <c r="Q2774">
        <v>-6.55473700826157E-3</v>
      </c>
      <c r="R2774" s="8">
        <v>1.91999995708466</v>
      </c>
      <c r="S2774" s="8">
        <v>-3.0303061318608802E-2</v>
      </c>
      <c r="T2774" s="9">
        <v>-3.0771690651569601E-2</v>
      </c>
      <c r="U2774" s="12">
        <v>4.5512999999999998E-2</v>
      </c>
      <c r="V2774" s="16">
        <v>6.1540999999999997</v>
      </c>
      <c r="W2774" s="17">
        <f t="shared" si="43"/>
        <v>-1.1523729143674277E-3</v>
      </c>
    </row>
    <row r="2775" spans="1:23" x14ac:dyDescent="0.2">
      <c r="A2775" s="15">
        <v>45608</v>
      </c>
      <c r="B2775" s="5">
        <v>-206873114796562</v>
      </c>
      <c r="C2775" s="5">
        <f>[1]!nefin_factors__1[[#This Row],[Rm_minus_Rf]]/B2774-1</f>
        <v>-18.666824274060108</v>
      </c>
      <c r="D2775" s="5">
        <v>-168342818045239</v>
      </c>
      <c r="E2775" s="5">
        <f>[1]!nefin_factors__1[[#This Row],[SMB]]/D2774-1</f>
        <v>-1.3021533548560729</v>
      </c>
      <c r="F2775" s="5">
        <v>-925396830403646</v>
      </c>
      <c r="G2775" s="5">
        <f>[1]!nefin_factors__1[[#This Row],[HML]]/F2774-1</f>
        <v>-2.6622822125581704</v>
      </c>
      <c r="H2775" s="5">
        <v>425641157396406</v>
      </c>
      <c r="I2775" s="6">
        <f>[1]!nefin_factors__1[[#This Row],[Risk_Free]]/H2774-1</f>
        <v>1.6786677314697407E-3</v>
      </c>
      <c r="J2775">
        <v>125146</v>
      </c>
      <c r="K2775">
        <v>125846</v>
      </c>
      <c r="L2775">
        <v>124637</v>
      </c>
      <c r="M2775">
        <v>125534</v>
      </c>
      <c r="N2775">
        <v>9957400</v>
      </c>
      <c r="O2775">
        <v>125534</v>
      </c>
      <c r="P2775">
        <v>3.0923633806643198E-3</v>
      </c>
      <c r="Q2775">
        <v>3.0875918593463898E-3</v>
      </c>
      <c r="R2775" s="8">
        <v>1.8200000524520901</v>
      </c>
      <c r="S2775" s="8">
        <v>-5.2083284826948101E-2</v>
      </c>
      <c r="T2775" s="9">
        <v>-5.3488633779416303E-2</v>
      </c>
      <c r="U2775" s="12">
        <v>4.5512999999999998E-2</v>
      </c>
      <c r="V2775" s="16">
        <v>6.1656000000000004</v>
      </c>
      <c r="W2775" s="17">
        <f t="shared" si="43"/>
        <v>1.8686729172423533E-3</v>
      </c>
    </row>
    <row r="2776" spans="1:23" x14ac:dyDescent="0.2">
      <c r="A2776" s="14">
        <v>45609</v>
      </c>
      <c r="B2776" s="3">
        <v>-174908610858882</v>
      </c>
      <c r="C2776" s="3">
        <f>[1]!nefin_factors__1[[#This Row],[Rm_minus_Rf]]/B2775-1</f>
        <v>-0.1545126053190321</v>
      </c>
      <c r="D2776" s="3">
        <v>-327620868262929</v>
      </c>
      <c r="E2776" s="3">
        <f>[1]!nefin_factors__1[[#This Row],[SMB]]/D2775-1</f>
        <v>0.9461529280975145</v>
      </c>
      <c r="F2776" s="3">
        <v>-446738487393726</v>
      </c>
      <c r="G2776" s="3">
        <f>[1]!nefin_factors__1[[#This Row],[HML]]/F2775-1</f>
        <v>-0.51724657712641564</v>
      </c>
      <c r="H2776" s="3">
        <v>426354342422108</v>
      </c>
      <c r="I2776" s="4">
        <f>[1]!nefin_factors__1[[#This Row],[Risk_Free]]/H2775-1</f>
        <v>1.6755546622053696E-3</v>
      </c>
      <c r="J2776">
        <v>125531</v>
      </c>
      <c r="K2776">
        <v>126399</v>
      </c>
      <c r="L2776">
        <v>125249</v>
      </c>
      <c r="M2776">
        <v>126225</v>
      </c>
      <c r="N2776">
        <v>10028600</v>
      </c>
      <c r="O2776">
        <v>126225</v>
      </c>
      <c r="P2776">
        <v>5.5044848407603802E-3</v>
      </c>
      <c r="Q2776">
        <v>5.4893905296830798E-3</v>
      </c>
      <c r="R2776" s="8">
        <v>1.8899999856948899</v>
      </c>
      <c r="S2776" s="8">
        <v>3.8461500673303103E-2</v>
      </c>
      <c r="T2776" s="9">
        <v>3.7740291594175301E-2</v>
      </c>
      <c r="U2776" s="12">
        <v>4.5512999999999998E-2</v>
      </c>
      <c r="V2776" s="16">
        <v>6.1990999999999996</v>
      </c>
      <c r="W2776" s="17">
        <f t="shared" si="43"/>
        <v>5.433372258985214E-3</v>
      </c>
    </row>
    <row r="2777" spans="1:23" x14ac:dyDescent="0.2">
      <c r="A2777" s="15">
        <v>45610</v>
      </c>
      <c r="B2777" s="5">
        <v>-116106890874976</v>
      </c>
      <c r="C2777" s="5">
        <f>[1]!nefin_factors__1[[#This Row],[Rm_minus_Rf]]/B2776-1</f>
        <v>-0.33618539244673218</v>
      </c>
      <c r="D2777" s="5">
        <v>212410132408228</v>
      </c>
      <c r="E2777" s="5">
        <f>[1]!nefin_factors__1[[#This Row],[SMB]]/D2776-1</f>
        <v>-1.6483412779364235</v>
      </c>
      <c r="F2777" s="5">
        <v>-427135649602656</v>
      </c>
      <c r="G2777" s="5">
        <f>[1]!nefin_factors__1[[#This Row],[HML]]/F2776-1</f>
        <v>-4.3879894712974044E-2</v>
      </c>
      <c r="H2777" s="5">
        <v>426354342422108</v>
      </c>
      <c r="I2777" s="6">
        <f>[1]!nefin_factors__1[[#This Row],[Risk_Free]]/H2776-1</f>
        <v>0</v>
      </c>
      <c r="J2777">
        <v>126219</v>
      </c>
      <c r="K2777">
        <v>126524</v>
      </c>
      <c r="L2777">
        <v>124320</v>
      </c>
      <c r="M2777">
        <v>124619</v>
      </c>
      <c r="N2777">
        <v>10952400</v>
      </c>
      <c r="O2777">
        <v>124619</v>
      </c>
      <c r="P2777">
        <v>-1.27233115468409E-2</v>
      </c>
      <c r="Q2777">
        <v>-1.28049460552573E-2</v>
      </c>
      <c r="R2777" s="8">
        <v>1.83000004291534</v>
      </c>
      <c r="S2777" s="8">
        <v>-3.1746001710937097E-2</v>
      </c>
      <c r="T2777" s="9">
        <v>-3.2260831198370102E-2</v>
      </c>
      <c r="U2777" s="12">
        <v>4.5512999999999998E-2</v>
      </c>
      <c r="V2777" s="16">
        <v>6.1923000000000004</v>
      </c>
      <c r="W2777" s="17">
        <f t="shared" si="43"/>
        <v>-1.096933425819735E-3</v>
      </c>
    </row>
    <row r="2778" spans="1:23" x14ac:dyDescent="0.2">
      <c r="A2778" s="14">
        <v>45614</v>
      </c>
      <c r="B2778" s="3">
        <v>-629731550744727</v>
      </c>
      <c r="C2778" s="3">
        <f>[1]!nefin_factors__1[[#This Row],[Rm_minus_Rf]]/B2777-1</f>
        <v>4.4237224509165651</v>
      </c>
      <c r="D2778" s="3">
        <v>163461312867688</v>
      </c>
      <c r="E2778" s="3">
        <f>[1]!nefin_factors__1[[#This Row],[SMB]]/D2777-1</f>
        <v>-0.23044484265216669</v>
      </c>
      <c r="F2778" s="3">
        <v>884311550564092</v>
      </c>
      <c r="G2778" s="3">
        <f>[1]!nefin_factors__1[[#This Row],[HML]]/F2777-1</f>
        <v>-3.0703295343920018</v>
      </c>
      <c r="H2778" s="3">
        <v>428136746882135</v>
      </c>
      <c r="I2778" s="4">
        <f>[1]!nefin_factors__1[[#This Row],[Risk_Free]]/H2777-1</f>
        <v>4.1805706725095426E-3</v>
      </c>
      <c r="J2778">
        <v>124619</v>
      </c>
      <c r="K2778">
        <v>126386</v>
      </c>
      <c r="L2778">
        <v>124619</v>
      </c>
      <c r="M2778">
        <v>125572</v>
      </c>
      <c r="N2778">
        <v>8908600</v>
      </c>
      <c r="O2778">
        <v>125572</v>
      </c>
      <c r="P2778">
        <v>7.6473089978252896E-3</v>
      </c>
      <c r="Q2778">
        <v>7.6182165554985002E-3</v>
      </c>
      <c r="R2778" s="8">
        <v>1.8600000143051101</v>
      </c>
      <c r="S2778" s="8">
        <v>1.63934266045032E-2</v>
      </c>
      <c r="T2778" s="9">
        <v>1.62605051116946E-2</v>
      </c>
      <c r="U2778" s="12">
        <v>4.5512999999999998E-2</v>
      </c>
      <c r="V2778" s="16">
        <v>6.1923000000000004</v>
      </c>
      <c r="W2778" s="17">
        <f t="shared" si="43"/>
        <v>0</v>
      </c>
    </row>
    <row r="2779" spans="1:23" x14ac:dyDescent="0.2">
      <c r="A2779" s="15">
        <v>45615</v>
      </c>
      <c r="B2779" s="5">
        <v>358684230904898</v>
      </c>
      <c r="C2779" s="5">
        <f>[1]!nefin_factors__1[[#This Row],[Rm_minus_Rf]]/B2778-1</f>
        <v>-1.5695827539222298</v>
      </c>
      <c r="D2779" s="5">
        <v>303544644092144</v>
      </c>
      <c r="E2779" s="5">
        <f>[1]!nefin_factors__1[[#This Row],[SMB]]/D2778-1</f>
        <v>0.85698156197879638</v>
      </c>
      <c r="F2779" s="5">
        <v>-111569570022593</v>
      </c>
      <c r="G2779" s="5">
        <f>[1]!nefin_factors__1[[#This Row],[HML]]/F2778-1</f>
        <v>-1.126165455999556</v>
      </c>
      <c r="H2779" s="5">
        <v>428849485544447</v>
      </c>
      <c r="I2779" s="6">
        <f>[1]!nefin_factors__1[[#This Row],[Risk_Free]]/H2778-1</f>
        <v>1.6647453588192196E-3</v>
      </c>
      <c r="J2779">
        <v>125571</v>
      </c>
      <c r="K2779">
        <v>126886</v>
      </c>
      <c r="L2779">
        <v>125570</v>
      </c>
      <c r="M2779">
        <v>126522</v>
      </c>
      <c r="N2779">
        <v>11242800</v>
      </c>
      <c r="O2779">
        <v>126522</v>
      </c>
      <c r="P2779">
        <v>7.56538081737967E-3</v>
      </c>
      <c r="Q2779">
        <v>7.5369068447123299E-3</v>
      </c>
      <c r="R2779" s="8">
        <v>1.9400000572204601</v>
      </c>
      <c r="S2779" s="8">
        <v>4.3010775430145198E-2</v>
      </c>
      <c r="T2779" s="9">
        <v>4.21115071542865E-2</v>
      </c>
      <c r="U2779" s="12">
        <v>4.5512999999999998E-2</v>
      </c>
      <c r="V2779" s="16">
        <v>6.2085999999999997</v>
      </c>
      <c r="W2779" s="17">
        <f t="shared" si="43"/>
        <v>2.6323014065854355E-3</v>
      </c>
    </row>
    <row r="2780" spans="1:23" x14ac:dyDescent="0.2">
      <c r="A2780" s="14">
        <v>45617</v>
      </c>
      <c r="B2780" s="3">
        <v>-103571850138441</v>
      </c>
      <c r="C2780" s="3">
        <f>[1]!nefin_factors__1[[#This Row],[Rm_minus_Rf]]/B2779-1</f>
        <v>-1.2887549583017552</v>
      </c>
      <c r="D2780" s="3">
        <v>-563301440428911</v>
      </c>
      <c r="E2780" s="3">
        <f>[1]!nefin_factors__1[[#This Row],[SMB]]/D2779-1</f>
        <v>-2.855744950182403</v>
      </c>
      <c r="F2780" s="3">
        <v>-381500215919816</v>
      </c>
      <c r="G2780" s="3">
        <f>[1]!nefin_factors__1[[#This Row],[HML]]/F2779-1</f>
        <v>2.4193930822047771</v>
      </c>
      <c r="H2780" s="3">
        <v>429562096776914</v>
      </c>
      <c r="I2780" s="4">
        <f>[1]!nefin_factors__1[[#This Row],[Risk_Free]]/H2779-1</f>
        <v>1.6616814441605676E-3</v>
      </c>
      <c r="J2780">
        <v>126513</v>
      </c>
      <c r="K2780">
        <v>126513</v>
      </c>
      <c r="L2780">
        <v>124116</v>
      </c>
      <c r="M2780">
        <v>124380</v>
      </c>
      <c r="N2780">
        <v>14625100</v>
      </c>
      <c r="O2780">
        <v>124380</v>
      </c>
      <c r="P2780">
        <v>-1.6929862000284599E-2</v>
      </c>
      <c r="Q2780">
        <v>-1.70748104141898E-2</v>
      </c>
      <c r="R2780" s="8">
        <v>1.83000004291534</v>
      </c>
      <c r="S2780" s="8">
        <v>-5.6701036629203803E-2</v>
      </c>
      <c r="T2780" s="9">
        <v>-5.8372012265981203E-2</v>
      </c>
      <c r="U2780" s="12">
        <v>4.5512999999999998E-2</v>
      </c>
      <c r="V2780" s="16">
        <v>6.1562999999999999</v>
      </c>
      <c r="W2780" s="17">
        <f t="shared" si="43"/>
        <v>-8.4237992462068423E-3</v>
      </c>
    </row>
    <row r="2781" spans="1:23" x14ac:dyDescent="0.2">
      <c r="A2781" s="15">
        <v>45618</v>
      </c>
      <c r="B2781" s="5">
        <v>170189097134284</v>
      </c>
      <c r="C2781" s="5">
        <f>[1]!nefin_factors__1[[#This Row],[Rm_minus_Rf]]/B2780-1</f>
        <v>-2.6431983874653007</v>
      </c>
      <c r="D2781" s="5">
        <v>189991774689986</v>
      </c>
      <c r="E2781" s="5">
        <f>[1]!nefin_factors__1[[#This Row],[SMB]]/D2780-1</f>
        <v>-1.3372826004941898</v>
      </c>
      <c r="F2781" s="5">
        <v>562279708141318</v>
      </c>
      <c r="G2781" s="5">
        <f>[1]!nefin_factors__1[[#This Row],[HML]]/F2780-1</f>
        <v>-2.4738647179678095</v>
      </c>
      <c r="H2781" s="5">
        <v>430630774794993</v>
      </c>
      <c r="I2781" s="6">
        <f>[1]!nefin_factors__1[[#This Row],[Risk_Free]]/H2780-1</f>
        <v>2.4878312730509666E-3</v>
      </c>
      <c r="J2781">
        <v>124372</v>
      </c>
      <c r="K2781">
        <v>124853</v>
      </c>
      <c r="L2781">
        <v>123778</v>
      </c>
      <c r="M2781">
        <v>124850</v>
      </c>
      <c r="N2781">
        <v>9048100</v>
      </c>
      <c r="O2781">
        <v>124850</v>
      </c>
      <c r="P2781">
        <v>3.77874256311306E-3</v>
      </c>
      <c r="Q2781">
        <v>3.77162105003902E-3</v>
      </c>
      <c r="R2781" s="8">
        <v>1.8500000238418599</v>
      </c>
      <c r="S2781" s="8">
        <v>1.0928951069668799E-2</v>
      </c>
      <c r="T2781" s="9">
        <v>1.0869661673387101E-2</v>
      </c>
      <c r="U2781" s="12">
        <v>4.5512999999999998E-2</v>
      </c>
      <c r="V2781" s="16">
        <v>6.1119000000000003</v>
      </c>
      <c r="W2781" s="17">
        <f t="shared" si="43"/>
        <v>-7.2121241654888868E-3</v>
      </c>
    </row>
    <row r="2782" spans="1:23" x14ac:dyDescent="0.2">
      <c r="A2782" s="14">
        <v>45621</v>
      </c>
      <c r="B2782" s="3">
        <v>-150223116133841</v>
      </c>
      <c r="C2782" s="3">
        <f>[1]!nefin_factors__1[[#This Row],[Rm_minus_Rf]]/B2781-1</f>
        <v>-1.8826835482610895</v>
      </c>
      <c r="D2782" s="3">
        <v>112569774114191</v>
      </c>
      <c r="E2782" s="3">
        <f>[1]!nefin_factors__1[[#This Row],[SMB]]/D2781-1</f>
        <v>-0.40750185476253531</v>
      </c>
      <c r="F2782" s="3">
        <v>487219999603853</v>
      </c>
      <c r="G2782" s="3">
        <f>[1]!nefin_factors__1[[#This Row],[HML]]/F2781-1</f>
        <v>-0.13349176121895578</v>
      </c>
      <c r="H2782" s="3">
        <v>431699166352884</v>
      </c>
      <c r="I2782" s="4">
        <f>[1]!nefin_factors__1[[#This Row],[Risk_Free]]/H2781-1</f>
        <v>2.4809921176665028E-3</v>
      </c>
      <c r="J2782">
        <v>124849</v>
      </c>
      <c r="K2782">
        <v>128482</v>
      </c>
      <c r="L2782">
        <v>124849</v>
      </c>
      <c r="M2782">
        <v>128219</v>
      </c>
      <c r="N2782">
        <v>12560100</v>
      </c>
      <c r="O2782">
        <v>128219</v>
      </c>
      <c r="P2782">
        <v>2.6984381257508998E-2</v>
      </c>
      <c r="Q2782">
        <v>2.6626722707611E-2</v>
      </c>
      <c r="R2782" s="8">
        <v>1.9800000190734901</v>
      </c>
      <c r="S2782" s="8">
        <v>7.0270266787164595E-2</v>
      </c>
      <c r="T2782" s="9">
        <v>6.7911202361793502E-2</v>
      </c>
      <c r="U2782" s="12">
        <v>4.5512999999999998E-2</v>
      </c>
      <c r="V2782" s="16">
        <v>6.0740999999999996</v>
      </c>
      <c r="W2782" s="17">
        <f t="shared" si="43"/>
        <v>-6.1846561625682472E-3</v>
      </c>
    </row>
    <row r="2783" spans="1:23" x14ac:dyDescent="0.2">
      <c r="A2783" s="15">
        <v>45622</v>
      </c>
      <c r="B2783" s="5">
        <v>712291493103845</v>
      </c>
      <c r="C2783" s="5">
        <f>[1]!nefin_factors__1[[#This Row],[Rm_minus_Rf]]/B2782-1</f>
        <v>-5.741557168000897</v>
      </c>
      <c r="D2783" s="5">
        <v>436173375304653</v>
      </c>
      <c r="E2783" s="5">
        <f>[1]!nefin_factors__1[[#This Row],[SMB]]/D2782-1</f>
        <v>2.8746935288525841</v>
      </c>
      <c r="F2783" s="5">
        <v>195952574504531</v>
      </c>
      <c r="G2783" s="5">
        <f>[1]!nefin_factors__1[[#This Row],[HML]]/F2782-1</f>
        <v>-0.5978150021266464</v>
      </c>
      <c r="H2783" s="5">
        <v>43205523324108</v>
      </c>
      <c r="I2783" s="6">
        <f>[1]!nefin_factors__1[[#This Row],[Risk_Free]]/H2782-1</f>
        <v>-0.89991751967204292</v>
      </c>
      <c r="J2783">
        <v>128229</v>
      </c>
      <c r="K2783">
        <v>129534</v>
      </c>
      <c r="L2783">
        <v>128229</v>
      </c>
      <c r="M2783">
        <v>128869</v>
      </c>
      <c r="N2783">
        <v>7032800</v>
      </c>
      <c r="O2783">
        <v>128869</v>
      </c>
      <c r="P2783">
        <v>5.0694514853493198E-3</v>
      </c>
      <c r="Q2783">
        <v>5.0566450789039903E-3</v>
      </c>
      <c r="R2783" s="8">
        <v>2.0699999332428001</v>
      </c>
      <c r="S2783" s="8">
        <v>4.54545016678463E-2</v>
      </c>
      <c r="T2783" s="9">
        <v>4.4451720687903297E-2</v>
      </c>
      <c r="U2783" s="12">
        <v>4.5512999999999998E-2</v>
      </c>
      <c r="V2783" s="16">
        <v>6.1321000000000003</v>
      </c>
      <c r="W2783" s="17">
        <f t="shared" si="43"/>
        <v>9.5487397309890198E-3</v>
      </c>
    </row>
    <row r="2784" spans="1:23" x14ac:dyDescent="0.2">
      <c r="A2784" s="14">
        <v>45623</v>
      </c>
      <c r="B2784" s="3">
        <v>-173898859069222</v>
      </c>
      <c r="C2784" s="3">
        <f>[1]!nefin_factors__1[[#This Row],[Rm_minus_Rf]]/B2783-1</f>
        <v>-1.2441400195746397</v>
      </c>
      <c r="D2784" s="3">
        <v>-952981356531241</v>
      </c>
      <c r="E2784" s="3">
        <f>[1]!nefin_factors__1[[#This Row],[SMB]]/D2783-1</f>
        <v>-3.1848682438849329</v>
      </c>
      <c r="F2784" s="3">
        <v>148101136371689</v>
      </c>
      <c r="G2784" s="3">
        <f>[1]!nefin_factors__1[[#This Row],[HML]]/F2783-1</f>
        <v>-0.24419907854660794</v>
      </c>
      <c r="H2784" s="3">
        <v>434190966840831</v>
      </c>
      <c r="I2784" s="4">
        <f>[1]!nefin_factors__1[[#This Row],[Risk_Free]]/H2783-1</f>
        <v>9.0494319576626747</v>
      </c>
      <c r="J2784">
        <v>128553</v>
      </c>
      <c r="K2784">
        <v>129294</v>
      </c>
      <c r="L2784">
        <v>128012</v>
      </c>
      <c r="M2784">
        <v>128532</v>
      </c>
      <c r="N2784">
        <v>10994100</v>
      </c>
      <c r="O2784">
        <v>128532</v>
      </c>
      <c r="P2784">
        <v>-2.61505870302403E-3</v>
      </c>
      <c r="Q2784">
        <v>-2.61848394180428E-3</v>
      </c>
      <c r="R2784" s="8">
        <v>2.03999996185303</v>
      </c>
      <c r="S2784" s="8">
        <v>-1.44927402692103E-2</v>
      </c>
      <c r="T2784" s="9">
        <v>-1.45987858707927E-2</v>
      </c>
      <c r="U2784" s="12">
        <v>4.5512999999999998E-2</v>
      </c>
      <c r="V2784" s="16">
        <v>6.0895999999999999</v>
      </c>
      <c r="W2784" s="17">
        <f t="shared" si="43"/>
        <v>-6.9307415078032619E-3</v>
      </c>
    </row>
    <row r="2785" spans="1:23" x14ac:dyDescent="0.2">
      <c r="A2785" s="15">
        <v>45624</v>
      </c>
      <c r="B2785" s="5">
        <v>-230514637598622</v>
      </c>
      <c r="C2785" s="5">
        <f>[1]!nefin_factors__1[[#This Row],[Rm_minus_Rf]]/B2784-1</f>
        <v>0.32556727992599188</v>
      </c>
      <c r="D2785" s="5">
        <v>-261831771919463</v>
      </c>
      <c r="E2785" s="5">
        <f>[1]!nefin_factors__1[[#This Row],[SMB]]/D2784-1</f>
        <v>-0.72524984867227094</v>
      </c>
      <c r="F2785" s="5">
        <v>-674739282083555</v>
      </c>
      <c r="G2785" s="5">
        <f>[1]!nefin_factors__1[[#This Row],[HML]]/F2784-1</f>
        <v>-5.5559358868804605</v>
      </c>
      <c r="H2785" s="5">
        <v>435614153725616</v>
      </c>
      <c r="I2785" s="6">
        <f>[1]!nefin_factors__1[[#This Row],[Risk_Free]]/H2784-1</f>
        <v>3.2777901740796977E-3</v>
      </c>
      <c r="J2785">
        <v>128528</v>
      </c>
      <c r="K2785">
        <v>128528</v>
      </c>
      <c r="L2785">
        <v>127028</v>
      </c>
      <c r="M2785">
        <v>127309</v>
      </c>
      <c r="N2785">
        <v>9295100</v>
      </c>
      <c r="O2785">
        <v>127309</v>
      </c>
      <c r="P2785">
        <v>-9.5151401985498207E-3</v>
      </c>
      <c r="Q2785">
        <v>-9.5606983702987893E-3</v>
      </c>
      <c r="R2785" s="8">
        <v>1.8500000238418599</v>
      </c>
      <c r="S2785" s="8">
        <v>-9.3137226256898395E-2</v>
      </c>
      <c r="T2785" s="9">
        <v>-9.7764137178904295E-2</v>
      </c>
      <c r="U2785" s="12">
        <v>4.5512999999999998E-2</v>
      </c>
      <c r="V2785" s="16">
        <v>6.0964999999999998</v>
      </c>
      <c r="W2785" s="17">
        <f t="shared" si="43"/>
        <v>1.1330793483972368E-3</v>
      </c>
    </row>
    <row r="2786" spans="1:23" x14ac:dyDescent="0.2">
      <c r="A2786" s="14">
        <v>45625</v>
      </c>
      <c r="B2786" s="3">
        <v>866441853179923</v>
      </c>
      <c r="C2786" s="3">
        <f>[1]!nefin_factors__1[[#This Row],[Rm_minus_Rf]]/B2785-1</f>
        <v>-4.758728132000857</v>
      </c>
      <c r="D2786" s="3">
        <v>875509355804354</v>
      </c>
      <c r="E2786" s="3">
        <f>[1]!nefin_factors__1[[#This Row],[SMB]]/D2785-1</f>
        <v>-4.3437857804119071</v>
      </c>
      <c r="F2786" s="3">
        <v>317843271907813</v>
      </c>
      <c r="G2786" s="3">
        <f>[1]!nefin_factors__1[[#This Row],[HML]]/F2785-1</f>
        <v>-1.4710608680234709</v>
      </c>
      <c r="H2786" s="3">
        <v>437747981688608</v>
      </c>
      <c r="I2786" s="4">
        <f>[1]!nefin_factors__1[[#This Row],[Risk_Free]]/H2785-1</f>
        <v>4.898435794021605E-3</v>
      </c>
      <c r="J2786">
        <v>127309</v>
      </c>
      <c r="K2786">
        <v>127871</v>
      </c>
      <c r="L2786">
        <v>127063</v>
      </c>
      <c r="M2786">
        <v>127601</v>
      </c>
      <c r="N2786">
        <v>10640300</v>
      </c>
      <c r="O2786">
        <v>127601</v>
      </c>
      <c r="P2786">
        <v>2.2936320291573301E-3</v>
      </c>
      <c r="Q2786">
        <v>2.2910056703818299E-3</v>
      </c>
      <c r="R2786" s="8">
        <v>1.8099999427795399</v>
      </c>
      <c r="S2786" s="8">
        <v>-2.16216651604412E-2</v>
      </c>
      <c r="T2786" s="9">
        <v>-2.1858838313503499E-2</v>
      </c>
      <c r="U2786" s="12">
        <v>4.5512999999999998E-2</v>
      </c>
      <c r="V2786" s="16">
        <v>6.1078999999999999</v>
      </c>
      <c r="W2786" s="17">
        <f t="shared" si="43"/>
        <v>1.8699253670138027E-3</v>
      </c>
    </row>
    <row r="2787" spans="1:23" x14ac:dyDescent="0.2">
      <c r="A2787" s="15">
        <v>45628</v>
      </c>
      <c r="B2787" s="5">
        <v>-268246046126337</v>
      </c>
      <c r="C2787" s="5">
        <f>[1]!nefin_factors__1[[#This Row],[Rm_minus_Rf]]/B2786-1</f>
        <v>-1.3095949775993032</v>
      </c>
      <c r="D2787" s="5">
        <v>-461553549097227</v>
      </c>
      <c r="E2787" s="5">
        <f>[1]!nefin_factors__1[[#This Row],[SMB]]/D2786-1</f>
        <v>-1.527182886210491</v>
      </c>
      <c r="F2787" s="5">
        <v>-409738727643062</v>
      </c>
      <c r="G2787" s="5">
        <f>[1]!nefin_factors__1[[#This Row],[HML]]/F2786-1</f>
        <v>-2.2891219159167928</v>
      </c>
      <c r="H2787" s="5">
        <v>437747981688608</v>
      </c>
      <c r="I2787" s="6">
        <f>[1]!nefin_factors__1[[#This Row],[Risk_Free]]/H2786-1</f>
        <v>0</v>
      </c>
      <c r="J2787">
        <v>127601</v>
      </c>
      <c r="K2787">
        <v>127654</v>
      </c>
      <c r="L2787">
        <v>126483</v>
      </c>
      <c r="M2787">
        <v>127128</v>
      </c>
      <c r="N2787">
        <v>11093300</v>
      </c>
      <c r="O2787">
        <v>127128</v>
      </c>
      <c r="P2787">
        <v>-3.7068675010384399E-3</v>
      </c>
      <c r="Q2787">
        <v>-3.71375496024086E-3</v>
      </c>
      <c r="R2787" s="8">
        <v>1.8400000333786</v>
      </c>
      <c r="S2787" s="8">
        <v>1.65746362140708E-2</v>
      </c>
      <c r="T2787" s="9">
        <v>1.64387760972175E-2</v>
      </c>
      <c r="U2787" s="12">
        <v>4.5512999999999998E-2</v>
      </c>
      <c r="V2787" s="16">
        <v>6.0670999999999999</v>
      </c>
      <c r="W2787" s="17">
        <f t="shared" si="43"/>
        <v>-6.6798736063131692E-3</v>
      </c>
    </row>
    <row r="2788" spans="1:23" x14ac:dyDescent="0.2">
      <c r="A2788" s="14">
        <v>45629</v>
      </c>
      <c r="B2788" s="3">
        <v>985438210793384</v>
      </c>
      <c r="C2788" s="3">
        <f>[1]!nefin_factors__1[[#This Row],[Rm_minus_Rf]]/B2787-1</f>
        <v>-4.6736355484966516</v>
      </c>
      <c r="D2788" s="3">
        <v>-932745588343673</v>
      </c>
      <c r="E2788" s="3">
        <f>[1]!nefin_factors__1[[#This Row],[SMB]]/D2787-1</f>
        <v>1.020882712673473</v>
      </c>
      <c r="F2788" s="3">
        <v>-533224047875271</v>
      </c>
      <c r="G2788" s="3">
        <f>[1]!nefin_factors__1[[#This Row],[HML]]/F2787-1</f>
        <v>0.30137575948100626</v>
      </c>
      <c r="H2788" s="3">
        <v>439169899284275</v>
      </c>
      <c r="I2788" s="4">
        <f>[1]!nefin_factors__1[[#This Row],[Risk_Free]]/H2787-1</f>
        <v>3.2482562002500437E-3</v>
      </c>
      <c r="J2788">
        <v>127129</v>
      </c>
      <c r="K2788">
        <v>127275</v>
      </c>
      <c r="L2788">
        <v>125162</v>
      </c>
      <c r="M2788">
        <v>125401</v>
      </c>
      <c r="N2788">
        <v>10148900</v>
      </c>
      <c r="O2788">
        <v>125401</v>
      </c>
      <c r="P2788">
        <v>-1.3584733496948E-2</v>
      </c>
      <c r="Q2788">
        <v>-1.3677850261652301E-2</v>
      </c>
      <c r="R2788" s="8">
        <v>1.7599999904632599</v>
      </c>
      <c r="S2788" s="8">
        <v>-4.3478283404402199E-2</v>
      </c>
      <c r="T2788" s="9">
        <v>-4.44517861299819E-2</v>
      </c>
      <c r="U2788" s="12">
        <v>4.5512999999999998E-2</v>
      </c>
      <c r="V2788" s="16">
        <v>6.0377000000000001</v>
      </c>
      <c r="W2788" s="17">
        <f t="shared" si="43"/>
        <v>-4.8458077170311364E-3</v>
      </c>
    </row>
    <row r="2789" spans="1:23" x14ac:dyDescent="0.2">
      <c r="A2789" s="15">
        <v>45630</v>
      </c>
      <c r="B2789" s="5">
        <v>595918736022705</v>
      </c>
      <c r="C2789" s="5">
        <f>[1]!nefin_factors__1[[#This Row],[Rm_minus_Rf]]/B2788-1</f>
        <v>-0.3952753917032239</v>
      </c>
      <c r="D2789" s="5">
        <v>-722362606146351</v>
      </c>
      <c r="E2789" s="5">
        <f>[1]!nefin_factors__1[[#This Row],[SMB]]/D2788-1</f>
        <v>-0.2255523744378255</v>
      </c>
      <c r="F2789" s="5">
        <v>-424913533758723</v>
      </c>
      <c r="G2789" s="5">
        <f>[1]!nefin_factors__1[[#This Row],[HML]]/F2788-1</f>
        <v>-0.20312383612129103</v>
      </c>
      <c r="H2789" s="5">
        <v>442012213595966</v>
      </c>
      <c r="I2789" s="6">
        <f>[1]!nefin_factors__1[[#This Row],[Risk_Free]]/H2788-1</f>
        <v>6.4720153096173849E-3</v>
      </c>
      <c r="J2789">
        <v>125401</v>
      </c>
      <c r="K2789">
        <v>126718</v>
      </c>
      <c r="L2789">
        <v>125382</v>
      </c>
      <c r="M2789">
        <v>125980</v>
      </c>
      <c r="N2789">
        <v>11078000</v>
      </c>
      <c r="O2789">
        <v>125980</v>
      </c>
      <c r="P2789">
        <v>4.6171880607013297E-3</v>
      </c>
      <c r="Q2789">
        <v>4.6065615451000097E-3</v>
      </c>
      <c r="R2789" s="8">
        <v>1.83000004291534</v>
      </c>
      <c r="S2789" s="8">
        <v>3.9772757290562399E-2</v>
      </c>
      <c r="T2789" s="9">
        <v>3.9002186672880697E-2</v>
      </c>
      <c r="U2789" s="12">
        <v>4.5512999999999998E-2</v>
      </c>
      <c r="V2789" s="16">
        <v>6.0321999999999996</v>
      </c>
      <c r="W2789" s="17">
        <f t="shared" si="43"/>
        <v>-9.1094290872362205E-4</v>
      </c>
    </row>
    <row r="2790" spans="1:23" x14ac:dyDescent="0.2">
      <c r="A2790" s="14">
        <v>45631</v>
      </c>
      <c r="B2790" s="3">
        <v>129553154208476</v>
      </c>
      <c r="C2790" s="3">
        <f>[1]!nefin_factors__1[[#This Row],[Rm_minus_Rf]]/B2789-1</f>
        <v>-0.7825992935326338</v>
      </c>
      <c r="D2790" s="3">
        <v>-266460325737719</v>
      </c>
      <c r="E2790" s="3">
        <f>[1]!nefin_factors__1[[#This Row],[SMB]]/D2789-1</f>
        <v>-0.63112663436549199</v>
      </c>
      <c r="F2790" s="3">
        <v>288422873526411</v>
      </c>
      <c r="G2790" s="3">
        <f>[1]!nefin_factors__1[[#This Row],[HML]]/F2789-1</f>
        <v>-1.6787801531644906</v>
      </c>
      <c r="H2790" s="3">
        <v>44236736041281</v>
      </c>
      <c r="I2790" s="4">
        <f>[1]!nefin_factors__1[[#This Row],[Risk_Free]]/H2789-1</f>
        <v>-0.89991965226165249</v>
      </c>
      <c r="J2790">
        <v>125980</v>
      </c>
      <c r="K2790">
        <v>126563</v>
      </c>
      <c r="L2790">
        <v>124732</v>
      </c>
      <c r="M2790">
        <v>124769</v>
      </c>
      <c r="N2790">
        <v>11361800</v>
      </c>
      <c r="O2790">
        <v>124769</v>
      </c>
      <c r="P2790">
        <v>-9.6126369264962798E-3</v>
      </c>
      <c r="Q2790">
        <v>-9.6591365501059508E-3</v>
      </c>
      <c r="R2790" s="8">
        <v>1.75</v>
      </c>
      <c r="S2790" s="8">
        <v>-4.3715869420362097E-2</v>
      </c>
      <c r="T2790" s="9">
        <v>-4.47002023689144E-2</v>
      </c>
      <c r="U2790" s="12">
        <v>4.5512999999999998E-2</v>
      </c>
      <c r="V2790" s="16">
        <v>6.0609000000000002</v>
      </c>
      <c r="W2790" s="17">
        <f t="shared" si="43"/>
        <v>4.7577998076988592E-3</v>
      </c>
    </row>
    <row r="2791" spans="1:23" x14ac:dyDescent="0.2">
      <c r="A2791" s="15">
        <v>45632</v>
      </c>
      <c r="B2791" s="5">
        <v>-143433686838723</v>
      </c>
      <c r="C2791" s="5">
        <f>[1]!nefin_factors__1[[#This Row],[Rm_minus_Rf]]/B2790-1</f>
        <v>-2.1071416031130399</v>
      </c>
      <c r="D2791" s="5">
        <v>-656321108406626</v>
      </c>
      <c r="E2791" s="5">
        <f>[1]!nefin_factors__1[[#This Row],[SMB]]/D2790-1</f>
        <v>1.4631100580904226</v>
      </c>
      <c r="F2791" s="5">
        <v>9520581562294</v>
      </c>
      <c r="G2791" s="5">
        <f>[1]!nefin_factors__1[[#This Row],[HML]]/F2790-1</f>
        <v>-0.96699089276141548</v>
      </c>
      <c r="H2791" s="5">
        <v>445207396323477</v>
      </c>
      <c r="I2791" s="6">
        <f>[1]!nefin_factors__1[[#This Row],[Risk_Free]]/H2790-1</f>
        <v>9.0642008467355435</v>
      </c>
      <c r="J2791">
        <v>124768</v>
      </c>
      <c r="K2791">
        <v>125497</v>
      </c>
      <c r="L2791">
        <v>124352</v>
      </c>
      <c r="M2791">
        <v>124799</v>
      </c>
      <c r="N2791">
        <v>12554000</v>
      </c>
      <c r="O2791">
        <v>124799</v>
      </c>
      <c r="P2791">
        <v>2.40444341142343E-4</v>
      </c>
      <c r="Q2791">
        <v>2.40415439034555E-4</v>
      </c>
      <c r="R2791" s="8">
        <v>1.7599999904632599</v>
      </c>
      <c r="S2791" s="8">
        <v>5.7142802647181003E-3</v>
      </c>
      <c r="T2791" s="9">
        <v>5.6980156960335501E-3</v>
      </c>
      <c r="U2791" s="12">
        <v>4.5512999999999998E-2</v>
      </c>
      <c r="V2791" s="16">
        <v>6.0498000000000003</v>
      </c>
      <c r="W2791" s="17">
        <f t="shared" si="43"/>
        <v>-1.8314111765579399E-3</v>
      </c>
    </row>
    <row r="2792" spans="1:23" x14ac:dyDescent="0.2">
      <c r="A2792" s="14">
        <v>45635</v>
      </c>
      <c r="B2792" s="3">
        <v>687459147725745</v>
      </c>
      <c r="C2792" s="3">
        <f>[1]!nefin_factors__1[[#This Row],[Rm_minus_Rf]]/B2791-1</f>
        <v>-5.79287092786456</v>
      </c>
      <c r="D2792" s="3">
        <v>-17364588124237</v>
      </c>
      <c r="E2792" s="3">
        <f>[1]!nefin_factors__1[[#This Row],[SMB]]/D2791-1</f>
        <v>-0.97354254205476698</v>
      </c>
      <c r="F2792" s="3">
        <v>-1914407486826</v>
      </c>
      <c r="G2792" s="3">
        <f>[1]!nefin_factors__1[[#This Row],[HML]]/F2791-1</f>
        <v>-1.2010809396778825</v>
      </c>
      <c r="H2792" s="3">
        <v>449463659512483</v>
      </c>
      <c r="I2792" s="4">
        <f>[1]!nefin_factors__1[[#This Row],[Risk_Free]]/H2791-1</f>
        <v>9.5601807700280705E-3</v>
      </c>
      <c r="J2792">
        <v>124798</v>
      </c>
      <c r="K2792">
        <v>124916</v>
      </c>
      <c r="L2792">
        <v>122659</v>
      </c>
      <c r="M2792">
        <v>122799</v>
      </c>
      <c r="N2792">
        <v>24873800</v>
      </c>
      <c r="O2792">
        <v>122799</v>
      </c>
      <c r="P2792">
        <v>-1.6025769437255099E-2</v>
      </c>
      <c r="Q2792">
        <v>-1.6155570725302101E-2</v>
      </c>
      <c r="R2792" s="8">
        <v>1.7300000190734901</v>
      </c>
      <c r="S2792" s="8">
        <v>-1.7045438382004799E-2</v>
      </c>
      <c r="T2792" s="9">
        <v>-1.71923840966322E-2</v>
      </c>
      <c r="U2792" s="12">
        <v>4.5512999999999998E-2</v>
      </c>
      <c r="V2792" s="16">
        <v>6.0439999999999996</v>
      </c>
      <c r="W2792" s="17">
        <f t="shared" si="43"/>
        <v>-9.5870937882258644E-4</v>
      </c>
    </row>
    <row r="2793" spans="1:23" x14ac:dyDescent="0.2">
      <c r="A2793" s="15">
        <v>45636</v>
      </c>
      <c r="B2793" s="5">
        <v>820119575105082</v>
      </c>
      <c r="C2793" s="5">
        <f>[1]!nefin_factors__1[[#This Row],[Rm_minus_Rf]]/B2792-1</f>
        <v>0.19297208833165547</v>
      </c>
      <c r="D2793" s="5">
        <v>184864349106306</v>
      </c>
      <c r="E2793" s="5">
        <f>[1]!nefin_factors__1[[#This Row],[SMB]]/D2792-1</f>
        <v>-11.646054359808142</v>
      </c>
      <c r="F2793" s="5">
        <v>-775257754853862</v>
      </c>
      <c r="G2793" s="5">
        <f>[1]!nefin_factors__1[[#This Row],[HML]]/F2792-1</f>
        <v>403.95963382341546</v>
      </c>
      <c r="H2793" s="5">
        <v>450527015529056</v>
      </c>
      <c r="I2793" s="6">
        <f>[1]!nefin_factors__1[[#This Row],[Risk_Free]]/H2792-1</f>
        <v>2.3658331303721969E-3</v>
      </c>
      <c r="J2793">
        <v>122799</v>
      </c>
      <c r="K2793">
        <v>123364</v>
      </c>
      <c r="L2793">
        <v>122747</v>
      </c>
      <c r="M2793">
        <v>123047</v>
      </c>
      <c r="N2793">
        <v>9604100</v>
      </c>
      <c r="O2793">
        <v>123047</v>
      </c>
      <c r="P2793">
        <v>2.0195604198731702E-3</v>
      </c>
      <c r="Q2793">
        <v>2.01752384925238E-3</v>
      </c>
      <c r="R2793" s="8">
        <v>1.7300000190734901</v>
      </c>
      <c r="S2793" s="8">
        <v>0</v>
      </c>
      <c r="T2793" s="9">
        <v>0</v>
      </c>
      <c r="U2793" s="12">
        <v>4.5512999999999998E-2</v>
      </c>
      <c r="V2793" s="16">
        <v>5.9673999999999996</v>
      </c>
      <c r="W2793" s="17">
        <f t="shared" si="43"/>
        <v>-1.2673726009265418E-2</v>
      </c>
    </row>
    <row r="2794" spans="1:23" x14ac:dyDescent="0.2">
      <c r="A2794" s="14">
        <v>45637</v>
      </c>
      <c r="B2794" s="3">
        <v>128370567355331</v>
      </c>
      <c r="C2794" s="3">
        <f>[1]!nefin_factors__1[[#This Row],[Rm_minus_Rf]]/B2793-1</f>
        <v>-0.84347335284750047</v>
      </c>
      <c r="D2794" s="3">
        <v>952263781845396</v>
      </c>
      <c r="E2794" s="3">
        <f>[1]!nefin_factors__1[[#This Row],[SMB]]/D2793-1</f>
        <v>4.1511488637422351</v>
      </c>
      <c r="F2794" s="3">
        <v>-61033255774938</v>
      </c>
      <c r="G2794" s="3">
        <f>[1]!nefin_factors__1[[#This Row],[HML]]/F2793-1</f>
        <v>-0.92127359527484776</v>
      </c>
      <c r="H2794" s="3">
        <v>451944382408032</v>
      </c>
      <c r="I2794" s="4">
        <f>[1]!nefin_factors__1[[#This Row],[Risk_Free]]/H2793-1</f>
        <v>3.1460197282766611E-3</v>
      </c>
      <c r="J2794">
        <v>123048</v>
      </c>
      <c r="K2794">
        <v>124112</v>
      </c>
      <c r="L2794">
        <v>122681</v>
      </c>
      <c r="M2794">
        <v>123358</v>
      </c>
      <c r="N2794">
        <v>10060600</v>
      </c>
      <c r="O2794">
        <v>123358</v>
      </c>
      <c r="P2794">
        <v>2.5274894958837702E-3</v>
      </c>
      <c r="Q2794">
        <v>2.5243007661649602E-3</v>
      </c>
      <c r="R2794" s="8">
        <v>1.7799999713897701</v>
      </c>
      <c r="S2794" s="8">
        <v>2.8901706222559401E-2</v>
      </c>
      <c r="T2794" s="9">
        <v>2.8491928696006801E-2</v>
      </c>
      <c r="U2794" s="12">
        <v>4.5512999999999998E-2</v>
      </c>
      <c r="V2794" s="16">
        <v>5.9398999999999997</v>
      </c>
      <c r="W2794" s="17">
        <f t="shared" si="43"/>
        <v>-4.6083721553775714E-3</v>
      </c>
    </row>
    <row r="2795" spans="1:23" x14ac:dyDescent="0.2">
      <c r="A2795" s="15">
        <v>45638</v>
      </c>
      <c r="B2795" s="5">
        <v>-269186911005708</v>
      </c>
      <c r="C2795" s="5">
        <f>[1]!nefin_factors__1[[#This Row],[Rm_minus_Rf]]/B2794-1</f>
        <v>-3.0969519458506087</v>
      </c>
      <c r="D2795" s="5">
        <v>-28080708434658</v>
      </c>
      <c r="E2795" s="5">
        <f>[1]!nefin_factors__1[[#This Row],[SMB]]/D2794-1</f>
        <v>-1.0294883717831211</v>
      </c>
      <c r="F2795" s="5">
        <v>-173793938785211</v>
      </c>
      <c r="G2795" s="5">
        <f>[1]!nefin_factors__1[[#This Row],[HML]]/F2794-1</f>
        <v>1.8475285576453837</v>
      </c>
      <c r="H2795" s="5">
        <v>456193461474852</v>
      </c>
      <c r="I2795" s="6">
        <f>[1]!nefin_factors__1[[#This Row],[Risk_Free]]/H2794-1</f>
        <v>9.401774271825758E-3</v>
      </c>
      <c r="J2795">
        <v>123357</v>
      </c>
      <c r="K2795">
        <v>125822</v>
      </c>
      <c r="L2795">
        <v>122530</v>
      </c>
      <c r="M2795">
        <v>125035</v>
      </c>
      <c r="N2795">
        <v>9975600</v>
      </c>
      <c r="O2795">
        <v>125035</v>
      </c>
      <c r="P2795">
        <v>1.3594578381620899E-2</v>
      </c>
      <c r="Q2795">
        <v>1.35030011367902E-2</v>
      </c>
      <c r="R2795" s="8">
        <v>1.87000000476837</v>
      </c>
      <c r="S2795" s="8">
        <v>5.0561817317520401E-2</v>
      </c>
      <c r="T2795" s="9">
        <v>4.9325085185595599E-2</v>
      </c>
      <c r="U2795" s="12">
        <v>4.5512999999999998E-2</v>
      </c>
      <c r="V2795" s="16">
        <v>5.8925000000000001</v>
      </c>
      <c r="W2795" s="17">
        <f t="shared" si="43"/>
        <v>-7.9799323220929308E-3</v>
      </c>
    </row>
    <row r="2796" spans="1:23" x14ac:dyDescent="0.2">
      <c r="A2796" s="14">
        <v>45639</v>
      </c>
      <c r="B2796" s="3">
        <v>-863307711899989</v>
      </c>
      <c r="C2796" s="3">
        <f>[1]!nefin_factors__1[[#This Row],[Rm_minus_Rf]]/B2795-1</f>
        <v>2.2070939432923726</v>
      </c>
      <c r="D2796" s="3">
        <v>790988112262382</v>
      </c>
      <c r="E2796" s="3">
        <f>[1]!nefin_factors__1[[#This Row],[SMB]]/D2795-1</f>
        <v>-29.168381652584028</v>
      </c>
      <c r="F2796" s="3">
        <v>178013094151866</v>
      </c>
      <c r="G2796" s="3">
        <f>[1]!nefin_factors__1[[#This Row],[HML]]/F2795-1</f>
        <v>-2.024276769351947</v>
      </c>
      <c r="H2796" s="3">
        <v>456547347017944</v>
      </c>
      <c r="I2796" s="4">
        <f>[1]!nefin_factors__1[[#This Row],[Risk_Free]]/H2795-1</f>
        <v>7.7573567571076474E-4</v>
      </c>
      <c r="J2796">
        <v>125031</v>
      </c>
      <c r="K2796">
        <v>125031</v>
      </c>
      <c r="L2796">
        <v>123471</v>
      </c>
      <c r="M2796">
        <v>124519</v>
      </c>
      <c r="N2796">
        <v>9370800</v>
      </c>
      <c r="O2796">
        <v>124519</v>
      </c>
      <c r="P2796">
        <v>-4.1268444835446099E-3</v>
      </c>
      <c r="Q2796">
        <v>-4.1353834068763896E-3</v>
      </c>
      <c r="R2796" s="8">
        <v>1.8200000524520901</v>
      </c>
      <c r="S2796" s="8">
        <v>-2.67379423469453E-2</v>
      </c>
      <c r="T2796" s="9">
        <v>-2.7101903507894699E-2</v>
      </c>
      <c r="U2796" s="12">
        <v>4.5512999999999998E-2</v>
      </c>
      <c r="V2796" s="16">
        <v>5.9272</v>
      </c>
      <c r="W2796" s="17">
        <f t="shared" si="43"/>
        <v>5.8888417479847632E-3</v>
      </c>
    </row>
    <row r="2797" spans="1:23" x14ac:dyDescent="0.2">
      <c r="A2797" s="15">
        <v>45642</v>
      </c>
      <c r="B2797" s="5">
        <v>-89639066154824</v>
      </c>
      <c r="C2797" s="5">
        <f>[1]!nefin_factors__1[[#This Row],[Rm_minus_Rf]]/B2796-1</f>
        <v>-0.89616788438325878</v>
      </c>
      <c r="D2797" s="5">
        <v>-737296470288112</v>
      </c>
      <c r="E2797" s="5">
        <f>[1]!nefin_factors__1[[#This Row],[SMB]]/D2796-1</f>
        <v>-1.9321207978452404</v>
      </c>
      <c r="F2797" s="5">
        <v>905330349973602</v>
      </c>
      <c r="G2797" s="5">
        <f>[1]!nefin_factors__1[[#This Row],[HML]]/F2796-1</f>
        <v>4.0857514402915172</v>
      </c>
      <c r="H2797" s="5">
        <v>457255023859071</v>
      </c>
      <c r="I2797" s="6">
        <f>[1]!nefin_factors__1[[#This Row],[Risk_Free]]/H2796-1</f>
        <v>1.5500623226689658E-3</v>
      </c>
      <c r="J2797">
        <v>124519</v>
      </c>
      <c r="K2797">
        <v>124625</v>
      </c>
      <c r="L2797">
        <v>122636</v>
      </c>
      <c r="M2797">
        <v>123507</v>
      </c>
      <c r="N2797">
        <v>8810400</v>
      </c>
      <c r="O2797">
        <v>123507</v>
      </c>
      <c r="P2797">
        <v>-8.1272737493875997E-3</v>
      </c>
      <c r="Q2797">
        <v>-8.1604800790249597E-3</v>
      </c>
      <c r="R2797" s="8">
        <v>1.8500000238418599</v>
      </c>
      <c r="S2797" s="8">
        <v>1.6483500288558599E-2</v>
      </c>
      <c r="T2797" s="9">
        <v>1.6349122069192399E-2</v>
      </c>
      <c r="U2797" s="12">
        <v>4.5512999999999998E-2</v>
      </c>
      <c r="V2797" s="16">
        <v>5.8929999999999998</v>
      </c>
      <c r="W2797" s="17">
        <f t="shared" si="43"/>
        <v>-5.7700094479686825E-3</v>
      </c>
    </row>
    <row r="2798" spans="1:23" x14ac:dyDescent="0.2">
      <c r="A2798" s="14">
        <v>45643</v>
      </c>
      <c r="B2798" s="3">
        <v>662473251800109</v>
      </c>
      <c r="C2798" s="3">
        <f>[1]!nefin_factors__1[[#This Row],[Rm_minus_Rf]]/B2797-1</f>
        <v>-8.3904524022582923</v>
      </c>
      <c r="D2798" s="3">
        <v>-814413342560457</v>
      </c>
      <c r="E2798" s="3">
        <f>[1]!nefin_factors__1[[#This Row],[SMB]]/D2797-1</f>
        <v>0.10459411563737753</v>
      </c>
      <c r="F2798" s="3">
        <v>-514863861537049</v>
      </c>
      <c r="G2798" s="3">
        <f>[1]!nefin_factors__1[[#This Row],[HML]]/F2797-1</f>
        <v>-1.5687027520419057</v>
      </c>
      <c r="H2798" s="3">
        <v>458316303592055</v>
      </c>
      <c r="I2798" s="4">
        <f>[1]!nefin_factors__1[[#This Row],[Risk_Free]]/H2797-1</f>
        <v>2.3209799293777422E-3</v>
      </c>
      <c r="J2798">
        <v>123507</v>
      </c>
      <c r="K2798">
        <v>124048</v>
      </c>
      <c r="L2798">
        <v>122969</v>
      </c>
      <c r="M2798">
        <v>123864</v>
      </c>
      <c r="N2798">
        <v>8254800</v>
      </c>
      <c r="O2798">
        <v>123864</v>
      </c>
      <c r="P2798">
        <v>2.8905244237169602E-3</v>
      </c>
      <c r="Q2798">
        <v>2.8863548908202798E-3</v>
      </c>
      <c r="R2798" s="8">
        <v>1.8600000143051101</v>
      </c>
      <c r="S2798" s="8">
        <v>5.4054001807470903E-3</v>
      </c>
      <c r="T2798" s="9">
        <v>5.3908434383076603E-3</v>
      </c>
      <c r="U2798" s="12">
        <v>4.5512999999999998E-2</v>
      </c>
      <c r="V2798" s="16">
        <v>5.8596000000000004</v>
      </c>
      <c r="W2798" s="17">
        <f t="shared" si="43"/>
        <v>-5.667741388087455E-3</v>
      </c>
    </row>
    <row r="2799" spans="1:23" x14ac:dyDescent="0.2">
      <c r="A2799" s="15">
        <v>45644</v>
      </c>
      <c r="B2799" s="5">
        <v>-31401627428132</v>
      </c>
      <c r="C2799" s="5">
        <f>[1]!nefin_factors__1[[#This Row],[Rm_minus_Rf]]/B2798-1</f>
        <v>-1.0474005966924789</v>
      </c>
      <c r="D2799" s="5">
        <v>-164380205424229</v>
      </c>
      <c r="E2799" s="5">
        <f>[1]!nefin_factors__1[[#This Row],[SMB]]/D2798-1</f>
        <v>-0.79816120778740007</v>
      </c>
      <c r="F2799" s="5">
        <v>-805371852869407</v>
      </c>
      <c r="G2799" s="5">
        <f>[1]!nefin_factors__1[[#This Row],[HML]]/F2798-1</f>
        <v>0.56424234255845773</v>
      </c>
      <c r="H2799" s="5">
        <v>460438015708275</v>
      </c>
      <c r="I2799" s="6">
        <f>[1]!nefin_factors__1[[#This Row],[Risk_Free]]/H2798-1</f>
        <v>4.6293620794004564E-3</v>
      </c>
      <c r="J2799">
        <v>123863</v>
      </c>
      <c r="K2799">
        <v>125774</v>
      </c>
      <c r="L2799">
        <v>123590</v>
      </c>
      <c r="M2799">
        <v>125637</v>
      </c>
      <c r="N2799">
        <v>11259000</v>
      </c>
      <c r="O2799">
        <v>125637</v>
      </c>
      <c r="P2799">
        <v>1.4314086417361E-2</v>
      </c>
      <c r="Q2799">
        <v>1.42126071248914E-2</v>
      </c>
      <c r="R2799" s="8">
        <v>1.87000000476837</v>
      </c>
      <c r="S2799" s="8">
        <v>5.3763389173913101E-3</v>
      </c>
      <c r="T2799" s="9">
        <v>5.3619380003949004E-3</v>
      </c>
      <c r="U2799" s="12">
        <v>4.9036999999999997E-2</v>
      </c>
      <c r="V2799" s="16">
        <v>5.9005999999999998</v>
      </c>
      <c r="W2799" s="17">
        <f t="shared" si="43"/>
        <v>6.9970646460508767E-3</v>
      </c>
    </row>
    <row r="2800" spans="1:23" x14ac:dyDescent="0.2">
      <c r="A2800" s="14">
        <v>45645</v>
      </c>
      <c r="B2800" s="3">
        <v>809817161629992</v>
      </c>
      <c r="C2800" s="3">
        <f>[1]!nefin_factors__1[[#This Row],[Rm_minus_Rf]]/B2799-1</f>
        <v>-26.789018848892376</v>
      </c>
      <c r="D2800" s="3">
        <v>142789713315458</v>
      </c>
      <c r="E2800" s="3">
        <f>[1]!nefin_factors__1[[#This Row],[SMB]]/D2799-1</f>
        <v>-1.8686551580036617</v>
      </c>
      <c r="F2800" s="3">
        <v>693221887245131</v>
      </c>
      <c r="G2800" s="3">
        <f>[1]!nefin_factors__1[[#This Row],[HML]]/F2799-1</f>
        <v>-1.8607475972438021</v>
      </c>
      <c r="H2800" s="3">
        <v>459377300825015</v>
      </c>
      <c r="I2800" s="4">
        <f>[1]!nefin_factors__1[[#This Row],[Risk_Free]]/H2799-1</f>
        <v>-2.3037083105058587E-3</v>
      </c>
      <c r="J2800">
        <v>125647</v>
      </c>
      <c r="K2800">
        <v>129194</v>
      </c>
      <c r="L2800">
        <v>125647</v>
      </c>
      <c r="M2800">
        <v>128957</v>
      </c>
      <c r="N2800">
        <v>14572600</v>
      </c>
      <c r="O2800">
        <v>128957</v>
      </c>
      <c r="P2800">
        <v>2.6425336485271098E-2</v>
      </c>
      <c r="Q2800">
        <v>2.6082218821007402E-2</v>
      </c>
      <c r="R2800" s="8">
        <v>2.0199999809265101</v>
      </c>
      <c r="S2800" s="8">
        <v>8.0213890789119002E-2</v>
      </c>
      <c r="T2800" s="9">
        <v>7.71590685543668E-2</v>
      </c>
      <c r="U2800" s="12">
        <v>4.9036999999999997E-2</v>
      </c>
      <c r="V2800" s="16">
        <v>5.8300999999999998</v>
      </c>
      <c r="W2800" s="17">
        <f t="shared" si="43"/>
        <v>-1.1947937497881589E-2</v>
      </c>
    </row>
    <row r="2801" spans="1:23" x14ac:dyDescent="0.2">
      <c r="A2801" s="15">
        <v>45646</v>
      </c>
      <c r="B2801" s="5">
        <v>448809792671481</v>
      </c>
      <c r="C2801" s="5">
        <f>[1]!nefin_factors__1[[#This Row],[Rm_minus_Rf]]/B2800-1</f>
        <v>-0.44578873610418301</v>
      </c>
      <c r="D2801" s="5">
        <v>-367167245381383</v>
      </c>
      <c r="E2801" s="5">
        <f>[1]!nefin_factors__1[[#This Row],[SMB]]/D2800-1</f>
        <v>-3.571384428584286</v>
      </c>
      <c r="F2801" s="5">
        <v>-348423075778299</v>
      </c>
      <c r="G2801" s="5">
        <f>[1]!nefin_factors__1[[#This Row],[HML]]/F2800-1</f>
        <v>-1.5026140723325037</v>
      </c>
      <c r="H2801" s="5">
        <v>459023666460334</v>
      </c>
      <c r="I2801" s="6">
        <f>[1]!nefin_factors__1[[#This Row],[Risk_Free]]/H2800-1</f>
        <v>-7.6981244838592033E-4</v>
      </c>
      <c r="J2801">
        <v>128959</v>
      </c>
      <c r="K2801">
        <v>131313</v>
      </c>
      <c r="L2801">
        <v>128957</v>
      </c>
      <c r="M2801">
        <v>130834</v>
      </c>
      <c r="N2801">
        <v>11063200</v>
      </c>
      <c r="O2801">
        <v>130834</v>
      </c>
      <c r="P2801">
        <v>1.4555239343346999E-2</v>
      </c>
      <c r="Q2801">
        <v>1.4450328622338001E-2</v>
      </c>
      <c r="R2801" s="8">
        <v>2.0199999809265101</v>
      </c>
      <c r="S2801" s="8">
        <v>0</v>
      </c>
      <c r="T2801" s="9">
        <v>0</v>
      </c>
      <c r="U2801" s="12">
        <v>4.9036999999999997E-2</v>
      </c>
      <c r="V2801" s="16">
        <v>5.8686999999999996</v>
      </c>
      <c r="W2801" s="17">
        <f t="shared" si="43"/>
        <v>6.6208126790276989E-3</v>
      </c>
    </row>
    <row r="2802" spans="1:23" x14ac:dyDescent="0.2">
      <c r="A2802" s="14">
        <v>45649</v>
      </c>
      <c r="B2802" s="3">
        <v>-132607311980399</v>
      </c>
      <c r="C2802" s="3">
        <f>[1]!nefin_factors__1[[#This Row],[Rm_minus_Rf]]/B2801-1</f>
        <v>-1.2954643908081227</v>
      </c>
      <c r="D2802" s="3">
        <v>-114275617669229</v>
      </c>
      <c r="E2802" s="3">
        <f>[1]!nefin_factors__1[[#This Row],[SMB]]/D2801-1</f>
        <v>-0.68876412831833922</v>
      </c>
      <c r="F2802" s="3">
        <v>-949346027728167</v>
      </c>
      <c r="G2802" s="3">
        <f>[1]!nefin_factors__1[[#This Row],[HML]]/F2801-1</f>
        <v>1.724693321782838</v>
      </c>
      <c r="H2802" s="3">
        <v>461498448392383</v>
      </c>
      <c r="I2802" s="4">
        <f>[1]!nefin_factors__1[[#This Row],[Risk_Free]]/H2801-1</f>
        <v>5.3914037834537076E-3</v>
      </c>
      <c r="J2802">
        <v>130832</v>
      </c>
      <c r="K2802">
        <v>131834</v>
      </c>
      <c r="L2802">
        <v>130722</v>
      </c>
      <c r="M2802">
        <v>131475</v>
      </c>
      <c r="N2802">
        <v>10992400</v>
      </c>
      <c r="O2802">
        <v>131475</v>
      </c>
      <c r="P2802">
        <v>4.8993380925448403E-3</v>
      </c>
      <c r="Q2802">
        <v>4.8873753926354903E-3</v>
      </c>
      <c r="R2802" s="8">
        <v>1.95000004768372</v>
      </c>
      <c r="S2802" s="8">
        <v>-3.4653432625623599E-2</v>
      </c>
      <c r="T2802" s="9">
        <v>-3.52681049419507E-2</v>
      </c>
      <c r="U2802" s="12">
        <v>4.9036999999999997E-2</v>
      </c>
      <c r="V2802" s="16">
        <v>5.7927</v>
      </c>
      <c r="W2802" s="17">
        <f t="shared" si="43"/>
        <v>-1.295005708248842E-2</v>
      </c>
    </row>
    <row r="2803" spans="1:23" x14ac:dyDescent="0.2">
      <c r="A2803" s="15">
        <v>45652</v>
      </c>
      <c r="B2803" s="5">
        <v>122409047107161</v>
      </c>
      <c r="C2803" s="5">
        <f>[1]!nefin_factors__1[[#This Row],[Rm_minus_Rf]]/B2802-1</f>
        <v>-1.9230942493220478</v>
      </c>
      <c r="D2803" s="5">
        <v>-366559501588479</v>
      </c>
      <c r="E2803" s="5">
        <f>[1]!nefin_factors__1[[#This Row],[SMB]]/D2802-1</f>
        <v>2.2076790225670555</v>
      </c>
      <c r="F2803" s="5">
        <v>13509009363434</v>
      </c>
      <c r="G2803" s="5">
        <f>[1]!nefin_factors__1[[#This Row],[HML]]/F2802-1</f>
        <v>-1.014229805538621</v>
      </c>
      <c r="H2803" s="5">
        <v>462205246812397</v>
      </c>
      <c r="I2803" s="6">
        <f>[1]!nefin_factors__1[[#This Row],[Risk_Free]]/H2802-1</f>
        <v>1.5315293528637142E-3</v>
      </c>
      <c r="J2803">
        <v>131476</v>
      </c>
      <c r="K2803">
        <v>132984</v>
      </c>
      <c r="L2803">
        <v>131451</v>
      </c>
      <c r="M2803">
        <v>132508</v>
      </c>
      <c r="N2803">
        <v>12204900</v>
      </c>
      <c r="O2803">
        <v>132508</v>
      </c>
      <c r="P2803">
        <v>7.8570070355581407E-3</v>
      </c>
      <c r="Q2803">
        <v>7.8263014867202794E-3</v>
      </c>
      <c r="R2803" s="8">
        <v>2.0499999523162802</v>
      </c>
      <c r="S2803" s="8">
        <v>5.1282001121667697E-2</v>
      </c>
      <c r="T2803" s="9">
        <v>5.00103728611246E-2</v>
      </c>
      <c r="U2803" s="12">
        <v>4.9036999999999997E-2</v>
      </c>
      <c r="V2803" s="16">
        <v>5.7996999999999996</v>
      </c>
      <c r="W2803" s="17">
        <f t="shared" si="43"/>
        <v>1.208417490979885E-3</v>
      </c>
    </row>
    <row r="2804" spans="1:23" x14ac:dyDescent="0.2">
      <c r="A2804" s="14">
        <v>45653</v>
      </c>
      <c r="B2804" s="3">
        <v>-756260378809192</v>
      </c>
      <c r="C2804" s="3">
        <f>[1]!nefin_factors__1[[#This Row],[Rm_minus_Rf]]/B2803-1</f>
        <v>-7.1781412132645412</v>
      </c>
      <c r="D2804" s="3">
        <v>13923430194431</v>
      </c>
      <c r="E2804" s="3">
        <f>[1]!nefin_factors__1[[#This Row],[SMB]]/D2803-1</f>
        <v>-1.037984092989253</v>
      </c>
      <c r="F2804" s="3">
        <v>934428885369483</v>
      </c>
      <c r="G2804" s="3">
        <f>[1]!nefin_factors__1[[#This Row],[HML]]/F2803-1</f>
        <v>68.170792634046293</v>
      </c>
      <c r="H2804" s="3">
        <v>460438015708275</v>
      </c>
      <c r="I2804" s="4">
        <f>[1]!nefin_factors__1[[#This Row],[Risk_Free]]/H2803-1</f>
        <v>-3.8234769430025572E-3</v>
      </c>
      <c r="J2804">
        <v>132505</v>
      </c>
      <c r="K2804">
        <v>132713</v>
      </c>
      <c r="L2804">
        <v>131813</v>
      </c>
      <c r="M2804">
        <v>131955</v>
      </c>
      <c r="N2804">
        <v>14187500</v>
      </c>
      <c r="O2804">
        <v>131955</v>
      </c>
      <c r="P2804">
        <v>-4.1733329308418802E-3</v>
      </c>
      <c r="Q2804">
        <v>-4.1820655893805396E-3</v>
      </c>
      <c r="R2804" s="8">
        <v>2.0299999713897701</v>
      </c>
      <c r="S2804" s="8">
        <v>-9.7560884837659696E-3</v>
      </c>
      <c r="T2804" s="9">
        <v>-9.8039909299806102E-3</v>
      </c>
      <c r="U2804" s="12">
        <v>4.9036999999999997E-2</v>
      </c>
      <c r="V2804" s="16">
        <v>5.7855999999999996</v>
      </c>
      <c r="W2804" s="17">
        <f t="shared" si="43"/>
        <v>-2.4311602324258441E-3</v>
      </c>
    </row>
    <row r="2805" spans="1:23" x14ac:dyDescent="0.2">
      <c r="A2805" s="15">
        <v>45656</v>
      </c>
      <c r="B2805" s="5">
        <v>-822486565220121</v>
      </c>
      <c r="C2805" s="5">
        <f>[1]!nefin_factors__1[[#This Row],[Rm_minus_Rf]]/B2804-1</f>
        <v>8.7570614918645928E-2</v>
      </c>
      <c r="D2805" s="5">
        <v>343623029379289</v>
      </c>
      <c r="E2805" s="5">
        <f>[1]!nefin_factors__1[[#This Row],[SMB]]/D2804-1</f>
        <v>23.679480888030668</v>
      </c>
      <c r="F2805" s="5">
        <v>832810082210101</v>
      </c>
      <c r="G2805" s="5">
        <f>[1]!nefin_factors__1[[#This Row],[HML]]/F2804-1</f>
        <v>-0.10874963814844063</v>
      </c>
      <c r="H2805" s="5">
        <v>461145002177199</v>
      </c>
      <c r="I2805" s="6">
        <f>[1]!nefin_factors__1[[#This Row],[Risk_Free]]/H2804-1</f>
        <v>1.5354650241823364E-3</v>
      </c>
      <c r="J2805">
        <v>132005</v>
      </c>
      <c r="K2805">
        <v>132588</v>
      </c>
      <c r="L2805">
        <v>131776</v>
      </c>
      <c r="M2805">
        <v>132345</v>
      </c>
      <c r="N2805">
        <v>14192000</v>
      </c>
      <c r="O2805">
        <v>132345</v>
      </c>
      <c r="P2805">
        <v>2.9555530294418401E-3</v>
      </c>
      <c r="Q2805">
        <v>2.9511939694301702E-3</v>
      </c>
      <c r="R2805" s="8">
        <v>1.9800000190734901</v>
      </c>
      <c r="S2805" s="8">
        <v>-2.46305187295414E-2</v>
      </c>
      <c r="T2805" s="9">
        <v>-2.4938924620469E-2</v>
      </c>
      <c r="U2805" s="12">
        <v>4.9036999999999997E-2</v>
      </c>
      <c r="V2805" s="16">
        <v>5.7557</v>
      </c>
      <c r="W2805" s="17">
        <f t="shared" si="43"/>
        <v>-5.1680033185840246E-3</v>
      </c>
    </row>
    <row r="2806" spans="1:23" x14ac:dyDescent="0.2">
      <c r="A2806" s="14">
        <v>45659</v>
      </c>
      <c r="B2806" s="3">
        <v>-314838388942823</v>
      </c>
      <c r="C2806" s="3">
        <f>[1]!nefin_factors__1[[#This Row],[Rm_minus_Rf]]/B2805-1</f>
        <v>-0.6172115117058925</v>
      </c>
      <c r="D2806" s="3">
        <v>-157904436665117</v>
      </c>
      <c r="E2806" s="3">
        <f>[1]!nefin_factors__1[[#This Row],[SMB]]/D2805-1</f>
        <v>-1.4595280966771964</v>
      </c>
      <c r="F2806" s="3">
        <v>-275804639433947</v>
      </c>
      <c r="G2806" s="3">
        <f>[1]!nefin_factors__1[[#This Row],[HML]]/F2805-1</f>
        <v>-1.3311735116150611</v>
      </c>
      <c r="H2806" s="3">
        <v>460084475443434</v>
      </c>
      <c r="I2806" s="4">
        <f>[1]!nefin_factors__1[[#This Row],[Risk_Free]]/H2805-1</f>
        <v>-2.2997684649251893E-3</v>
      </c>
      <c r="J2806">
        <v>132344</v>
      </c>
      <c r="K2806">
        <v>132424</v>
      </c>
      <c r="L2806">
        <v>130992</v>
      </c>
      <c r="M2806">
        <v>131321</v>
      </c>
      <c r="N2806">
        <v>8301200</v>
      </c>
      <c r="O2806">
        <v>131321</v>
      </c>
      <c r="P2806">
        <v>-7.7373531300767304E-3</v>
      </c>
      <c r="Q2806">
        <v>-7.7674417514866801E-3</v>
      </c>
      <c r="R2806" s="8">
        <v>2.1199998855590798</v>
      </c>
      <c r="S2806" s="8">
        <v>7.0707002594427595E-2</v>
      </c>
      <c r="T2806" s="9">
        <v>6.8319180362836907E-2</v>
      </c>
      <c r="U2806" s="12">
        <v>4.9036999999999997E-2</v>
      </c>
      <c r="V2806" s="16">
        <v>5.7808000000000002</v>
      </c>
      <c r="W2806" s="17">
        <f t="shared" si="43"/>
        <v>4.3608944177075948E-3</v>
      </c>
    </row>
    <row r="2807" spans="1:23" x14ac:dyDescent="0.2">
      <c r="A2807" s="15">
        <v>45660</v>
      </c>
      <c r="B2807" s="5">
        <v>-138234790057568</v>
      </c>
      <c r="C2807" s="5">
        <f>[1]!nefin_factors__1[[#This Row],[Rm_minus_Rf]]/B2806-1</f>
        <v>-0.56093413347165721</v>
      </c>
      <c r="D2807" s="5">
        <v>122233992627934</v>
      </c>
      <c r="E2807" s="5">
        <f>[1]!nefin_factors__1[[#This Row],[SMB]]/D2806-1</f>
        <v>-1.7741010652358509</v>
      </c>
      <c r="F2807" s="5">
        <v>703217859810442</v>
      </c>
      <c r="G2807" s="5">
        <f>[1]!nefin_factors__1[[#This Row],[HML]]/F2806-1</f>
        <v>-3.5496955426627514</v>
      </c>
      <c r="H2807" s="5">
        <v>460084475443434</v>
      </c>
      <c r="I2807" s="6">
        <f>[1]!nefin_factors__1[[#This Row],[Risk_Free]]/H2806-1</f>
        <v>0</v>
      </c>
      <c r="J2807">
        <v>131327</v>
      </c>
      <c r="K2807">
        <v>133471</v>
      </c>
      <c r="L2807">
        <v>131325</v>
      </c>
      <c r="M2807">
        <v>132068</v>
      </c>
      <c r="N2807">
        <v>9237600</v>
      </c>
      <c r="O2807">
        <v>132068</v>
      </c>
      <c r="P2807">
        <v>5.6883514441712401E-3</v>
      </c>
      <c r="Q2807">
        <v>5.6722338658424798E-3</v>
      </c>
      <c r="R2807" s="8">
        <v>2.2599999904632599</v>
      </c>
      <c r="S2807" s="8">
        <v>6.6037788896981198E-2</v>
      </c>
      <c r="T2807" s="9">
        <v>6.3948774362042202E-2</v>
      </c>
      <c r="U2807" s="12">
        <v>4.9036999999999997E-2</v>
      </c>
      <c r="V2807" s="16">
        <v>5.7788000000000004</v>
      </c>
      <c r="W2807" s="17">
        <f t="shared" si="43"/>
        <v>-3.4597287572646351E-4</v>
      </c>
    </row>
    <row r="2808" spans="1:23" x14ac:dyDescent="0.2">
      <c r="A2808" s="14">
        <v>45663</v>
      </c>
      <c r="B2808" s="3">
        <v>124910261173471</v>
      </c>
      <c r="C2808" s="3">
        <f>[1]!nefin_factors__1[[#This Row],[Rm_minus_Rf]]/B2807-1</f>
        <v>-1.9036094395734389</v>
      </c>
      <c r="D2808" s="3">
        <v>155419947698159</v>
      </c>
      <c r="E2808" s="3">
        <f>[1]!nefin_factors__1[[#This Row],[SMB]]/D2807-1</f>
        <v>0.2714953046755102</v>
      </c>
      <c r="F2808" s="3">
        <v>951861184920161</v>
      </c>
      <c r="G2808" s="3">
        <f>[1]!nefin_factors__1[[#This Row],[HML]]/F2807-1</f>
        <v>0.35357936611101248</v>
      </c>
      <c r="H2808" s="3">
        <v>46291191992176</v>
      </c>
      <c r="I2808" s="4">
        <f>[1]!nefin_factors__1[[#This Row],[Risk_Free]]/H2807-1</f>
        <v>-0.89938545101405543</v>
      </c>
      <c r="J2808">
        <v>132069</v>
      </c>
      <c r="K2808">
        <v>132984</v>
      </c>
      <c r="L2808">
        <v>132068</v>
      </c>
      <c r="M2808">
        <v>132520</v>
      </c>
      <c r="N2808">
        <v>9404600</v>
      </c>
      <c r="O2808">
        <v>132520</v>
      </c>
      <c r="P2808">
        <v>3.4224793288306602E-3</v>
      </c>
      <c r="Q2808">
        <v>3.4166359751617E-3</v>
      </c>
      <c r="R2808" s="8">
        <v>2.3299999237060498</v>
      </c>
      <c r="S2808" s="8">
        <v>3.09734219195501E-2</v>
      </c>
      <c r="T2808" s="9">
        <v>3.05034257690294E-2</v>
      </c>
      <c r="U2808" s="12">
        <v>4.9036999999999997E-2</v>
      </c>
      <c r="V2808" s="16">
        <v>5.7710999999999997</v>
      </c>
      <c r="W2808" s="17">
        <f t="shared" si="43"/>
        <v>-1.3324565653770604E-3</v>
      </c>
    </row>
    <row r="2809" spans="1:23" x14ac:dyDescent="0.2">
      <c r="A2809" s="15">
        <v>45664</v>
      </c>
      <c r="B2809" s="5">
        <v>971096091355281</v>
      </c>
      <c r="C2809" s="5">
        <f>[1]!nefin_factors__1[[#This Row],[Rm_minus_Rf]]/B2808-1</f>
        <v>6.7743500192242552</v>
      </c>
      <c r="D2809" s="5">
        <v>-440571344696559</v>
      </c>
      <c r="E2809" s="5">
        <f>[1]!nefin_factors__1[[#This Row],[SMB]]/D2808-1</f>
        <v>-3.8347155640033566</v>
      </c>
      <c r="F2809" s="5">
        <v>494851029771045</v>
      </c>
      <c r="G2809" s="5">
        <f>[1]!nefin_factors__1[[#This Row],[HML]]/F2808-1</f>
        <v>-0.48012269266704943</v>
      </c>
      <c r="H2809" s="5">
        <v>464678054754142</v>
      </c>
      <c r="I2809" s="6">
        <f>[1]!nefin_factors__1[[#This Row],[Risk_Free]]/H2808-1</f>
        <v>9.0381527188299771</v>
      </c>
      <c r="J2809">
        <v>132522</v>
      </c>
      <c r="K2809">
        <v>133904</v>
      </c>
      <c r="L2809">
        <v>132479</v>
      </c>
      <c r="M2809">
        <v>133149</v>
      </c>
      <c r="N2809">
        <v>10016200</v>
      </c>
      <c r="O2809">
        <v>133149</v>
      </c>
      <c r="P2809">
        <v>4.7464533655296997E-3</v>
      </c>
      <c r="Q2809">
        <v>4.7352244733442402E-3</v>
      </c>
      <c r="R2809" s="8">
        <v>2.2699999809265101</v>
      </c>
      <c r="S2809" s="8">
        <v>-2.5751049246433601E-2</v>
      </c>
      <c r="T2809" s="9">
        <v>-2.6088411742531799E-2</v>
      </c>
      <c r="U2809" s="12">
        <v>4.9036999999999997E-2</v>
      </c>
      <c r="V2809" s="16">
        <v>5.7788000000000004</v>
      </c>
      <c r="W2809" s="17">
        <f t="shared" si="43"/>
        <v>1.3342343747293484E-3</v>
      </c>
    </row>
    <row r="2810" spans="1:23" x14ac:dyDescent="0.2">
      <c r="A2810" s="14">
        <v>45665</v>
      </c>
      <c r="B2810" s="3">
        <v>-133978787396633</v>
      </c>
      <c r="C2810" s="3">
        <f>[1]!nefin_factors__1[[#This Row],[Rm_minus_Rf]]/B2809-1</f>
        <v>-1.1379665602501288</v>
      </c>
      <c r="D2810" s="3">
        <v>883214356320411</v>
      </c>
      <c r="E2810" s="3">
        <f>[1]!nefin_factors__1[[#This Row],[SMB]]/D2809-1</f>
        <v>-3.0047022280323743</v>
      </c>
      <c r="F2810" s="3">
        <v>-40222727659004</v>
      </c>
      <c r="G2810" s="3">
        <f>[1]!nefin_factors__1[[#This Row],[HML]]/F2809-1</f>
        <v>-1.0812824976389643</v>
      </c>
      <c r="H2810" s="3">
        <v>466090399390717</v>
      </c>
      <c r="I2810" s="4">
        <f>[1]!nefin_factors__1[[#This Row],[Risk_Free]]/H2809-1</f>
        <v>3.0394046418271703E-3</v>
      </c>
      <c r="J2810">
        <v>133143</v>
      </c>
      <c r="K2810">
        <v>133143</v>
      </c>
      <c r="L2810">
        <v>131315</v>
      </c>
      <c r="M2810">
        <v>131902</v>
      </c>
      <c r="N2810">
        <v>8905500</v>
      </c>
      <c r="O2810">
        <v>131902</v>
      </c>
      <c r="P2810">
        <v>-9.3654477314887297E-3</v>
      </c>
      <c r="Q2810">
        <v>-9.4095792944531194E-3</v>
      </c>
      <c r="R2810" s="8">
        <v>2.2599999904632599</v>
      </c>
      <c r="S2810" s="8">
        <v>-4.4052821794189302E-3</v>
      </c>
      <c r="T2810" s="9">
        <v>-4.4150140264977702E-3</v>
      </c>
      <c r="U2810" s="12">
        <v>4.9036999999999997E-2</v>
      </c>
      <c r="V2810" s="16">
        <v>5.7282999999999999</v>
      </c>
      <c r="W2810" s="17">
        <f t="shared" si="43"/>
        <v>-8.7388385131862423E-3</v>
      </c>
    </row>
    <row r="2811" spans="1:23" x14ac:dyDescent="0.2">
      <c r="A2811" s="15">
        <v>45666</v>
      </c>
      <c r="B2811" s="5">
        <v>221099549911775</v>
      </c>
      <c r="C2811" s="5">
        <f>[1]!nefin_factors__1[[#This Row],[Rm_minus_Rf]]/B2810-1</f>
        <v>-2.6502578819229665</v>
      </c>
      <c r="D2811" s="5">
        <v>222535530072535</v>
      </c>
      <c r="E2811" s="5">
        <f>[1]!nefin_factors__1[[#This Row],[SMB]]/D2810-1</f>
        <v>-0.7480390479615302</v>
      </c>
      <c r="F2811" s="5">
        <v>-929006956052968</v>
      </c>
      <c r="G2811" s="5">
        <f>[1]!nefin_factors__1[[#This Row],[HML]]/F2810-1</f>
        <v>22.096567789454888</v>
      </c>
      <c r="H2811" s="5">
        <v>465384289627613</v>
      </c>
      <c r="I2811" s="6">
        <f>[1]!nefin_factors__1[[#This Row],[Risk_Free]]/H2810-1</f>
        <v>-1.5149631145096043E-3</v>
      </c>
      <c r="J2811">
        <v>131900</v>
      </c>
      <c r="K2811">
        <v>131901</v>
      </c>
      <c r="L2811">
        <v>130115</v>
      </c>
      <c r="M2811">
        <v>130260</v>
      </c>
      <c r="N2811">
        <v>9994900</v>
      </c>
      <c r="O2811">
        <v>130260</v>
      </c>
      <c r="P2811">
        <v>-1.24486361086261E-2</v>
      </c>
      <c r="Q2811">
        <v>-1.2526769492330799E-2</v>
      </c>
      <c r="R2811" s="8">
        <v>2.1199998855590798</v>
      </c>
      <c r="S2811" s="8">
        <v>-6.1946949334047298E-2</v>
      </c>
      <c r="T2811" s="9">
        <v>-6.3948774362042105E-2</v>
      </c>
      <c r="U2811" s="12">
        <v>4.9036999999999997E-2</v>
      </c>
      <c r="V2811" s="16">
        <v>5.7104999999999997</v>
      </c>
      <c r="W2811" s="17">
        <f t="shared" si="43"/>
        <v>-3.1073791526282646E-3</v>
      </c>
    </row>
    <row r="2812" spans="1:23" x14ac:dyDescent="0.2">
      <c r="A2812" s="14">
        <v>45667</v>
      </c>
      <c r="B2812" s="3">
        <v>-918784551354837</v>
      </c>
      <c r="C2812" s="3">
        <f>[1]!nefin_factors__1[[#This Row],[Rm_minus_Rf]]/B2811-1</f>
        <v>-5.155524295374903</v>
      </c>
      <c r="D2812" s="3">
        <v>-180098079822548</v>
      </c>
      <c r="E2812" s="3">
        <f>[1]!nefin_factors__1[[#This Row],[SMB]]/D2811-1</f>
        <v>-1.8093003385295168</v>
      </c>
      <c r="F2812" s="3">
        <v>-68878360956999</v>
      </c>
      <c r="G2812" s="3">
        <f>[1]!nefin_factors__1[[#This Row],[HML]]/F2811-1</f>
        <v>-0.92585807834029621</v>
      </c>
      <c r="H2812" s="3">
        <v>466796384087864</v>
      </c>
      <c r="I2812" s="4">
        <f>[1]!nefin_factors__1[[#This Row],[Risk_Free]]/H2811-1</f>
        <v>3.0342546831154671E-3</v>
      </c>
      <c r="J2812">
        <v>130267</v>
      </c>
      <c r="K2812">
        <v>131982</v>
      </c>
      <c r="L2812">
        <v>130081</v>
      </c>
      <c r="M2812">
        <v>131147</v>
      </c>
      <c r="N2812">
        <v>8966100</v>
      </c>
      <c r="O2812">
        <v>131147</v>
      </c>
      <c r="P2812">
        <v>6.8094580070627896E-3</v>
      </c>
      <c r="Q2812">
        <v>6.7863783618984097E-3</v>
      </c>
      <c r="R2812" s="8">
        <v>2.1400001049041699</v>
      </c>
      <c r="S2812" s="8">
        <v>9.4340662380829592E-3</v>
      </c>
      <c r="T2812" s="9">
        <v>9.3898433520467495E-3</v>
      </c>
      <c r="U2812" s="12">
        <v>4.9036999999999997E-2</v>
      </c>
      <c r="V2812" s="16">
        <v>5.6978999999999997</v>
      </c>
      <c r="W2812" s="17">
        <f t="shared" si="43"/>
        <v>-2.2064617809298692E-3</v>
      </c>
    </row>
    <row r="2813" spans="1:23" x14ac:dyDescent="0.2">
      <c r="A2813" s="15">
        <v>45670</v>
      </c>
      <c r="B2813" s="5">
        <v>642686481315328</v>
      </c>
      <c r="C2813" s="5">
        <f>[1]!nefin_factors__1[[#This Row],[Rm_minus_Rf]]/B2812-1</f>
        <v>-1.6994963948486339</v>
      </c>
      <c r="D2813" s="5">
        <v>-113270504074134</v>
      </c>
      <c r="E2813" s="5">
        <f>[1]!nefin_factors__1[[#This Row],[SMB]]/D2812-1</f>
        <v>-0.37106212245160919</v>
      </c>
      <c r="F2813" s="5">
        <v>-335803254820259</v>
      </c>
      <c r="G2813" s="5">
        <f>[1]!nefin_factors__1[[#This Row],[HML]]/F2812-1</f>
        <v>3.8753084445476587</v>
      </c>
      <c r="H2813" s="5">
        <v>470677066351843</v>
      </c>
      <c r="I2813" s="6">
        <f>[1]!nefin_factors__1[[#This Row],[Risk_Free]]/H2812-1</f>
        <v>8.3134368565471739E-3</v>
      </c>
      <c r="J2813">
        <v>131151</v>
      </c>
      <c r="K2813">
        <v>131424</v>
      </c>
      <c r="L2813">
        <v>130393</v>
      </c>
      <c r="M2813">
        <v>131190</v>
      </c>
      <c r="N2813">
        <v>8819500</v>
      </c>
      <c r="O2813">
        <v>131190</v>
      </c>
      <c r="P2813">
        <v>3.2787635248987502E-4</v>
      </c>
      <c r="Q2813">
        <v>3.2782261278494602E-4</v>
      </c>
      <c r="R2813" s="8">
        <v>2.1199998855590798</v>
      </c>
      <c r="S2813" s="8">
        <v>-9.3458964320883905E-3</v>
      </c>
      <c r="T2813" s="9">
        <v>-9.3898433520467599E-3</v>
      </c>
      <c r="U2813" s="12">
        <v>4.9036999999999997E-2</v>
      </c>
      <c r="V2813" s="16">
        <v>5.7087000000000003</v>
      </c>
      <c r="W2813" s="17">
        <f t="shared" si="43"/>
        <v>1.8954351603224229E-3</v>
      </c>
    </row>
    <row r="2814" spans="1:23" x14ac:dyDescent="0.2">
      <c r="A2814" s="14">
        <v>45671</v>
      </c>
      <c r="B2814" s="3">
        <v>12425866519074</v>
      </c>
      <c r="C2814" s="3">
        <f>[1]!nefin_factors__1[[#This Row],[Rm_minus_Rf]]/B2813-1</f>
        <v>-0.9806657415702239</v>
      </c>
      <c r="D2814" s="3">
        <v>507801248776078</v>
      </c>
      <c r="E2814" s="3">
        <f>[1]!nefin_factors__1[[#This Row],[SMB]]/D2813-1</f>
        <v>-5.4830845675740001</v>
      </c>
      <c r="F2814" s="3">
        <v>-290508165419919</v>
      </c>
      <c r="G2814" s="3">
        <f>[1]!nefin_factors__1[[#This Row],[HML]]/F2813-1</f>
        <v>-0.13488579622191132</v>
      </c>
      <c r="H2814" s="3">
        <v>472087287317624</v>
      </c>
      <c r="I2814" s="4">
        <f>[1]!nefin_factors__1[[#This Row],[Risk_Free]]/H2813-1</f>
        <v>2.9961539802894066E-3</v>
      </c>
      <c r="J2814">
        <v>131185</v>
      </c>
      <c r="K2814">
        <v>132552</v>
      </c>
      <c r="L2814">
        <v>130182</v>
      </c>
      <c r="M2814">
        <v>131141</v>
      </c>
      <c r="N2814">
        <v>12327500</v>
      </c>
      <c r="O2814">
        <v>131141</v>
      </c>
      <c r="P2814">
        <v>-3.7350407805469799E-4</v>
      </c>
      <c r="Q2814">
        <v>-3.73573848076326E-4</v>
      </c>
      <c r="R2814" s="8">
        <v>2.1400001049041699</v>
      </c>
      <c r="S2814" s="8">
        <v>9.4340662380829592E-3</v>
      </c>
      <c r="T2814" s="9">
        <v>9.3898433520467495E-3</v>
      </c>
      <c r="U2814" s="12">
        <v>4.9036999999999997E-2</v>
      </c>
      <c r="V2814" s="16">
        <v>5.7019000000000002</v>
      </c>
      <c r="W2814" s="17">
        <f t="shared" si="43"/>
        <v>-1.1911643631650204E-3</v>
      </c>
    </row>
    <row r="2815" spans="1:23" x14ac:dyDescent="0.2">
      <c r="A2815" s="15">
        <v>45672</v>
      </c>
      <c r="B2815" s="5">
        <v>262801465770873</v>
      </c>
      <c r="C2815" s="5">
        <f>[1]!nefin_factors__1[[#This Row],[Rm_minus_Rf]]/B2814-1</f>
        <v>20.149548433299724</v>
      </c>
      <c r="D2815" s="5">
        <v>187765171281879</v>
      </c>
      <c r="E2815" s="5">
        <f>[1]!nefin_factors__1[[#This Row],[SMB]]/D2814-1</f>
        <v>-0.63023885479912112</v>
      </c>
      <c r="F2815" s="5">
        <v>160718007174115</v>
      </c>
      <c r="G2815" s="5">
        <f>[1]!nefin_factors__1[[#This Row],[HML]]/F2814-1</f>
        <v>-1.5532306017691551</v>
      </c>
      <c r="H2815" s="5">
        <v>473497009526147</v>
      </c>
      <c r="I2815" s="6">
        <f>[1]!nefin_factors__1[[#This Row],[Risk_Free]]/H2814-1</f>
        <v>2.9861473638339575E-3</v>
      </c>
      <c r="J2815">
        <v>131139</v>
      </c>
      <c r="K2815">
        <v>131139</v>
      </c>
      <c r="L2815">
        <v>126466</v>
      </c>
      <c r="M2815">
        <v>127256</v>
      </c>
      <c r="N2815">
        <v>13176400</v>
      </c>
      <c r="O2815">
        <v>127256</v>
      </c>
      <c r="P2815">
        <v>-2.9624602527051E-2</v>
      </c>
      <c r="Q2815">
        <v>-3.0072274648803202E-2</v>
      </c>
      <c r="R2815" s="8">
        <v>2.0199999809265101</v>
      </c>
      <c r="S2815" s="8">
        <v>-5.6074821539802901E-2</v>
      </c>
      <c r="T2815" s="9">
        <v>-5.7708376083608001E-2</v>
      </c>
      <c r="U2815" s="12">
        <v>4.9036999999999997E-2</v>
      </c>
      <c r="V2815" s="16">
        <v>5.7027000000000001</v>
      </c>
      <c r="W2815" s="17">
        <f t="shared" si="43"/>
        <v>1.4030410915655267E-4</v>
      </c>
    </row>
    <row r="2816" spans="1:23" x14ac:dyDescent="0.2">
      <c r="A2816" s="14">
        <v>45673</v>
      </c>
      <c r="B2816" s="3">
        <v>-128329888317996</v>
      </c>
      <c r="C2816" s="3">
        <f>[1]!nefin_factors__1[[#This Row],[Rm_minus_Rf]]/B2815-1</f>
        <v>-1.4883149640796987</v>
      </c>
      <c r="D2816" s="3">
        <v>-77115545573637</v>
      </c>
      <c r="E2816" s="3">
        <f>[1]!nefin_factors__1[[#This Row],[SMB]]/D2815-1</f>
        <v>-1.4107020756148045</v>
      </c>
      <c r="F2816" s="3">
        <v>-276266208171862</v>
      </c>
      <c r="G2816" s="3">
        <f>[1]!nefin_factors__1[[#This Row],[HML]]/F2815-1</f>
        <v>-2.7189499361609619</v>
      </c>
      <c r="H2816" s="3">
        <v>47420168370671</v>
      </c>
      <c r="I2816" s="4">
        <f>[1]!nefin_factors__1[[#This Row],[Risk_Free]]/H2815-1</f>
        <v>-0.8998511766354621</v>
      </c>
      <c r="J2816">
        <v>127229</v>
      </c>
      <c r="K2816">
        <v>128411</v>
      </c>
      <c r="L2816">
        <v>123876</v>
      </c>
      <c r="M2816">
        <v>125588</v>
      </c>
      <c r="N2816">
        <v>14045900</v>
      </c>
      <c r="O2816">
        <v>125588</v>
      </c>
      <c r="P2816">
        <v>-1.3107436977431299E-2</v>
      </c>
      <c r="Q2816">
        <v>-1.31940975276054E-2</v>
      </c>
      <c r="R2816" s="8">
        <v>1.9800000190734901</v>
      </c>
      <c r="S2816" s="8">
        <v>-1.9801961500356301E-2</v>
      </c>
      <c r="T2816" s="9">
        <v>-2.0000647631275601E-2</v>
      </c>
      <c r="U2816" s="12">
        <v>4.9036999999999997E-2</v>
      </c>
      <c r="V2816" s="16">
        <v>5.7257999999999996</v>
      </c>
      <c r="W2816" s="17">
        <f t="shared" si="43"/>
        <v>4.050712820242941E-3</v>
      </c>
    </row>
    <row r="2817" spans="1:23" x14ac:dyDescent="0.2">
      <c r="A2817" s="15">
        <v>45674</v>
      </c>
      <c r="B2817" s="5">
        <v>7582347842948</v>
      </c>
      <c r="C2817" s="5">
        <f>[1]!nefin_factors__1[[#This Row],[Rm_minus_Rf]]/B2816-1</f>
        <v>-1.0590848160341204</v>
      </c>
      <c r="D2817" s="5">
        <v>-375741452934628</v>
      </c>
      <c r="E2817" s="5">
        <f>[1]!nefin_factors__1[[#This Row],[SMB]]/D2816-1</f>
        <v>3.872447573827194</v>
      </c>
      <c r="F2817" s="5">
        <v>-583198613547551</v>
      </c>
      <c r="G2817" s="5">
        <f>[1]!nefin_factors__1[[#This Row],[HML]]/F2816-1</f>
        <v>1.1110023459139451</v>
      </c>
      <c r="H2817" s="5">
        <v>47561065844115</v>
      </c>
      <c r="I2817" s="6">
        <f>[1]!nefin_factors__1[[#This Row],[Risk_Free]]/H2816-1</f>
        <v>2.9712562878867477E-3</v>
      </c>
      <c r="J2817">
        <v>125588</v>
      </c>
      <c r="K2817">
        <v>127652</v>
      </c>
      <c r="L2817">
        <v>123454</v>
      </c>
      <c r="M2817">
        <v>123932</v>
      </c>
      <c r="N2817">
        <v>12814700</v>
      </c>
      <c r="O2817">
        <v>123932</v>
      </c>
      <c r="P2817">
        <v>-1.3185973182151201E-2</v>
      </c>
      <c r="Q2817">
        <v>-1.32736799793898E-2</v>
      </c>
      <c r="R2817" s="8">
        <v>2</v>
      </c>
      <c r="S2817" s="8">
        <v>1.01010003706326E-2</v>
      </c>
      <c r="T2817" s="9">
        <v>1.00503262204276E-2</v>
      </c>
      <c r="U2817" s="12">
        <v>4.9036999999999997E-2</v>
      </c>
      <c r="V2817" s="16">
        <v>5.7778999999999998</v>
      </c>
      <c r="W2817" s="17">
        <f t="shared" si="43"/>
        <v>9.09916518215792E-3</v>
      </c>
    </row>
    <row r="2818" spans="1:23" x14ac:dyDescent="0.2">
      <c r="A2818" s="14">
        <v>45677</v>
      </c>
      <c r="B2818" s="3">
        <v>341071551875606</v>
      </c>
      <c r="C2818" s="3">
        <f>[1]!nefin_factors__1[[#This Row],[Rm_minus_Rf]]/B2817-1</f>
        <v>43.98231404575052</v>
      </c>
      <c r="D2818" s="3">
        <v>243043568411911</v>
      </c>
      <c r="E2818" s="3">
        <f>[1]!nefin_factors__1[[#This Row],[SMB]]/D2817-1</f>
        <v>-1.6468372507576268</v>
      </c>
      <c r="F2818" s="3">
        <v>-643158694870423</v>
      </c>
      <c r="G2818" s="3">
        <f>[1]!nefin_factors__1[[#This Row],[HML]]/F2817-1</f>
        <v>0.10281245519110471</v>
      </c>
      <c r="H2818" s="3">
        <v>478427114638302</v>
      </c>
      <c r="I2818" s="4">
        <f>[1]!nefin_factors__1[[#This Row],[Risk_Free]]/H2817-1</f>
        <v>9.0592176846158825</v>
      </c>
      <c r="J2818">
        <v>123928</v>
      </c>
      <c r="K2818">
        <v>128649</v>
      </c>
      <c r="L2818">
        <v>122887</v>
      </c>
      <c r="M2818">
        <v>127796</v>
      </c>
      <c r="N2818">
        <v>16919800</v>
      </c>
      <c r="O2818">
        <v>127796</v>
      </c>
      <c r="P2818">
        <v>3.1178388148339401E-2</v>
      </c>
      <c r="Q2818">
        <v>3.0702214460010899E-2</v>
      </c>
      <c r="R2818" s="8">
        <v>2.1600000858306898</v>
      </c>
      <c r="S2818" s="8">
        <v>8.0000042915344197E-2</v>
      </c>
      <c r="T2818" s="9">
        <v>7.6961080872557402E-2</v>
      </c>
      <c r="U2818" s="12">
        <v>4.9036999999999997E-2</v>
      </c>
      <c r="V2818" s="16">
        <v>5.7756999999999996</v>
      </c>
      <c r="W2818" s="17">
        <f t="shared" si="43"/>
        <v>-3.8076117620589045E-4</v>
      </c>
    </row>
    <row r="2819" spans="1:23" x14ac:dyDescent="0.2">
      <c r="A2819" s="15">
        <v>45678</v>
      </c>
      <c r="B2819" s="5">
        <v>446085602108737</v>
      </c>
      <c r="C2819" s="5">
        <f>[1]!nefin_factors__1[[#This Row],[Rm_minus_Rf]]/B2818-1</f>
        <v>0.30789448623211824</v>
      </c>
      <c r="D2819" s="5">
        <v>-273954246250937</v>
      </c>
      <c r="E2819" s="5">
        <f>[1]!nefin_factors__1[[#This Row],[SMB]]/D2818-1</f>
        <v>-2.1271816326636488</v>
      </c>
      <c r="F2819" s="5">
        <v>801701694179304</v>
      </c>
      <c r="G2819" s="5">
        <f>[1]!nefin_factors__1[[#This Row],[HML]]/F2818-1</f>
        <v>-2.2465068117299145</v>
      </c>
      <c r="H2819" s="5">
        <v>480186389705484</v>
      </c>
      <c r="I2819" s="6">
        <f>[1]!nefin_factors__1[[#This Row],[Risk_Free]]/H2818-1</f>
        <v>3.6772060223051461E-3</v>
      </c>
      <c r="J2819">
        <v>127796</v>
      </c>
      <c r="K2819">
        <v>127797</v>
      </c>
      <c r="L2819">
        <v>124895</v>
      </c>
      <c r="M2819">
        <v>126355</v>
      </c>
      <c r="N2819">
        <v>11456300</v>
      </c>
      <c r="O2819">
        <v>126355</v>
      </c>
      <c r="P2819">
        <v>-1.12757832796019E-2</v>
      </c>
      <c r="Q2819">
        <v>-1.13398368820973E-2</v>
      </c>
      <c r="R2819" s="8">
        <v>2.1199998855590798</v>
      </c>
      <c r="S2819" s="8">
        <v>-1.8518610500991399E-2</v>
      </c>
      <c r="T2819" s="9">
        <v>-1.8692226730148101E-2</v>
      </c>
      <c r="U2819" s="12">
        <v>4.9036999999999997E-2</v>
      </c>
      <c r="V2819" s="16">
        <v>5.8228</v>
      </c>
      <c r="W2819" s="17">
        <f t="shared" si="43"/>
        <v>8.1548556884880607E-3</v>
      </c>
    </row>
    <row r="2820" spans="1:23" x14ac:dyDescent="0.2">
      <c r="A2820" s="14">
        <v>45679</v>
      </c>
      <c r="B2820" s="3">
        <v>-158553289959567</v>
      </c>
      <c r="C2820" s="3">
        <f>[1]!nefin_factors__1[[#This Row],[Rm_minus_Rf]]/B2819-1</f>
        <v>-1.3554324309281749</v>
      </c>
      <c r="D2820" s="3">
        <v>147740455005115</v>
      </c>
      <c r="E2820" s="3">
        <f>[1]!nefin_factors__1[[#This Row],[SMB]]/D2819-1</f>
        <v>-1.5392887937564126</v>
      </c>
      <c r="F2820" s="3">
        <v>866617118613383</v>
      </c>
      <c r="G2820" s="3">
        <f>[1]!nefin_factors__1[[#This Row],[HML]]/F2819-1</f>
        <v>8.0972043473766631E-2</v>
      </c>
      <c r="H2820" s="3">
        <v>481593250904133</v>
      </c>
      <c r="I2820" s="4">
        <f>[1]!nefin_factors__1[[#This Row],[Risk_Free]]/H2819-1</f>
        <v>2.9298231453662726E-3</v>
      </c>
      <c r="J2820">
        <v>126355</v>
      </c>
      <c r="K2820">
        <v>128386</v>
      </c>
      <c r="L2820">
        <v>126078</v>
      </c>
      <c r="M2820">
        <v>127682</v>
      </c>
      <c r="N2820">
        <v>10084200</v>
      </c>
      <c r="O2820">
        <v>127682</v>
      </c>
      <c r="P2820">
        <v>1.05021566222152E-2</v>
      </c>
      <c r="Q2820">
        <v>1.0447392072240101E-2</v>
      </c>
      <c r="R2820" s="8">
        <v>2.1800000667571999</v>
      </c>
      <c r="S2820" s="8">
        <v>2.8301973791049002E-2</v>
      </c>
      <c r="T2820" s="9">
        <v>2.79088727212124E-2</v>
      </c>
      <c r="U2820" s="12">
        <v>4.9036999999999997E-2</v>
      </c>
      <c r="V2820" s="16">
        <v>5.8487999999999998</v>
      </c>
      <c r="W2820" s="17">
        <f t="shared" ref="W2820:W2883" si="44">V2820/V2819-1</f>
        <v>4.4652057429415137E-3</v>
      </c>
    </row>
    <row r="2821" spans="1:23" x14ac:dyDescent="0.2">
      <c r="A2821" s="15">
        <v>45680</v>
      </c>
      <c r="B2821" s="5">
        <v>-277282490090162</v>
      </c>
      <c r="C2821" s="5">
        <f>[1]!nefin_factors__1[[#This Row],[Rm_minus_Rf]]/B2820-1</f>
        <v>0.74882836023694233</v>
      </c>
      <c r="D2821" s="5">
        <v>-302008165416813</v>
      </c>
      <c r="E2821" s="5">
        <f>[1]!nefin_factors__1[[#This Row],[SMB]]/D2820-1</f>
        <v>-3.0441805557344264</v>
      </c>
      <c r="F2821" s="5">
        <v>-504942271822387</v>
      </c>
      <c r="G2821" s="5">
        <f>[1]!nefin_factors__1[[#This Row],[HML]]/F2820-1</f>
        <v>-1.582659009356187</v>
      </c>
      <c r="H2821" s="5">
        <v>48264807103493</v>
      </c>
      <c r="I2821" s="6">
        <f>[1]!nefin_factors__1[[#This Row],[Risk_Free]]/H2820-1</f>
        <v>-0.89978097281703662</v>
      </c>
      <c r="J2821">
        <v>127683</v>
      </c>
      <c r="K2821">
        <v>129955</v>
      </c>
      <c r="L2821">
        <v>127683</v>
      </c>
      <c r="M2821">
        <v>129454</v>
      </c>
      <c r="N2821">
        <v>10608700</v>
      </c>
      <c r="O2821">
        <v>129454</v>
      </c>
      <c r="P2821">
        <v>1.38782287244874E-2</v>
      </c>
      <c r="Q2821">
        <v>1.3782807942309801E-2</v>
      </c>
      <c r="R2821" s="8">
        <v>2.2400000095367401</v>
      </c>
      <c r="S2821" s="8">
        <v>2.7522908689077401E-2</v>
      </c>
      <c r="T2821" s="9">
        <v>2.71509627008561E-2</v>
      </c>
      <c r="U2821" s="12">
        <v>4.9036999999999997E-2</v>
      </c>
      <c r="V2821" s="16">
        <v>5.7914000000000003</v>
      </c>
      <c r="W2821" s="17">
        <f t="shared" si="44"/>
        <v>-9.8139789358500096E-3</v>
      </c>
    </row>
    <row r="2822" spans="1:23" x14ac:dyDescent="0.2">
      <c r="A2822" s="14">
        <v>45681</v>
      </c>
      <c r="B2822" s="3">
        <v>-823322910529571</v>
      </c>
      <c r="C2822" s="3">
        <f>[1]!nefin_factors__1[[#This Row],[Rm_minus_Rf]]/B2821-1</f>
        <v>1.9692567686544393</v>
      </c>
      <c r="D2822" s="3">
        <v>621025691304617</v>
      </c>
      <c r="E2822" s="3">
        <f>[1]!nefin_factors__1[[#This Row],[SMB]]/D2821-1</f>
        <v>-3.0563208628730809</v>
      </c>
      <c r="F2822" s="3">
        <v>-571543584214487</v>
      </c>
      <c r="G2822" s="3">
        <f>[1]!nefin_factors__1[[#This Row],[HML]]/F2821-1</f>
        <v>0.13189886469938283</v>
      </c>
      <c r="H2822" s="3">
        <v>484405484513895</v>
      </c>
      <c r="I2822" s="4">
        <f>[1]!nefin_factors__1[[#This Row],[Risk_Free]]/H2821-1</f>
        <v>9.0364119030911407</v>
      </c>
      <c r="J2822">
        <v>129452</v>
      </c>
      <c r="K2822">
        <v>129927</v>
      </c>
      <c r="L2822">
        <v>128951</v>
      </c>
      <c r="M2822">
        <v>129245</v>
      </c>
      <c r="N2822">
        <v>8837800</v>
      </c>
      <c r="O2822">
        <v>129245</v>
      </c>
      <c r="P2822">
        <v>-1.61447309468998E-3</v>
      </c>
      <c r="Q2822">
        <v>-1.6157777607980299E-3</v>
      </c>
      <c r="R2822" s="8">
        <v>2.1800000667571999</v>
      </c>
      <c r="S2822" s="8">
        <v>-2.67856886268272E-2</v>
      </c>
      <c r="T2822" s="9">
        <v>-2.71509627008562E-2</v>
      </c>
      <c r="U2822" s="12">
        <v>4.9036999999999997E-2</v>
      </c>
      <c r="V2822" s="16">
        <v>5.7488999999999999</v>
      </c>
      <c r="W2822" s="17">
        <f t="shared" si="44"/>
        <v>-7.3384673826709657E-3</v>
      </c>
    </row>
    <row r="2823" spans="1:23" x14ac:dyDescent="0.2">
      <c r="A2823" s="15">
        <v>45684</v>
      </c>
      <c r="B2823" s="5">
        <v>166386694819572</v>
      </c>
      <c r="C2823" s="5">
        <f>[1]!nefin_factors__1[[#This Row],[Rm_minus_Rf]]/B2822-1</f>
        <v>-1.202091661353806</v>
      </c>
      <c r="D2823" s="5">
        <v>81155348975902</v>
      </c>
      <c r="E2823" s="5">
        <f>[1]!nefin_factors__1[[#This Row],[SMB]]/D2822-1</f>
        <v>-0.86932046433471166</v>
      </c>
      <c r="F2823" s="5">
        <v>462373793836872</v>
      </c>
      <c r="G2823" s="5">
        <f>[1]!nefin_factors__1[[#This Row],[HML]]/F2822-1</f>
        <v>-1.8089913116115985</v>
      </c>
      <c r="H2823" s="5">
        <v>486162123495504</v>
      </c>
      <c r="I2823" s="6">
        <f>[1]!nefin_factors__1[[#This Row],[Risk_Free]]/H2822-1</f>
        <v>3.6263812813179808E-3</v>
      </c>
      <c r="J2823">
        <v>129245</v>
      </c>
      <c r="K2823">
        <v>129605</v>
      </c>
      <c r="L2823">
        <v>128149</v>
      </c>
      <c r="M2823">
        <v>128317</v>
      </c>
      <c r="N2823">
        <v>11540200</v>
      </c>
      <c r="O2823">
        <v>128317</v>
      </c>
      <c r="P2823">
        <v>-7.1801617083833104E-3</v>
      </c>
      <c r="Q2823">
        <v>-7.2060631281886996E-3</v>
      </c>
      <c r="R2823" s="8">
        <v>2.1700000762939502</v>
      </c>
      <c r="S2823" s="8">
        <v>-4.5871514481795597E-3</v>
      </c>
      <c r="T2823" s="9">
        <v>-4.5977047126992601E-3</v>
      </c>
      <c r="U2823" s="12">
        <v>4.9036999999999997E-2</v>
      </c>
      <c r="V2823" s="16">
        <v>5.7687999999999997</v>
      </c>
      <c r="W2823" s="17">
        <f t="shared" si="44"/>
        <v>3.4615317712953786E-3</v>
      </c>
    </row>
    <row r="2824" spans="1:23" x14ac:dyDescent="0.2">
      <c r="A2824" s="14">
        <v>45685</v>
      </c>
      <c r="B2824" s="3">
        <v>-498760179979708</v>
      </c>
      <c r="C2824" s="3">
        <f>[1]!nefin_factors__1[[#This Row],[Rm_minus_Rf]]/B2823-1</f>
        <v>-3.997596535711935</v>
      </c>
      <c r="D2824" s="3">
        <v>-758584827669759</v>
      </c>
      <c r="E2824" s="3">
        <f>[1]!nefin_factors__1[[#This Row],[SMB]]/D2823-1</f>
        <v>-10.347317672123012</v>
      </c>
      <c r="F2824" s="3">
        <v>-392632266716459</v>
      </c>
      <c r="G2824" s="3">
        <f>[1]!nefin_factors__1[[#This Row],[HML]]/F2823-1</f>
        <v>-1.8491663497152735</v>
      </c>
      <c r="H2824" s="3">
        <v>487917988663433</v>
      </c>
      <c r="I2824" s="4">
        <f>[1]!nefin_factors__1[[#This Row],[Risk_Free]]/H2823-1</f>
        <v>3.6116864787909542E-3</v>
      </c>
      <c r="J2824">
        <v>128316</v>
      </c>
      <c r="K2824">
        <v>130091</v>
      </c>
      <c r="L2824">
        <v>127973</v>
      </c>
      <c r="M2824">
        <v>129650</v>
      </c>
      <c r="N2824">
        <v>9983400</v>
      </c>
      <c r="O2824">
        <v>129650</v>
      </c>
      <c r="P2824">
        <v>1.03883351387579E-2</v>
      </c>
      <c r="Q2824">
        <v>1.03347471921324E-2</v>
      </c>
      <c r="R2824" s="8">
        <v>2.2300000190734899</v>
      </c>
      <c r="S2824" s="8">
        <v>2.7649742244255E-2</v>
      </c>
      <c r="T2824" s="9">
        <v>2.7274391314292601E-2</v>
      </c>
      <c r="U2824" s="12">
        <v>4.9036999999999997E-2</v>
      </c>
      <c r="V2824" s="16">
        <v>5.7930000000000001</v>
      </c>
      <c r="W2824" s="17">
        <f t="shared" si="44"/>
        <v>4.1949798918319292E-3</v>
      </c>
    </row>
    <row r="2825" spans="1:23" x14ac:dyDescent="0.2">
      <c r="A2825" s="15">
        <v>45686</v>
      </c>
      <c r="B2825" s="5">
        <v>-482091603573886</v>
      </c>
      <c r="C2825" s="5">
        <f>[1]!nefin_factors__1[[#This Row],[Rm_minus_Rf]]/B2824-1</f>
        <v>-3.3420022437437136E-2</v>
      </c>
      <c r="D2825" s="5">
        <v>924988676646932</v>
      </c>
      <c r="E2825" s="5">
        <f>[1]!nefin_factors__1[[#This Row],[SMB]]/D2824-1</f>
        <v>-2.2193608979609265</v>
      </c>
      <c r="F2825" s="5">
        <v>-13129387310125</v>
      </c>
      <c r="G2825" s="5">
        <f>[1]!nefin_factors__1[[#This Row],[HML]]/F2824-1</f>
        <v>-0.96656060027892088</v>
      </c>
      <c r="H2825" s="5">
        <v>489322124111125</v>
      </c>
      <c r="I2825" s="6">
        <f>[1]!nefin_factors__1[[#This Row],[Risk_Free]]/H2824-1</f>
        <v>2.8778103704238944E-3</v>
      </c>
      <c r="J2825">
        <v>129650</v>
      </c>
      <c r="K2825">
        <v>130877</v>
      </c>
      <c r="L2825">
        <v>128726</v>
      </c>
      <c r="M2825">
        <v>130464</v>
      </c>
      <c r="N2825">
        <v>8605300</v>
      </c>
      <c r="O2825">
        <v>130464</v>
      </c>
      <c r="P2825">
        <v>6.2784419591206397E-3</v>
      </c>
      <c r="Q2825">
        <v>6.2588146521694397E-3</v>
      </c>
      <c r="R2825" s="8">
        <v>2.2000000476837198</v>
      </c>
      <c r="S2825" s="8">
        <v>-1.34529018534425E-2</v>
      </c>
      <c r="T2825" s="9">
        <v>-1.3544211986474E-2</v>
      </c>
      <c r="U2825" s="12">
        <v>4.9036999999999997E-2</v>
      </c>
      <c r="V2825" s="16">
        <v>5.8346</v>
      </c>
      <c r="W2825" s="17">
        <f t="shared" si="44"/>
        <v>7.1810806145347073E-3</v>
      </c>
    </row>
    <row r="2826" spans="1:23" x14ac:dyDescent="0.2">
      <c r="A2826" s="14">
        <v>45687</v>
      </c>
      <c r="B2826" s="3">
        <v>247280775225708</v>
      </c>
      <c r="C2826" s="3">
        <f>[1]!nefin_factors__1[[#This Row],[Rm_minus_Rf]]/B2825-1</f>
        <v>-1.5129331716058594</v>
      </c>
      <c r="D2826" s="3">
        <v>712972109918548</v>
      </c>
      <c r="E2826" s="3">
        <f>[1]!nefin_factors__1[[#This Row],[SMB]]/D2825-1</f>
        <v>-0.22920990503034089</v>
      </c>
      <c r="F2826" s="3">
        <v>999847019487916</v>
      </c>
      <c r="G2826" s="3">
        <f>[1]!nefin_factors__1[[#This Row],[HML]]/F2825-1</f>
        <v>-77.153364652199969</v>
      </c>
      <c r="H2826" s="3">
        <v>490725765104338</v>
      </c>
      <c r="I2826" s="4">
        <f>[1]!nefin_factors__1[[#This Row],[Risk_Free]]/H2825-1</f>
        <v>2.8685418542289121E-3</v>
      </c>
      <c r="J2826">
        <v>130468</v>
      </c>
      <c r="K2826">
        <v>133318</v>
      </c>
      <c r="L2826">
        <v>130468</v>
      </c>
      <c r="M2826">
        <v>132216</v>
      </c>
      <c r="N2826">
        <v>11342700</v>
      </c>
      <c r="O2826">
        <v>132216</v>
      </c>
      <c r="P2826">
        <v>1.3428991905813E-2</v>
      </c>
      <c r="Q2826">
        <v>1.33396222016821E-2</v>
      </c>
      <c r="R2826" s="8">
        <v>2.3299999237060498</v>
      </c>
      <c r="S2826" s="8">
        <v>5.9090851456667003E-2</v>
      </c>
      <c r="T2826" s="9">
        <v>5.7410852794739897E-2</v>
      </c>
      <c r="U2826" s="12">
        <v>4.9036999999999997E-2</v>
      </c>
      <c r="V2826" s="16">
        <v>5.8268000000000004</v>
      </c>
      <c r="W2826" s="17">
        <f t="shared" si="44"/>
        <v>-1.3368525691563882E-3</v>
      </c>
    </row>
    <row r="2827" spans="1:23" x14ac:dyDescent="0.2">
      <c r="A2827" s="15">
        <v>45688</v>
      </c>
      <c r="B2827" s="5">
        <v>-585378922924064</v>
      </c>
      <c r="C2827" s="5">
        <f>[1]!nefin_factors__1[[#This Row],[Rm_minus_Rf]]/B2826-1</f>
        <v>-3.3672641853769405</v>
      </c>
      <c r="D2827" s="5">
        <v>-503507075540605</v>
      </c>
      <c r="E2827" s="5">
        <f>[1]!nefin_factors__1[[#This Row],[SMB]]/D2826-1</f>
        <v>-1.7062086560414365</v>
      </c>
      <c r="F2827" s="5">
        <v>-278224984495135</v>
      </c>
      <c r="G2827" s="5">
        <f>[1]!nefin_factors__1[[#This Row],[HML]]/F2826-1</f>
        <v>-1.2782675540080435</v>
      </c>
      <c r="H2827" s="5">
        <v>490725765104338</v>
      </c>
      <c r="I2827" s="6">
        <f>[1]!nefin_factors__1[[#This Row],[Risk_Free]]/H2826-1</f>
        <v>0</v>
      </c>
      <c r="J2827">
        <v>132245</v>
      </c>
      <c r="K2827">
        <v>134938</v>
      </c>
      <c r="L2827">
        <v>132223</v>
      </c>
      <c r="M2827">
        <v>134580</v>
      </c>
      <c r="N2827">
        <v>14113400</v>
      </c>
      <c r="O2827">
        <v>134580</v>
      </c>
      <c r="P2827">
        <v>1.78798330005445E-2</v>
      </c>
      <c r="Q2827">
        <v>1.7721868921646799E-2</v>
      </c>
      <c r="R2827" s="8">
        <v>2.3599998950958301</v>
      </c>
      <c r="S2827" s="8">
        <v>1.28755246232168E-2</v>
      </c>
      <c r="T2827" s="9">
        <v>1.27933397531701E-2</v>
      </c>
      <c r="U2827" s="12">
        <v>4.9036999999999997E-2</v>
      </c>
      <c r="V2827" s="16">
        <v>5.8131000000000004</v>
      </c>
      <c r="W2827" s="17">
        <f t="shared" si="44"/>
        <v>-2.3512047779227219E-3</v>
      </c>
    </row>
    <row r="2828" spans="1:23" x14ac:dyDescent="0.2">
      <c r="A2828" s="14">
        <v>45691</v>
      </c>
      <c r="B2828" s="3">
        <v>-3019240817098</v>
      </c>
      <c r="C2828" s="3">
        <f>[1]!nefin_factors__1[[#This Row],[Rm_minus_Rf]]/B2827-1</f>
        <v>-0.99484224542623367</v>
      </c>
      <c r="D2828" s="3">
        <v>-615790864447167</v>
      </c>
      <c r="E2828" s="3">
        <f>[1]!nefin_factors__1[[#This Row],[SMB]]/D2827-1</f>
        <v>0.22300339828592319</v>
      </c>
      <c r="F2828" s="3">
        <v>103310568880491</v>
      </c>
      <c r="G2828" s="3">
        <f>[1]!nefin_factors__1[[#This Row],[HML]]/F2827-1</f>
        <v>-1.3713202431045421</v>
      </c>
      <c r="H2828" s="3">
        <v>490725765104338</v>
      </c>
      <c r="I2828" s="4">
        <f>[1]!nefin_factors__1[[#This Row],[Risk_Free]]/H2827-1</f>
        <v>0</v>
      </c>
      <c r="J2828">
        <v>134579</v>
      </c>
      <c r="K2828">
        <v>134992</v>
      </c>
      <c r="L2828">
        <v>134186</v>
      </c>
      <c r="M2828">
        <v>134739</v>
      </c>
      <c r="N2828">
        <v>13051800</v>
      </c>
      <c r="O2828">
        <v>134739</v>
      </c>
      <c r="P2828">
        <v>1.18145341061071E-3</v>
      </c>
      <c r="Q2828">
        <v>1.18075604374692E-3</v>
      </c>
      <c r="R2828" s="8">
        <v>2.2999999523162802</v>
      </c>
      <c r="S2828" s="8">
        <v>-2.5423705697709201E-2</v>
      </c>
      <c r="T2828" s="9">
        <v>-2.57524723835427E-2</v>
      </c>
      <c r="U2828" s="12">
        <v>4.9036999999999997E-2</v>
      </c>
      <c r="V2828" s="16">
        <v>5.7419000000000002</v>
      </c>
      <c r="W2828" s="17">
        <f t="shared" si="44"/>
        <v>-1.2248198035471614E-2</v>
      </c>
    </row>
    <row r="2829" spans="1:23" x14ac:dyDescent="0.2">
      <c r="A2829" s="15">
        <v>45692</v>
      </c>
      <c r="B2829" s="5">
        <v>-647693442305411</v>
      </c>
      <c r="C2829" s="5">
        <f>[1]!nefin_factors__1[[#This Row],[Rm_minus_Rf]]/B2828-1</f>
        <v>213.52195486942102</v>
      </c>
      <c r="D2829" s="5">
        <v>-523137283347774</v>
      </c>
      <c r="E2829" s="5">
        <f>[1]!nefin_factors__1[[#This Row],[SMB]]/D2828-1</f>
        <v>-0.15046274059712428</v>
      </c>
      <c r="F2829" s="5">
        <v>192351577865273</v>
      </c>
      <c r="G2829" s="5">
        <f>[1]!nefin_factors__1[[#This Row],[HML]]/F2828-1</f>
        <v>0.86187705623597965</v>
      </c>
      <c r="H2829" s="5">
        <v>491427400289401</v>
      </c>
      <c r="I2829" s="6">
        <f>[1]!nefin_factors__1[[#This Row],[Risk_Free]]/H2828-1</f>
        <v>1.4297908016176475E-3</v>
      </c>
      <c r="J2829">
        <v>134741</v>
      </c>
      <c r="K2829">
        <v>135709</v>
      </c>
      <c r="L2829">
        <v>134711</v>
      </c>
      <c r="M2829">
        <v>135016</v>
      </c>
      <c r="N2829">
        <v>11449700</v>
      </c>
      <c r="O2829">
        <v>135016</v>
      </c>
      <c r="P2829">
        <v>2.0558264496544098E-3</v>
      </c>
      <c r="Q2829">
        <v>2.0537161302641798E-3</v>
      </c>
      <c r="R2829" s="8">
        <v>2.2799999713897701</v>
      </c>
      <c r="S2829" s="8">
        <v>-8.6956440613714693E-3</v>
      </c>
      <c r="T2829" s="9">
        <v>-8.7336717850504206E-3</v>
      </c>
      <c r="U2829" s="12">
        <v>4.9036999999999997E-2</v>
      </c>
      <c r="V2829" s="16">
        <v>5.7081999999999997</v>
      </c>
      <c r="W2829" s="17">
        <f t="shared" si="44"/>
        <v>-5.8691373935457758E-3</v>
      </c>
    </row>
    <row r="2830" spans="1:23" x14ac:dyDescent="0.2">
      <c r="A2830" s="14">
        <v>45693</v>
      </c>
      <c r="B2830" s="3">
        <v>193055975599949</v>
      </c>
      <c r="C2830" s="3">
        <f>[1]!nefin_factors__1[[#This Row],[Rm_minus_Rf]]/B2829-1</f>
        <v>-1.2980668986129955</v>
      </c>
      <c r="D2830" s="3">
        <v>-180587314585448</v>
      </c>
      <c r="E2830" s="3">
        <f>[1]!nefin_factors__1[[#This Row],[SMB]]/D2829-1</f>
        <v>-0.65479937994517545</v>
      </c>
      <c r="F2830" s="3">
        <v>26294338829329</v>
      </c>
      <c r="G2830" s="3">
        <f>[1]!nefin_factors__1[[#This Row],[HML]]/F2829-1</f>
        <v>-0.86330063355266007</v>
      </c>
      <c r="H2830" s="3">
        <v>492128911991685</v>
      </c>
      <c r="I2830" s="4">
        <f>[1]!nefin_factors__1[[#This Row],[Risk_Free]]/H2829-1</f>
        <v>1.4274981449362567E-3</v>
      </c>
      <c r="J2830">
        <v>135017</v>
      </c>
      <c r="K2830">
        <v>136150</v>
      </c>
      <c r="L2830">
        <v>134899</v>
      </c>
      <c r="M2830">
        <v>135093</v>
      </c>
      <c r="N2830">
        <v>12761100</v>
      </c>
      <c r="O2830">
        <v>135093</v>
      </c>
      <c r="P2830">
        <v>5.70302778929888E-4</v>
      </c>
      <c r="Q2830">
        <v>5.7014021810305104E-4</v>
      </c>
      <c r="R2830" s="8">
        <v>2.2799999713897701</v>
      </c>
      <c r="S2830" s="8">
        <v>0</v>
      </c>
      <c r="T2830" s="9">
        <v>0</v>
      </c>
      <c r="U2830" s="12">
        <v>4.9036999999999997E-2</v>
      </c>
      <c r="V2830" s="16">
        <v>5.6852</v>
      </c>
      <c r="W2830" s="17">
        <f t="shared" si="44"/>
        <v>-4.0292911951227417E-3</v>
      </c>
    </row>
    <row r="2831" spans="1:23" x14ac:dyDescent="0.2">
      <c r="A2831" s="15">
        <v>45694</v>
      </c>
      <c r="B2831" s="5">
        <v>454158139906675</v>
      </c>
      <c r="C2831" s="5">
        <f>[1]!nefin_factors__1[[#This Row],[Rm_minus_Rf]]/B2830-1</f>
        <v>1.352468699791932</v>
      </c>
      <c r="D2831" s="5">
        <v>994255322198627</v>
      </c>
      <c r="E2831" s="5">
        <f>[1]!nefin_factors__1[[#This Row],[SMB]]/D2830-1</f>
        <v>-6.5056764340342301</v>
      </c>
      <c r="F2831" s="5">
        <v>-30017085799257</v>
      </c>
      <c r="G2831" s="5">
        <f>[1]!nefin_factors__1[[#This Row],[HML]]/F2830-1</f>
        <v>-2.1415797900107534</v>
      </c>
      <c r="H2831" s="5">
        <v>492128911991685</v>
      </c>
      <c r="I2831" s="6">
        <f>[1]!nefin_factors__1[[#This Row],[Risk_Free]]/H2830-1</f>
        <v>0</v>
      </c>
      <c r="J2831">
        <v>135094</v>
      </c>
      <c r="K2831">
        <v>135171</v>
      </c>
      <c r="L2831">
        <v>133955</v>
      </c>
      <c r="M2831">
        <v>135067</v>
      </c>
      <c r="N2831">
        <v>15452400</v>
      </c>
      <c r="O2831">
        <v>135067</v>
      </c>
      <c r="P2831">
        <v>-1.9246000903083699E-4</v>
      </c>
      <c r="Q2831">
        <v>-1.9247853183501301E-4</v>
      </c>
      <c r="R2831" s="8">
        <v>2.1700000762939502</v>
      </c>
      <c r="S2831" s="8">
        <v>-4.8245568629886798E-2</v>
      </c>
      <c r="T2831" s="9">
        <v>-4.9448227707135299E-2</v>
      </c>
      <c r="U2831" s="12">
        <v>4.9036999999999997E-2</v>
      </c>
      <c r="V2831" s="16">
        <v>5.6657000000000002</v>
      </c>
      <c r="W2831" s="17">
        <f t="shared" si="44"/>
        <v>-3.4299584887075296E-3</v>
      </c>
    </row>
    <row r="2832" spans="1:23" x14ac:dyDescent="0.2">
      <c r="A2832" s="14">
        <v>45695</v>
      </c>
      <c r="B2832" s="3">
        <v>-12737594020746</v>
      </c>
      <c r="C2832" s="3">
        <f>[1]!nefin_factors__1[[#This Row],[Rm_minus_Rf]]/B2831-1</f>
        <v>-1.0280466051392658</v>
      </c>
      <c r="D2832" s="3">
        <v>-318010256796322</v>
      </c>
      <c r="E2832" s="3">
        <f>[1]!nefin_factors__1[[#This Row],[SMB]]/D2831-1</f>
        <v>-1.3198476786557163</v>
      </c>
      <c r="F2832" s="3">
        <v>-487762771326079</v>
      </c>
      <c r="G2832" s="3">
        <f>[1]!nefin_factors__1[[#This Row],[HML]]/F2831-1</f>
        <v>15.249504518461695</v>
      </c>
      <c r="H2832" s="3">
        <v>49283030025471</v>
      </c>
      <c r="I2832" s="4">
        <f>[1]!nefin_factors__1[[#This Row],[Risk_Free]]/H2831-1</f>
        <v>-0.89985747875283606</v>
      </c>
      <c r="J2832">
        <v>135067</v>
      </c>
      <c r="K2832">
        <v>135275</v>
      </c>
      <c r="L2832">
        <v>134355</v>
      </c>
      <c r="M2832">
        <v>135134</v>
      </c>
      <c r="N2832">
        <v>12739100</v>
      </c>
      <c r="O2832">
        <v>135134</v>
      </c>
      <c r="P2832">
        <v>4.9605010846476305E-4</v>
      </c>
      <c r="Q2832">
        <v>4.9592711628155205E-4</v>
      </c>
      <c r="R2832" s="8">
        <v>2.21000003814697</v>
      </c>
      <c r="S2832" s="8">
        <v>1.84331614961699E-2</v>
      </c>
      <c r="T2832" s="9">
        <v>1.8265330079867199E-2</v>
      </c>
      <c r="U2832" s="12">
        <v>5.2531000000000001E-2</v>
      </c>
      <c r="V2832" s="16">
        <v>5.6627999999999998</v>
      </c>
      <c r="W2832" s="17">
        <f t="shared" si="44"/>
        <v>-5.118520218155842E-4</v>
      </c>
    </row>
    <row r="2833" spans="1:23" x14ac:dyDescent="0.2">
      <c r="A2833" s="15">
        <v>45698</v>
      </c>
      <c r="B2833" s="5">
        <v>660660172060215</v>
      </c>
      <c r="C2833" s="5">
        <f>[1]!nefin_factors__1[[#This Row],[Rm_minus_Rf]]/B2832-1</f>
        <v>-52.866951559626038</v>
      </c>
      <c r="D2833" s="5">
        <v>738620138672128</v>
      </c>
      <c r="E2833" s="5">
        <f>[1]!nefin_factors__1[[#This Row],[SMB]]/D2832-1</f>
        <v>-3.3226299243083743</v>
      </c>
      <c r="F2833" s="5">
        <v>621252726289096</v>
      </c>
      <c r="G2833" s="5">
        <f>[1]!nefin_factors__1[[#This Row],[HML]]/F2832-1</f>
        <v>-2.273678031228374</v>
      </c>
      <c r="H2833" s="5">
        <v>494583231150925</v>
      </c>
      <c r="I2833" s="6">
        <f>[1]!nefin_factors__1[[#This Row],[Risk_Free]]/H2832-1</f>
        <v>9.0355686510206255</v>
      </c>
      <c r="J2833">
        <v>135131</v>
      </c>
      <c r="K2833">
        <v>135198</v>
      </c>
      <c r="L2833">
        <v>133390</v>
      </c>
      <c r="M2833">
        <v>133491</v>
      </c>
      <c r="N2833">
        <v>10796300</v>
      </c>
      <c r="O2833">
        <v>133491</v>
      </c>
      <c r="P2833">
        <v>-1.21583021297379E-2</v>
      </c>
      <c r="Q2833">
        <v>-1.22328188993081E-2</v>
      </c>
      <c r="R2833" s="8">
        <v>2.1900000572204599</v>
      </c>
      <c r="S2833" s="8">
        <v>-9.0497649689106306E-3</v>
      </c>
      <c r="T2833" s="9">
        <v>-9.0909628342623096E-3</v>
      </c>
      <c r="U2833" s="12">
        <v>5.2531000000000001E-2</v>
      </c>
      <c r="V2833" s="16">
        <v>5.7241</v>
      </c>
      <c r="W2833" s="17">
        <f t="shared" si="44"/>
        <v>1.0825033552306351E-2</v>
      </c>
    </row>
    <row r="2834" spans="1:23" x14ac:dyDescent="0.2">
      <c r="A2834" s="14">
        <v>45699</v>
      </c>
      <c r="B2834" s="3">
        <v>640081381391041</v>
      </c>
      <c r="C2834" s="3">
        <f>[1]!nefin_factors__1[[#This Row],[Rm_minus_Rf]]/B2833-1</f>
        <v>-3.114882891305637E-2</v>
      </c>
      <c r="D2834" s="3">
        <v>-126950026849132</v>
      </c>
      <c r="E2834" s="3">
        <f>[1]!nefin_factors__1[[#This Row],[SMB]]/D2833-1</f>
        <v>-1.1718745809955295</v>
      </c>
      <c r="F2834" s="3">
        <v>748994288360555</v>
      </c>
      <c r="G2834" s="3">
        <f>[1]!nefin_factors__1[[#This Row],[HML]]/F2833-1</f>
        <v>0.20561931829980451</v>
      </c>
      <c r="H2834" s="3">
        <v>495284187718825</v>
      </c>
      <c r="I2834" s="4">
        <f>[1]!nefin_factors__1[[#This Row],[Risk_Free]]/H2833-1</f>
        <v>1.4172671529295577E-3</v>
      </c>
      <c r="J2834">
        <v>133499</v>
      </c>
      <c r="K2834">
        <v>134135</v>
      </c>
      <c r="L2834">
        <v>133260</v>
      </c>
      <c r="M2834">
        <v>133516</v>
      </c>
      <c r="N2834">
        <v>11139700</v>
      </c>
      <c r="O2834">
        <v>133516</v>
      </c>
      <c r="P2834">
        <v>1.87278543122726E-4</v>
      </c>
      <c r="Q2834">
        <v>1.8726100868555101E-4</v>
      </c>
      <c r="R2834" s="8">
        <v>2.0599999427795401</v>
      </c>
      <c r="S2834" s="8">
        <v>-5.9360781298751997E-2</v>
      </c>
      <c r="T2834" s="9">
        <v>-6.1195614931905097E-2</v>
      </c>
      <c r="U2834" s="12">
        <v>5.2531000000000001E-2</v>
      </c>
      <c r="V2834" s="16">
        <v>5.7403000000000004</v>
      </c>
      <c r="W2834" s="17">
        <f t="shared" si="44"/>
        <v>2.8301392358625055E-3</v>
      </c>
    </row>
    <row r="2835" spans="1:23" x14ac:dyDescent="0.2">
      <c r="A2835" s="15">
        <v>45700</v>
      </c>
      <c r="B2835" s="5">
        <v>-162003458953225</v>
      </c>
      <c r="C2835" s="5">
        <f>[1]!nefin_factors__1[[#This Row],[Rm_minus_Rf]]/B2834-1</f>
        <v>-1.253098221043635</v>
      </c>
      <c r="D2835" s="5">
        <v>-870290598530602</v>
      </c>
      <c r="E2835" s="5">
        <f>[1]!nefin_factors__1[[#This Row],[SMB]]/D2834-1</f>
        <v>5.8553793971612107</v>
      </c>
      <c r="F2835" s="5">
        <v>-647145812332982</v>
      </c>
      <c r="G2835" s="5">
        <f>[1]!nefin_factors__1[[#This Row],[HML]]/F2834-1</f>
        <v>-1.8640196893216565</v>
      </c>
      <c r="H2835" s="5">
        <v>49598502104331</v>
      </c>
      <c r="I2835" s="6">
        <f>[1]!nefin_factors__1[[#This Row],[Risk_Free]]/H2834-1</f>
        <v>-0.89985849874842305</v>
      </c>
      <c r="J2835">
        <v>133517</v>
      </c>
      <c r="K2835">
        <v>134110</v>
      </c>
      <c r="L2835">
        <v>132872</v>
      </c>
      <c r="M2835">
        <v>133398</v>
      </c>
      <c r="N2835">
        <v>9938200</v>
      </c>
      <c r="O2835">
        <v>133398</v>
      </c>
      <c r="P2835">
        <v>-8.8378920878395795E-4</v>
      </c>
      <c r="Q2835">
        <v>-8.8417998072372003E-4</v>
      </c>
      <c r="R2835" s="8">
        <v>1.9900000095367401</v>
      </c>
      <c r="S2835" s="8">
        <v>-3.3980551061738098E-2</v>
      </c>
      <c r="T2835" s="9">
        <v>-3.4571311495833201E-2</v>
      </c>
      <c r="U2835" s="12">
        <v>5.2531000000000001E-2</v>
      </c>
      <c r="V2835" s="16">
        <v>5.6992000000000003</v>
      </c>
      <c r="W2835" s="17">
        <f t="shared" si="44"/>
        <v>-7.1599045346062429E-3</v>
      </c>
    </row>
    <row r="2836" spans="1:23" x14ac:dyDescent="0.2">
      <c r="A2836" s="14">
        <v>45701</v>
      </c>
      <c r="B2836" s="3">
        <v>271191729166398</v>
      </c>
      <c r="C2836" s="3">
        <f>[1]!nefin_factors__1[[#This Row],[Rm_minus_Rf]]/B2835-1</f>
        <v>-2.6739872773006579</v>
      </c>
      <c r="D2836" s="3">
        <v>997289535333139</v>
      </c>
      <c r="E2836" s="3">
        <f>[1]!nefin_factors__1[[#This Row],[SMB]]/D2835-1</f>
        <v>-2.1459270466864311</v>
      </c>
      <c r="F2836" s="3">
        <v>160775009685623</v>
      </c>
      <c r="G2836" s="3">
        <f>[1]!nefin_factors__1[[#This Row],[HML]]/F2835-1</f>
        <v>-1.2484370703196297</v>
      </c>
      <c r="H2836" s="3">
        <v>496335391502623</v>
      </c>
      <c r="I2836" s="4">
        <f>[1]!nefin_factors__1[[#This Row],[Risk_Free]]/H2835-1</f>
        <v>9.0070641338840431</v>
      </c>
      <c r="J2836">
        <v>133458</v>
      </c>
      <c r="K2836">
        <v>137635</v>
      </c>
      <c r="L2836">
        <v>133458</v>
      </c>
      <c r="M2836">
        <v>136232</v>
      </c>
      <c r="N2836">
        <v>17202900</v>
      </c>
      <c r="O2836">
        <v>136232</v>
      </c>
      <c r="P2836">
        <v>2.12446963222837E-2</v>
      </c>
      <c r="Q2836">
        <v>2.1022173858917002E-2</v>
      </c>
      <c r="R2836" s="8">
        <v>2.21000003814697</v>
      </c>
      <c r="S2836" s="8">
        <v>0.11055277766629</v>
      </c>
      <c r="T2836" s="9">
        <v>0.104857889262001</v>
      </c>
      <c r="U2836" s="12">
        <v>5.2531000000000001E-2</v>
      </c>
      <c r="V2836" s="16">
        <v>5.7298</v>
      </c>
      <c r="W2836" s="17">
        <f t="shared" si="44"/>
        <v>5.3691746209993951E-3</v>
      </c>
    </row>
    <row r="2837" spans="1:23" x14ac:dyDescent="0.2">
      <c r="A2837" s="15">
        <v>45702</v>
      </c>
      <c r="B2837" s="5">
        <v>256327071787887</v>
      </c>
      <c r="C2837" s="5">
        <f>[1]!nefin_factors__1[[#This Row],[Rm_minus_Rf]]/B2836-1</f>
        <v>-5.4812355171017568E-2</v>
      </c>
      <c r="D2837" s="5">
        <v>143825563221484</v>
      </c>
      <c r="E2837" s="5">
        <f>[1]!nefin_factors__1[[#This Row],[SMB]]/D2836-1</f>
        <v>-0.85578354316789262</v>
      </c>
      <c r="F2837" s="5">
        <v>996625162007395</v>
      </c>
      <c r="G2837" s="5">
        <f>[1]!nefin_factors__1[[#This Row],[HML]]/F2836-1</f>
        <v>5.1988810571753694</v>
      </c>
      <c r="H2837" s="5">
        <v>49703604004292</v>
      </c>
      <c r="I2837" s="6">
        <f>[1]!nefin_factors__1[[#This Row],[Risk_Free]]/H2836-1</f>
        <v>-0.89985883566791891</v>
      </c>
      <c r="J2837">
        <v>136232</v>
      </c>
      <c r="K2837">
        <v>137286</v>
      </c>
      <c r="L2837">
        <v>136105</v>
      </c>
      <c r="M2837">
        <v>136512</v>
      </c>
      <c r="N2837">
        <v>13881800</v>
      </c>
      <c r="O2837">
        <v>136512</v>
      </c>
      <c r="P2837">
        <v>2.0553173997299701E-3</v>
      </c>
      <c r="Q2837">
        <v>2.0532081245819601E-3</v>
      </c>
      <c r="R2837" s="8">
        <v>2.3099999427795401</v>
      </c>
      <c r="S2837" s="8">
        <v>4.5248824844553302E-2</v>
      </c>
      <c r="T2837" s="9">
        <v>4.4254966972205503E-2</v>
      </c>
      <c r="U2837" s="12">
        <v>5.2531000000000001E-2</v>
      </c>
      <c r="V2837" s="16">
        <v>5.7473999999999998</v>
      </c>
      <c r="W2837" s="17">
        <f t="shared" si="44"/>
        <v>3.0716604419001037E-3</v>
      </c>
    </row>
    <row r="2838" spans="1:23" x14ac:dyDescent="0.2">
      <c r="A2838" s="14">
        <v>45705</v>
      </c>
      <c r="B2838" s="3">
        <v>131497829477645</v>
      </c>
      <c r="C2838" s="3">
        <f>[1]!nefin_factors__1[[#This Row],[Rm_minus_Rf]]/B2837-1</f>
        <v>-0.48699203497919774</v>
      </c>
      <c r="D2838" s="3">
        <v>182773306296867</v>
      </c>
      <c r="E2838" s="3">
        <f>[1]!nefin_factors__1[[#This Row],[SMB]]/D2837-1</f>
        <v>0.27079847422815551</v>
      </c>
      <c r="F2838" s="3">
        <v>957666904125684</v>
      </c>
      <c r="G2838" s="3">
        <f>[1]!nefin_factors__1[[#This Row],[HML]]/F2837-1</f>
        <v>-3.9090180909381766E-2</v>
      </c>
      <c r="H2838" s="3">
        <v>498086781988594</v>
      </c>
      <c r="I2838" s="4">
        <f>[1]!nefin_factors__1[[#This Row],[Risk_Free]]/H2837-1</f>
        <v>9.0211401560656093</v>
      </c>
      <c r="J2838">
        <v>136516</v>
      </c>
      <c r="K2838">
        <v>137519</v>
      </c>
      <c r="L2838">
        <v>136356</v>
      </c>
      <c r="M2838">
        <v>136563</v>
      </c>
      <c r="N2838">
        <v>10915800</v>
      </c>
      <c r="O2838">
        <v>136563</v>
      </c>
      <c r="P2838">
        <v>3.7359353023913599E-4</v>
      </c>
      <c r="Q2838">
        <v>3.7352376155243001E-4</v>
      </c>
      <c r="R2838" s="8">
        <v>2.2599999904632599</v>
      </c>
      <c r="S2838" s="8">
        <v>-2.1645001538883601E-2</v>
      </c>
      <c r="T2838" s="9">
        <v>-2.1882690698543799E-2</v>
      </c>
      <c r="U2838" s="12">
        <v>5.2531000000000001E-2</v>
      </c>
      <c r="V2838" s="16">
        <v>5.766</v>
      </c>
      <c r="W2838" s="17">
        <f t="shared" si="44"/>
        <v>3.2362459546926292E-3</v>
      </c>
    </row>
    <row r="2839" spans="1:23" x14ac:dyDescent="0.2">
      <c r="A2839" s="15">
        <v>45706</v>
      </c>
      <c r="B2839" s="5">
        <v>641230067421627</v>
      </c>
      <c r="C2839" s="5">
        <f>[1]!nefin_factors__1[[#This Row],[Rm_minus_Rf]]/B2838-1</f>
        <v>3.8763547654650674</v>
      </c>
      <c r="D2839" s="5">
        <v>-637152891324112</v>
      </c>
      <c r="E2839" s="5">
        <f>[1]!nefin_factors__1[[#This Row],[SMB]]/D2838-1</f>
        <v>-4.4860281527611328</v>
      </c>
      <c r="F2839" s="5">
        <v>-422090781440899</v>
      </c>
      <c r="G2839" s="5">
        <f>[1]!nefin_factors__1[[#This Row],[HML]]/F2838-1</f>
        <v>-1.44074905337389</v>
      </c>
      <c r="H2839" s="5">
        <v>498787122772182</v>
      </c>
      <c r="I2839" s="6">
        <f>[1]!nefin_factors__1[[#This Row],[Risk_Free]]/H2838-1</f>
        <v>1.4060617725930591E-3</v>
      </c>
      <c r="J2839">
        <v>136565</v>
      </c>
      <c r="K2839">
        <v>139419</v>
      </c>
      <c r="L2839">
        <v>136550</v>
      </c>
      <c r="M2839">
        <v>138963</v>
      </c>
      <c r="N2839">
        <v>13071200</v>
      </c>
      <c r="O2839">
        <v>138963</v>
      </c>
      <c r="P2839">
        <v>1.7574306364095599E-2</v>
      </c>
      <c r="Q2839">
        <v>1.74216640358331E-2</v>
      </c>
      <c r="R2839" s="8">
        <v>2.4700000286102299</v>
      </c>
      <c r="S2839" s="8">
        <v>9.2920371253597506E-2</v>
      </c>
      <c r="T2839" s="9">
        <v>8.8853353158577994E-2</v>
      </c>
      <c r="U2839" s="12">
        <v>5.2531000000000001E-2</v>
      </c>
      <c r="V2839" s="16">
        <v>5.7422000000000004</v>
      </c>
      <c r="W2839" s="17">
        <f t="shared" si="44"/>
        <v>-4.1276448144293987E-3</v>
      </c>
    </row>
    <row r="2840" spans="1:23" x14ac:dyDescent="0.2">
      <c r="A2840" s="14">
        <v>45707</v>
      </c>
      <c r="B2840" s="3">
        <v>-101340057690067</v>
      </c>
      <c r="C2840" s="3">
        <f>[1]!nefin_factors__1[[#This Row],[Rm_minus_Rf]]/B2839-1</f>
        <v>-1.1580400901934516</v>
      </c>
      <c r="D2840" s="3">
        <v>-87191477949438</v>
      </c>
      <c r="E2840" s="3">
        <f>[1]!nefin_factors__1[[#This Row],[SMB]]/D2839-1</f>
        <v>-0.86315454400867697</v>
      </c>
      <c r="F2840" s="3">
        <v>-398097585211527</v>
      </c>
      <c r="G2840" s="3">
        <f>[1]!nefin_factors__1[[#This Row],[HML]]/F2839-1</f>
        <v>-5.6843686913668146E-2</v>
      </c>
      <c r="H2840" s="3">
        <v>499487340529292</v>
      </c>
      <c r="I2840" s="4">
        <f>[1]!nefin_factors__1[[#This Row],[Risk_Free]]/H2839-1</f>
        <v>1.40384088750789E-3</v>
      </c>
      <c r="J2840">
        <v>138965</v>
      </c>
      <c r="K2840">
        <v>139362</v>
      </c>
      <c r="L2840">
        <v>138228</v>
      </c>
      <c r="M2840">
        <v>138423</v>
      </c>
      <c r="N2840">
        <v>11155300</v>
      </c>
      <c r="O2840">
        <v>138423</v>
      </c>
      <c r="P2840">
        <v>-3.8859264696358099E-3</v>
      </c>
      <c r="Q2840">
        <v>-3.8934962987961399E-3</v>
      </c>
      <c r="R2840" s="8">
        <v>2.3800001144409202</v>
      </c>
      <c r="S2840" s="8">
        <v>-3.6437211792240701E-2</v>
      </c>
      <c r="T2840" s="9">
        <v>-3.7117626455173101E-2</v>
      </c>
      <c r="U2840" s="12">
        <v>5.2531000000000001E-2</v>
      </c>
      <c r="V2840" s="16">
        <v>5.7050999999999998</v>
      </c>
      <c r="W2840" s="17">
        <f t="shared" si="44"/>
        <v>-6.4609383163248824E-3</v>
      </c>
    </row>
    <row r="2841" spans="1:23" x14ac:dyDescent="0.2">
      <c r="A2841" s="15">
        <v>45708</v>
      </c>
      <c r="B2841" s="5">
        <v>-296949655453147</v>
      </c>
      <c r="C2841" s="5">
        <f>[1]!nefin_factors__1[[#This Row],[Rm_minus_Rf]]/B2840-1</f>
        <v>1.93022978496146</v>
      </c>
      <c r="D2841" s="5">
        <v>381586589409204</v>
      </c>
      <c r="E2841" s="5">
        <f>[1]!nefin_factors__1[[#This Row],[SMB]]/D2840-1</f>
        <v>-5.3764207051345609</v>
      </c>
      <c r="F2841" s="5">
        <v>-274534791501519</v>
      </c>
      <c r="G2841" s="5">
        <f>[1]!nefin_factors__1[[#This Row],[HML]]/F2840-1</f>
        <v>-0.31038317814551319</v>
      </c>
      <c r="H2841" s="5">
        <v>499837403286074</v>
      </c>
      <c r="I2841" s="6">
        <f>[1]!nefin_factors__1[[#This Row],[Risk_Free]]/H2840-1</f>
        <v>7.0084410229709349E-4</v>
      </c>
      <c r="J2841">
        <v>138425</v>
      </c>
      <c r="K2841">
        <v>139408</v>
      </c>
      <c r="L2841">
        <v>138321</v>
      </c>
      <c r="M2841">
        <v>139334</v>
      </c>
      <c r="N2841">
        <v>11500800</v>
      </c>
      <c r="O2841">
        <v>139334</v>
      </c>
      <c r="P2841">
        <v>6.5812762329959798E-3</v>
      </c>
      <c r="Q2841">
        <v>6.5597141867204398E-3</v>
      </c>
      <c r="R2841" s="8">
        <v>2.2200000286102299</v>
      </c>
      <c r="S2841" s="8">
        <v>-6.7226923587049403E-2</v>
      </c>
      <c r="T2841" s="9">
        <v>-6.9593326996122695E-2</v>
      </c>
      <c r="U2841" s="12">
        <v>5.2531000000000001E-2</v>
      </c>
      <c r="V2841" s="16">
        <v>5.6923000000000004</v>
      </c>
      <c r="W2841" s="17">
        <f t="shared" si="44"/>
        <v>-2.2436065976055852E-3</v>
      </c>
    </row>
    <row r="2842" spans="1:23" x14ac:dyDescent="0.2">
      <c r="A2842" s="14">
        <v>45709</v>
      </c>
      <c r="B2842" s="3">
        <v>-212000848727213</v>
      </c>
      <c r="C2842" s="3">
        <f>[1]!nefin_factors__1[[#This Row],[Rm_minus_Rf]]/B2841-1</f>
        <v>-0.28607141030792438</v>
      </c>
      <c r="D2842" s="3">
        <v>238653690010312</v>
      </c>
      <c r="E2842" s="3">
        <f>[1]!nefin_factors__1[[#This Row],[SMB]]/D2841-1</f>
        <v>-0.3745752690632802</v>
      </c>
      <c r="F2842" s="3">
        <v>-163416517788887</v>
      </c>
      <c r="G2842" s="3">
        <f>[1]!nefin_factors__1[[#This Row],[HML]]/F2841-1</f>
        <v>-0.40475115414294283</v>
      </c>
      <c r="H2842" s="3">
        <v>500187435302557</v>
      </c>
      <c r="I2842" s="4">
        <f>[1]!nefin_factors__1[[#This Row],[Risk_Free]]/H2841-1</f>
        <v>7.0029176324504228E-4</v>
      </c>
      <c r="J2842">
        <v>139335</v>
      </c>
      <c r="K2842">
        <v>139335</v>
      </c>
      <c r="L2842">
        <v>137713</v>
      </c>
      <c r="M2842">
        <v>139187</v>
      </c>
      <c r="N2842">
        <v>12106000</v>
      </c>
      <c r="O2842">
        <v>139187</v>
      </c>
      <c r="P2842">
        <v>-1.0550188755077401E-3</v>
      </c>
      <c r="Q2842">
        <v>-1.05557579966637E-3</v>
      </c>
      <c r="R2842" s="8">
        <v>2.3499999046325701</v>
      </c>
      <c r="S2842" s="8">
        <v>5.8558501958093201E-2</v>
      </c>
      <c r="T2842" s="9">
        <v>5.6908078802502302E-2</v>
      </c>
      <c r="U2842" s="12">
        <v>5.2531000000000001E-2</v>
      </c>
      <c r="V2842" s="16">
        <v>5.6067</v>
      </c>
      <c r="W2842" s="17">
        <f t="shared" si="44"/>
        <v>-1.5037858159267836E-2</v>
      </c>
    </row>
    <row r="2843" spans="1:23" x14ac:dyDescent="0.2">
      <c r="A2843" s="15">
        <v>45712</v>
      </c>
      <c r="B2843" s="5">
        <v>-132203981749985</v>
      </c>
      <c r="C2843" s="5">
        <f>[1]!nefin_factors__1[[#This Row],[Rm_minus_Rf]]/B2842-1</f>
        <v>-0.37639880904394252</v>
      </c>
      <c r="D2843" s="5">
        <v>-737119492311437</v>
      </c>
      <c r="E2843" s="5">
        <f>[1]!nefin_factors__1[[#This Row],[SMB]]/D2842-1</f>
        <v>-4.0886574277547805</v>
      </c>
      <c r="F2843" s="5">
        <v>-509102412945105</v>
      </c>
      <c r="G2843" s="5">
        <f>[1]!nefin_factors__1[[#This Row],[HML]]/F2842-1</f>
        <v>2.1153669153738757</v>
      </c>
      <c r="H2843" s="5">
        <v>501587256072078</v>
      </c>
      <c r="I2843" s="6">
        <f>[1]!nefin_factors__1[[#This Row],[Risk_Free]]/H2842-1</f>
        <v>2.7985924290045983E-3</v>
      </c>
      <c r="J2843">
        <v>139186</v>
      </c>
      <c r="K2843">
        <v>140203</v>
      </c>
      <c r="L2843">
        <v>138587</v>
      </c>
      <c r="M2843">
        <v>139636</v>
      </c>
      <c r="N2843">
        <v>9590600</v>
      </c>
      <c r="O2843">
        <v>139636</v>
      </c>
      <c r="P2843">
        <v>3.2258759797969502E-3</v>
      </c>
      <c r="Q2843">
        <v>3.2206840046605598E-3</v>
      </c>
      <c r="R2843" s="8">
        <v>2.2999999523162802</v>
      </c>
      <c r="S2843" s="8">
        <v>-2.1276576317181502E-2</v>
      </c>
      <c r="T2843" s="9">
        <v>-2.1506185371127501E-2</v>
      </c>
      <c r="U2843" s="12">
        <v>5.2531000000000001E-2</v>
      </c>
      <c r="V2843" s="16">
        <v>5.7777000000000003</v>
      </c>
      <c r="W2843" s="17">
        <f t="shared" si="44"/>
        <v>3.0499224142543691E-2</v>
      </c>
    </row>
    <row r="2844" spans="1:23" x14ac:dyDescent="0.2">
      <c r="A2844" s="14">
        <v>45713</v>
      </c>
      <c r="B2844" s="3">
        <v>470740735025017</v>
      </c>
      <c r="C2844" s="3">
        <f>[1]!nefin_factors__1[[#This Row],[Rm_minus_Rf]]/B2843-1</f>
        <v>-4.5607152582987194</v>
      </c>
      <c r="D2844" s="3">
        <v>-620432053392832</v>
      </c>
      <c r="E2844" s="3">
        <f>[1]!nefin_factors__1[[#This Row],[SMB]]/D2843-1</f>
        <v>-0.15830193087514222</v>
      </c>
      <c r="F2844" s="3">
        <v>165260568953818</v>
      </c>
      <c r="G2844" s="3">
        <f>[1]!nefin_factors__1[[#This Row],[HML]]/F2843-1</f>
        <v>-1.3246116395280914</v>
      </c>
      <c r="H2844" s="3">
        <v>502286982154709</v>
      </c>
      <c r="I2844" s="4">
        <f>[1]!nefin_factors__1[[#This Row],[Risk_Free]]/H2843-1</f>
        <v>1.3950236457571652E-3</v>
      </c>
      <c r="J2844">
        <v>139636</v>
      </c>
      <c r="K2844">
        <v>140244</v>
      </c>
      <c r="L2844">
        <v>138966</v>
      </c>
      <c r="M2844">
        <v>140110</v>
      </c>
      <c r="N2844">
        <v>9650800</v>
      </c>
      <c r="O2844">
        <v>140110</v>
      </c>
      <c r="P2844">
        <v>3.39454008994822E-3</v>
      </c>
      <c r="Q2844">
        <v>3.3887916439507299E-3</v>
      </c>
      <c r="R2844" s="8">
        <v>2.2999999523162802</v>
      </c>
      <c r="S2844" s="8">
        <v>0</v>
      </c>
      <c r="T2844" s="9">
        <v>0</v>
      </c>
      <c r="U2844" s="12">
        <v>5.2531000000000001E-2</v>
      </c>
      <c r="V2844" s="16">
        <v>5.8876999999999997</v>
      </c>
      <c r="W2844" s="17">
        <f t="shared" si="44"/>
        <v>1.903871782889377E-2</v>
      </c>
    </row>
    <row r="2845" spans="1:23" x14ac:dyDescent="0.2">
      <c r="A2845" s="15">
        <v>45714</v>
      </c>
      <c r="B2845" s="5">
        <v>-109253621883771</v>
      </c>
      <c r="C2845" s="5">
        <f>[1]!nefin_factors__1[[#This Row],[Rm_minus_Rf]]/B2844-1</f>
        <v>-1.2320887353799217</v>
      </c>
      <c r="D2845" s="5">
        <v>-127634170736781</v>
      </c>
      <c r="E2845" s="5">
        <f>[1]!nefin_factors__1[[#This Row],[SMB]]/D2844-1</f>
        <v>-0.79428179115051578</v>
      </c>
      <c r="F2845" s="5">
        <v>-534827222157159</v>
      </c>
      <c r="G2845" s="5">
        <f>[1]!nefin_factors__1[[#This Row],[HML]]/F2844-1</f>
        <v>-4.236266373417946</v>
      </c>
      <c r="H2845" s="5">
        <v>503336341022287</v>
      </c>
      <c r="I2845" s="6">
        <f>[1]!nefin_factors__1[[#This Row],[Risk_Free]]/H2844-1</f>
        <v>2.0891619828100616E-3</v>
      </c>
      <c r="J2845">
        <v>140109</v>
      </c>
      <c r="K2845">
        <v>140109</v>
      </c>
      <c r="L2845">
        <v>137538</v>
      </c>
      <c r="M2845">
        <v>137881</v>
      </c>
      <c r="N2845">
        <v>10150400</v>
      </c>
      <c r="O2845">
        <v>137881</v>
      </c>
      <c r="P2845">
        <v>-1.5908928698879499E-2</v>
      </c>
      <c r="Q2845">
        <v>-1.60368340772832E-2</v>
      </c>
      <c r="R2845" s="8">
        <v>2.2300000190734899</v>
      </c>
      <c r="S2845" s="8">
        <v>-3.0434754214799999E-2</v>
      </c>
      <c r="T2845" s="9">
        <v>-3.09075081778932E-2</v>
      </c>
      <c r="U2845" s="12">
        <v>5.2531000000000001E-2</v>
      </c>
      <c r="V2845" s="16">
        <v>5.9367999999999999</v>
      </c>
      <c r="W2845" s="17">
        <f t="shared" si="44"/>
        <v>8.3394194677037792E-3</v>
      </c>
    </row>
    <row r="2846" spans="1:23" x14ac:dyDescent="0.2">
      <c r="A2846" s="14">
        <v>45715</v>
      </c>
      <c r="B2846" s="3">
        <v>955325347883349</v>
      </c>
      <c r="C2846" s="3">
        <f>[1]!nefin_factors__1[[#This Row],[Rm_minus_Rf]]/B2845-1</f>
        <v>-9.7441068901099488</v>
      </c>
      <c r="D2846" s="3">
        <v>-318092375714689</v>
      </c>
      <c r="E2846" s="3">
        <f>[1]!nefin_factors__1[[#This Row],[SMB]]/D2845-1</f>
        <v>1.4922195512257335</v>
      </c>
      <c r="F2846" s="3">
        <v>290219380227739</v>
      </c>
      <c r="G2846" s="3">
        <f>[1]!nefin_factors__1[[#This Row],[HML]]/F2845-1</f>
        <v>-1.5426413768864928</v>
      </c>
      <c r="H2846" s="3">
        <v>50403576015956</v>
      </c>
      <c r="I2846" s="4">
        <f>[1]!nefin_factors__1[[#This Row],[Risk_Free]]/H2845-1</f>
        <v>-0.8998610433858496</v>
      </c>
      <c r="J2846">
        <v>137881</v>
      </c>
      <c r="K2846">
        <v>138837</v>
      </c>
      <c r="L2846">
        <v>137088</v>
      </c>
      <c r="M2846">
        <v>137273</v>
      </c>
      <c r="N2846">
        <v>13223200</v>
      </c>
      <c r="O2846">
        <v>137273</v>
      </c>
      <c r="P2846">
        <v>-4.40959958224851E-3</v>
      </c>
      <c r="Q2846">
        <v>-4.4193505422642299E-3</v>
      </c>
      <c r="R2846" s="8">
        <v>2.25</v>
      </c>
      <c r="S2846" s="8">
        <v>8.9686012356282596E-3</v>
      </c>
      <c r="T2846" s="9">
        <v>8.9286221911684602E-3</v>
      </c>
      <c r="U2846" s="12">
        <v>5.2531000000000001E-2</v>
      </c>
      <c r="V2846" s="16">
        <v>6.0605000000000002</v>
      </c>
      <c r="W2846" s="17">
        <f t="shared" si="44"/>
        <v>2.0836140681848914E-2</v>
      </c>
    </row>
    <row r="2847" spans="1:23" x14ac:dyDescent="0.2">
      <c r="A2847" s="15">
        <v>45716</v>
      </c>
      <c r="B2847" s="5">
        <v>-172394336599208</v>
      </c>
      <c r="C2847" s="5">
        <f>[1]!nefin_factors__1[[#This Row],[Rm_minus_Rf]]/B2846-1</f>
        <v>-1.1804561524313897</v>
      </c>
      <c r="D2847" s="5">
        <v>468848955488339</v>
      </c>
      <c r="E2847" s="5">
        <f>[1]!nefin_factors__1[[#This Row],[SMB]]/D2846-1</f>
        <v>-2.4739396203223372</v>
      </c>
      <c r="F2847" s="5">
        <v>112777780548147</v>
      </c>
      <c r="G2847" s="5">
        <f>[1]!nefin_factors__1[[#This Row],[HML]]/F2846-1</f>
        <v>-0.61140506723000798</v>
      </c>
      <c r="H2847" s="5">
        <v>504385423712117</v>
      </c>
      <c r="I2847" s="6">
        <f>[1]!nefin_factors__1[[#This Row],[Risk_Free]]/H2846-1</f>
        <v>9.0069372766814464</v>
      </c>
      <c r="J2847">
        <v>137273</v>
      </c>
      <c r="K2847">
        <v>137824</v>
      </c>
      <c r="L2847">
        <v>134997</v>
      </c>
      <c r="M2847">
        <v>137824</v>
      </c>
      <c r="N2847">
        <v>10682600</v>
      </c>
      <c r="O2847">
        <v>137824</v>
      </c>
      <c r="P2847">
        <v>4.0138993101337403E-3</v>
      </c>
      <c r="Q2847">
        <v>4.0058651081072297E-3</v>
      </c>
      <c r="R2847" s="8">
        <v>2.2400000095367401</v>
      </c>
      <c r="S2847" s="8">
        <v>-4.4444402058919598E-3</v>
      </c>
      <c r="T2847" s="9">
        <v>-4.4543460919056997E-3</v>
      </c>
      <c r="U2847" s="12">
        <v>5.2531000000000001E-2</v>
      </c>
      <c r="V2847" s="16">
        <v>5.9115000000000002</v>
      </c>
      <c r="W2847" s="17">
        <f t="shared" si="44"/>
        <v>-2.4585430245029238E-2</v>
      </c>
    </row>
    <row r="2848" spans="1:23" x14ac:dyDescent="0.2">
      <c r="A2848" s="14">
        <v>45721</v>
      </c>
      <c r="B2848" s="3">
        <v>260025995549517</v>
      </c>
      <c r="C2848" s="3">
        <f>[1]!nefin_factors__1[[#This Row],[Rm_minus_Rf]]/B2847-1</f>
        <v>-2.5083209847782877</v>
      </c>
      <c r="D2848" s="3">
        <v>-113287623572096</v>
      </c>
      <c r="E2848" s="3">
        <f>[1]!nefin_factors__1[[#This Row],[SMB]]/D2847-1</f>
        <v>-1.2416292544666097</v>
      </c>
      <c r="F2848" s="3">
        <v>-380198473549508</v>
      </c>
      <c r="G2848" s="3">
        <f>[1]!nefin_factors__1[[#This Row],[HML]]/F2847-1</f>
        <v>-4.3712179092511398</v>
      </c>
      <c r="H2848" s="3">
        <v>50822969973785</v>
      </c>
      <c r="I2848" s="4">
        <f>[1]!nefin_factors__1[[#This Row],[Risk_Free]]/H2847-1</f>
        <v>-0.89923782967448973</v>
      </c>
      <c r="J2848">
        <v>137824</v>
      </c>
      <c r="K2848">
        <v>138800</v>
      </c>
      <c r="L2848">
        <v>137795</v>
      </c>
      <c r="M2848">
        <v>138136</v>
      </c>
      <c r="N2848">
        <v>5553800</v>
      </c>
      <c r="O2848">
        <v>138136</v>
      </c>
      <c r="P2848">
        <v>2.2637566751799701E-3</v>
      </c>
      <c r="Q2848">
        <v>2.2611982384291001E-3</v>
      </c>
      <c r="R2848" s="8">
        <v>2.25</v>
      </c>
      <c r="S2848" s="8">
        <v>4.46428143780442E-3</v>
      </c>
      <c r="T2848" s="9">
        <v>4.4543460919055601E-3</v>
      </c>
      <c r="U2848" s="12">
        <v>5.2531000000000001E-2</v>
      </c>
      <c r="V2848" s="16">
        <v>5.8737000000000004</v>
      </c>
      <c r="W2848" s="17">
        <f t="shared" si="44"/>
        <v>-6.3943161634102408E-3</v>
      </c>
    </row>
    <row r="2849" spans="1:23" x14ac:dyDescent="0.2">
      <c r="A2849" s="15">
        <v>45722</v>
      </c>
      <c r="B2849" s="5">
        <v>217890041679402</v>
      </c>
      <c r="C2849" s="5">
        <f>[1]!nefin_factors__1[[#This Row],[Rm_minus_Rf]]/B2848-1</f>
        <v>-0.16204515929674046</v>
      </c>
      <c r="D2849" s="5">
        <v>126201765921615</v>
      </c>
      <c r="E2849" s="5">
        <f>[1]!nefin_factors__1[[#This Row],[SMB]]/D2848-1</f>
        <v>-2.1139942911883969</v>
      </c>
      <c r="F2849" s="5">
        <v>567398066131347</v>
      </c>
      <c r="G2849" s="5">
        <f>[1]!nefin_factors__1[[#This Row],[HML]]/F2848-1</f>
        <v>-2.4923733407821338</v>
      </c>
      <c r="H2849" s="5">
        <v>508578995602749</v>
      </c>
      <c r="I2849" s="6">
        <f>[1]!nefin_factors__1[[#This Row],[Risk_Free]]/H2848-1</f>
        <v>9.0068727952160046</v>
      </c>
      <c r="J2849">
        <v>138136</v>
      </c>
      <c r="K2849">
        <v>140382</v>
      </c>
      <c r="L2849">
        <v>138136</v>
      </c>
      <c r="M2849">
        <v>139541</v>
      </c>
      <c r="N2849">
        <v>11187800</v>
      </c>
      <c r="O2849">
        <v>139541</v>
      </c>
      <c r="P2849">
        <v>1.01711356923611E-2</v>
      </c>
      <c r="Q2849">
        <v>1.0119757779181201E-2</v>
      </c>
      <c r="R2849" s="8">
        <v>2.4000000953674299</v>
      </c>
      <c r="S2849" s="8">
        <v>6.66667090521917E-2</v>
      </c>
      <c r="T2849" s="9">
        <v>6.4538560874000103E-2</v>
      </c>
      <c r="U2849" s="12">
        <v>5.2531000000000001E-2</v>
      </c>
      <c r="V2849" s="16">
        <v>5.8425000000000002</v>
      </c>
      <c r="W2849" s="17">
        <f t="shared" si="44"/>
        <v>-5.3118136779202185E-3</v>
      </c>
    </row>
    <row r="2850" spans="1:23" x14ac:dyDescent="0.2">
      <c r="A2850" s="14">
        <v>45723</v>
      </c>
      <c r="B2850" s="3">
        <v>132090955825816</v>
      </c>
      <c r="C2850" s="3">
        <f>[1]!nefin_factors__1[[#This Row],[Rm_minus_Rf]]/B2849-1</f>
        <v>-0.39377240553209236</v>
      </c>
      <c r="D2850" s="3">
        <v>879732718149731</v>
      </c>
      <c r="E2850" s="3">
        <f>[1]!nefin_factors__1[[#This Row],[SMB]]/D2849-1</f>
        <v>5.9708431710546783</v>
      </c>
      <c r="F2850" s="3">
        <v>628555877796019</v>
      </c>
      <c r="G2850" s="3">
        <f>[1]!nefin_factors__1[[#This Row],[HML]]/F2849-1</f>
        <v>0.10778642951968509</v>
      </c>
      <c r="H2850" s="3">
        <v>509975873059343</v>
      </c>
      <c r="I2850" s="4">
        <f>[1]!nefin_factors__1[[#This Row],[Risk_Free]]/H2849-1</f>
        <v>2.7466282891579485E-3</v>
      </c>
      <c r="J2850">
        <v>139541</v>
      </c>
      <c r="K2850">
        <v>139547</v>
      </c>
      <c r="L2850">
        <v>138580</v>
      </c>
      <c r="M2850">
        <v>138888</v>
      </c>
      <c r="N2850">
        <v>9735000</v>
      </c>
      <c r="O2850">
        <v>138888</v>
      </c>
      <c r="P2850">
        <v>-4.6796282096301899E-3</v>
      </c>
      <c r="Q2850">
        <v>-4.69061194966319E-3</v>
      </c>
      <c r="R2850" s="8">
        <v>2.4200000762939502</v>
      </c>
      <c r="S2850" s="8">
        <v>8.3333250549106896E-3</v>
      </c>
      <c r="T2850" s="9">
        <v>8.2987946046891303E-3</v>
      </c>
      <c r="U2850" s="12">
        <v>5.2531000000000001E-2</v>
      </c>
      <c r="V2850" s="16">
        <v>5.8707000000000003</v>
      </c>
      <c r="W2850" s="17">
        <f t="shared" si="44"/>
        <v>4.8267008985878324E-3</v>
      </c>
    </row>
    <row r="2851" spans="1:23" x14ac:dyDescent="0.2">
      <c r="A2851" s="15">
        <v>45726</v>
      </c>
      <c r="B2851" s="5">
        <v>-402985629834852</v>
      </c>
      <c r="C2851" s="5">
        <f>[1]!nefin_factors__1[[#This Row],[Rm_minus_Rf]]/B2850-1</f>
        <v>-4.0508192428121719</v>
      </c>
      <c r="D2851" s="5">
        <v>360042286618879</v>
      </c>
      <c r="E2851" s="5">
        <f>[1]!nefin_factors__1[[#This Row],[SMB]]/D2850-1</f>
        <v>-0.59073673265656623</v>
      </c>
      <c r="F2851" s="5">
        <v>263151824367998</v>
      </c>
      <c r="G2851" s="5">
        <f>[1]!nefin_factors__1[[#This Row],[HML]]/F2850-1</f>
        <v>-0.58133901270525246</v>
      </c>
      <c r="H2851" s="5">
        <v>513117058686063</v>
      </c>
      <c r="I2851" s="6">
        <f>[1]!nefin_factors__1[[#This Row],[Risk_Free]]/H2850-1</f>
        <v>6.1594788943171164E-3</v>
      </c>
      <c r="J2851">
        <v>138869</v>
      </c>
      <c r="K2851">
        <v>139108</v>
      </c>
      <c r="L2851">
        <v>137993</v>
      </c>
      <c r="M2851">
        <v>138534</v>
      </c>
      <c r="N2851">
        <v>8826400</v>
      </c>
      <c r="O2851">
        <v>138534</v>
      </c>
      <c r="P2851">
        <v>-2.5488163124244298E-3</v>
      </c>
      <c r="Q2851">
        <v>-2.55207007472589E-3</v>
      </c>
      <c r="R2851" s="8">
        <v>2.3699998855590798</v>
      </c>
      <c r="S2851" s="8">
        <v>-2.0661235189477701E-2</v>
      </c>
      <c r="T2851" s="9">
        <v>-2.0877664835286702E-2</v>
      </c>
      <c r="U2851" s="12">
        <v>5.2531000000000001E-2</v>
      </c>
      <c r="V2851" s="16">
        <v>5.8807999999999998</v>
      </c>
      <c r="W2851" s="17">
        <f t="shared" si="44"/>
        <v>1.720408128502493E-3</v>
      </c>
    </row>
    <row r="2852" spans="1:23" x14ac:dyDescent="0.2">
      <c r="A2852" s="14">
        <v>45727</v>
      </c>
      <c r="B2852" s="3">
        <v>-102780909881061</v>
      </c>
      <c r="C2852" s="3">
        <f>[1]!nefin_factors__1[[#This Row],[Rm_minus_Rf]]/B2851-1</f>
        <v>-0.74495142687052696</v>
      </c>
      <c r="D2852" s="3">
        <v>657782500202612</v>
      </c>
      <c r="E2852" s="3">
        <f>[1]!nefin_factors__1[[#This Row],[SMB]]/D2851-1</f>
        <v>0.82695901189768972</v>
      </c>
      <c r="F2852" s="3">
        <v>482645336865957</v>
      </c>
      <c r="G2852" s="3">
        <f>[1]!nefin_factors__1[[#This Row],[HML]]/F2851-1</f>
        <v>0.8340945878870818</v>
      </c>
      <c r="H2852" s="3">
        <v>514512347020712</v>
      </c>
      <c r="I2852" s="4">
        <f>[1]!nefin_factors__1[[#This Row],[Risk_Free]]/H2851-1</f>
        <v>2.7192398128839113E-3</v>
      </c>
      <c r="J2852">
        <v>138546</v>
      </c>
      <c r="K2852">
        <v>138637</v>
      </c>
      <c r="L2852">
        <v>136726</v>
      </c>
      <c r="M2852">
        <v>137027</v>
      </c>
      <c r="N2852">
        <v>15141600</v>
      </c>
      <c r="O2852">
        <v>137027</v>
      </c>
      <c r="P2852">
        <v>-1.0878195966333199E-2</v>
      </c>
      <c r="Q2852">
        <v>-1.09377961625953E-2</v>
      </c>
      <c r="R2852" s="8">
        <v>2.3699998855590798</v>
      </c>
      <c r="S2852" s="8">
        <v>0</v>
      </c>
      <c r="T2852" s="9">
        <v>0</v>
      </c>
      <c r="U2852" s="12">
        <v>5.2531000000000001E-2</v>
      </c>
      <c r="V2852" s="16">
        <v>5.8559000000000001</v>
      </c>
      <c r="W2852" s="17">
        <f t="shared" si="44"/>
        <v>-4.2341178071010344E-3</v>
      </c>
    </row>
    <row r="2853" spans="1:23" x14ac:dyDescent="0.2">
      <c r="A2853" s="15">
        <v>45728</v>
      </c>
      <c r="B2853" s="5">
        <v>290366400015478</v>
      </c>
      <c r="C2853" s="5">
        <f>[1]!nefin_factors__1[[#This Row],[Rm_minus_Rf]]/B2852-1</f>
        <v>-3.8251005011678982</v>
      </c>
      <c r="D2853" s="5">
        <v>730490644219307</v>
      </c>
      <c r="E2853" s="5">
        <f>[1]!nefin_factors__1[[#This Row],[SMB]]/D2852-1</f>
        <v>0.11053523618262751</v>
      </c>
      <c r="F2853" s="5">
        <v>401239522699287</v>
      </c>
      <c r="G2853" s="5">
        <f>[1]!nefin_factors__1[[#This Row],[HML]]/F2852-1</f>
        <v>-0.16866590837751838</v>
      </c>
      <c r="H2853" s="5">
        <v>516255770902863</v>
      </c>
      <c r="I2853" s="6">
        <f>[1]!nefin_factors__1[[#This Row],[Risk_Free]]/H2852-1</f>
        <v>3.388497656560352E-3</v>
      </c>
      <c r="J2853">
        <v>137026</v>
      </c>
      <c r="K2853">
        <v>138471</v>
      </c>
      <c r="L2853">
        <v>136483</v>
      </c>
      <c r="M2853">
        <v>136787</v>
      </c>
      <c r="N2853">
        <v>9100100</v>
      </c>
      <c r="O2853">
        <v>136787</v>
      </c>
      <c r="P2853">
        <v>-1.75147963540034E-3</v>
      </c>
      <c r="Q2853">
        <v>-1.75301526920647E-3</v>
      </c>
      <c r="R2853" s="8">
        <v>2.4700000286102299</v>
      </c>
      <c r="S2853" s="8">
        <v>4.2194155223580297E-2</v>
      </c>
      <c r="T2853" s="9">
        <v>4.1328255363243097E-2</v>
      </c>
      <c r="U2853" s="12">
        <v>5.2531000000000001E-2</v>
      </c>
      <c r="V2853" s="16">
        <v>5.7496</v>
      </c>
      <c r="W2853" s="17">
        <f t="shared" si="44"/>
        <v>-1.8152632387848144E-2</v>
      </c>
    </row>
    <row r="2854" spans="1:23" x14ac:dyDescent="0.2">
      <c r="A2854" s="14">
        <v>45729</v>
      </c>
      <c r="B2854" s="3">
        <v>109505545156129</v>
      </c>
      <c r="C2854" s="3">
        <f>[1]!nefin_factors__1[[#This Row],[Rm_minus_Rf]]/B2853-1</f>
        <v>-0.6228711546849367</v>
      </c>
      <c r="D2854" s="3">
        <v>-179853550165167</v>
      </c>
      <c r="E2854" s="3">
        <f>[1]!nefin_factors__1[[#This Row],[SMB]]/D2853-1</f>
        <v>-1.2462092452359617</v>
      </c>
      <c r="F2854" s="3">
        <v>-146285316495763</v>
      </c>
      <c r="G2854" s="3">
        <f>[1]!nefin_factors__1[[#This Row],[HML]]/F2853-1</f>
        <v>-1.3645835173754755</v>
      </c>
      <c r="H2854" s="3">
        <v>516952927003933</v>
      </c>
      <c r="I2854" s="4">
        <f>[1]!nefin_factors__1[[#This Row],[Risk_Free]]/H2853-1</f>
        <v>1.3504083447837267E-3</v>
      </c>
      <c r="J2854">
        <v>136787</v>
      </c>
      <c r="K2854">
        <v>137672</v>
      </c>
      <c r="L2854">
        <v>136175</v>
      </c>
      <c r="M2854">
        <v>137546</v>
      </c>
      <c r="N2854">
        <v>9696700</v>
      </c>
      <c r="O2854">
        <v>137546</v>
      </c>
      <c r="P2854">
        <v>5.5487729097063497E-3</v>
      </c>
      <c r="Q2854">
        <v>5.5334351801988703E-3</v>
      </c>
      <c r="R2854" s="8">
        <v>2.5899999141693102</v>
      </c>
      <c r="S2854" s="8">
        <v>4.8582949056320997E-2</v>
      </c>
      <c r="T2854" s="9">
        <v>4.7439680349209298E-2</v>
      </c>
      <c r="U2854" s="12">
        <v>5.2531000000000001E-2</v>
      </c>
      <c r="V2854" s="16">
        <v>5.6879999999999997</v>
      </c>
      <c r="W2854" s="17">
        <f t="shared" si="44"/>
        <v>-1.0713788785306821E-2</v>
      </c>
    </row>
    <row r="2855" spans="1:23" x14ac:dyDescent="0.2">
      <c r="A2855" s="15">
        <v>45730</v>
      </c>
      <c r="B2855" s="5">
        <v>232704543481092</v>
      </c>
      <c r="C2855" s="5">
        <f>[1]!nefin_factors__1[[#This Row],[Rm_minus_Rf]]/B2854-1</f>
        <v>1.1250480343192701</v>
      </c>
      <c r="D2855" s="5">
        <v>100983955770584</v>
      </c>
      <c r="E2855" s="5">
        <f>[1]!nefin_factors__1[[#This Row],[SMB]]/D2854-1</f>
        <v>-1.5614788013794905</v>
      </c>
      <c r="F2855" s="5">
        <v>433617638195132</v>
      </c>
      <c r="G2855" s="5">
        <f>[1]!nefin_factors__1[[#This Row],[HML]]/F2854-1</f>
        <v>-3.9641911340273941</v>
      </c>
      <c r="H2855" s="5">
        <v>518346873523923</v>
      </c>
      <c r="I2855" s="6">
        <f>[1]!nefin_factors__1[[#This Row],[Risk_Free]]/H2854-1</f>
        <v>2.6964670227689336E-3</v>
      </c>
      <c r="J2855">
        <v>137547</v>
      </c>
      <c r="K2855">
        <v>138797</v>
      </c>
      <c r="L2855">
        <v>136695</v>
      </c>
      <c r="M2855">
        <v>137002</v>
      </c>
      <c r="N2855">
        <v>10199100</v>
      </c>
      <c r="O2855">
        <v>137002</v>
      </c>
      <c r="P2855">
        <v>-3.9550404955432904E-3</v>
      </c>
      <c r="Q2855">
        <v>-3.96288235160531E-3</v>
      </c>
      <c r="R2855" s="8">
        <v>2.6099998950958301</v>
      </c>
      <c r="S2855" s="8">
        <v>7.72200061362871E-3</v>
      </c>
      <c r="T2855" s="9">
        <v>7.6923385692469603E-3</v>
      </c>
      <c r="U2855" s="12">
        <v>5.2531000000000001E-2</v>
      </c>
      <c r="V2855" s="16">
        <v>5.6738</v>
      </c>
      <c r="W2855" s="17">
        <f t="shared" si="44"/>
        <v>-2.4964838255977506E-3</v>
      </c>
    </row>
    <row r="2856" spans="1:23" x14ac:dyDescent="0.2">
      <c r="A2856" s="14">
        <v>45733</v>
      </c>
      <c r="B2856" s="3">
        <v>132800962582148</v>
      </c>
      <c r="C2856" s="3">
        <f>[1]!nefin_factors__1[[#This Row],[Rm_minus_Rf]]/B2855-1</f>
        <v>-0.42931512812108674</v>
      </c>
      <c r="D2856" s="3">
        <v>277943512599511</v>
      </c>
      <c r="E2856" s="3">
        <f>[1]!nefin_factors__1[[#This Row],[SMB]]/D2855-1</f>
        <v>1.7523531879751757</v>
      </c>
      <c r="F2856" s="3">
        <v>153696685008683</v>
      </c>
      <c r="G2856" s="3">
        <f>[1]!nefin_factors__1[[#This Row],[HML]]/F2855-1</f>
        <v>-0.64554789411145208</v>
      </c>
      <c r="H2856" s="3">
        <v>520785107593236</v>
      </c>
      <c r="I2856" s="4">
        <f>[1]!nefin_factors__1[[#This Row],[Risk_Free]]/H2855-1</f>
        <v>4.7038656811739799E-3</v>
      </c>
      <c r="J2856">
        <v>137003</v>
      </c>
      <c r="K2856">
        <v>137451</v>
      </c>
      <c r="L2856">
        <v>136031</v>
      </c>
      <c r="M2856">
        <v>136236</v>
      </c>
      <c r="N2856">
        <v>9484500</v>
      </c>
      <c r="O2856">
        <v>136236</v>
      </c>
      <c r="P2856">
        <v>-5.5911592531495699E-3</v>
      </c>
      <c r="Q2856">
        <v>-5.6068482913163202E-3</v>
      </c>
      <c r="R2856" s="8">
        <v>2.5599999427795401</v>
      </c>
      <c r="S2856" s="8">
        <v>-1.9157070622965899E-2</v>
      </c>
      <c r="T2856" s="9">
        <v>-1.9342945001701799E-2</v>
      </c>
      <c r="U2856" s="12">
        <v>5.2531000000000001E-2</v>
      </c>
      <c r="V2856" s="16">
        <v>5.6845999999999997</v>
      </c>
      <c r="W2856" s="17">
        <f t="shared" si="44"/>
        <v>1.9034861997249131E-3</v>
      </c>
    </row>
    <row r="2857" spans="1:23" x14ac:dyDescent="0.2">
      <c r="A2857" s="15">
        <v>45734</v>
      </c>
      <c r="B2857" s="5">
        <v>448869667961677</v>
      </c>
      <c r="C2857" s="5">
        <f>[1]!nefin_factors__1[[#This Row],[Rm_minus_Rf]]/B2856-1</f>
        <v>2.3800181808472605</v>
      </c>
      <c r="D2857" s="5">
        <v>-359449092017818</v>
      </c>
      <c r="E2857" s="5">
        <f>[1]!nefin_factors__1[[#This Row],[SMB]]/D2856-1</f>
        <v>-2.2932451225647004</v>
      </c>
      <c r="F2857" s="5">
        <v>108243961844831</v>
      </c>
      <c r="G2857" s="5">
        <f>[1]!nefin_factors__1[[#This Row],[HML]]/F2856-1</f>
        <v>-0.29573001630636453</v>
      </c>
      <c r="H2857" s="5">
        <v>522525790697781</v>
      </c>
      <c r="I2857" s="6">
        <f>[1]!nefin_factors__1[[#This Row],[Risk_Free]]/H2856-1</f>
        <v>3.3424210469255033E-3</v>
      </c>
      <c r="J2857">
        <v>136236</v>
      </c>
      <c r="K2857">
        <v>136890</v>
      </c>
      <c r="L2857">
        <v>135601</v>
      </c>
      <c r="M2857">
        <v>136102</v>
      </c>
      <c r="N2857">
        <v>9119300</v>
      </c>
      <c r="O2857">
        <v>136102</v>
      </c>
      <c r="P2857">
        <v>-9.8358730438352594E-4</v>
      </c>
      <c r="Q2857">
        <v>-9.840713437989099E-4</v>
      </c>
      <c r="R2857" s="8">
        <v>2.53999996185303</v>
      </c>
      <c r="S2857" s="8">
        <v>-7.8124927240422696E-3</v>
      </c>
      <c r="T2857" s="9">
        <v>-7.8431701277771899E-3</v>
      </c>
      <c r="U2857" s="12">
        <v>5.2531000000000001E-2</v>
      </c>
      <c r="V2857" s="16">
        <v>5.6680999999999999</v>
      </c>
      <c r="W2857" s="17">
        <f t="shared" si="44"/>
        <v>-2.902578897371777E-3</v>
      </c>
    </row>
    <row r="2858" spans="1:23" x14ac:dyDescent="0.2">
      <c r="A2858" s="14">
        <v>45735</v>
      </c>
      <c r="B2858" s="3">
        <v>630425800561804</v>
      </c>
      <c r="C2858" s="3">
        <f>[1]!nefin_factors__1[[#This Row],[Rm_minus_Rf]]/B2857-1</f>
        <v>0.40447405017268312</v>
      </c>
      <c r="D2858" s="3">
        <v>116543001579691</v>
      </c>
      <c r="E2858" s="3">
        <f>[1]!nefin_factors__1[[#This Row],[SMB]]/D2857-1</f>
        <v>-1.3242267240834036</v>
      </c>
      <c r="F2858" s="3">
        <v>-21273353664459</v>
      </c>
      <c r="G2858" s="3">
        <f>[1]!nefin_factors__1[[#This Row],[HML]]/F2857-1</f>
        <v>-1.1965315506000658</v>
      </c>
      <c r="H2858" s="3">
        <v>523917790096862</v>
      </c>
      <c r="I2858" s="4">
        <f>[1]!nefin_factors__1[[#This Row],[Risk_Free]]/H2857-1</f>
        <v>2.6639821877922909E-3</v>
      </c>
      <c r="J2858">
        <v>136102</v>
      </c>
      <c r="K2858">
        <v>136106</v>
      </c>
      <c r="L2858">
        <v>134119</v>
      </c>
      <c r="M2858">
        <v>135699</v>
      </c>
      <c r="N2858">
        <v>7763800</v>
      </c>
      <c r="O2858">
        <v>135699</v>
      </c>
      <c r="P2858">
        <v>-2.96101453321773E-3</v>
      </c>
      <c r="Q2858">
        <v>-2.9654070096847098E-3</v>
      </c>
      <c r="R2858" s="8">
        <v>2.5799999237060498</v>
      </c>
      <c r="S2858" s="8">
        <v>1.5748016714081301E-2</v>
      </c>
      <c r="T2858" s="9">
        <v>1.5625303350277099E-2</v>
      </c>
      <c r="U2858" s="12">
        <v>5.2531000000000001E-2</v>
      </c>
      <c r="V2858" s="16">
        <v>5.6467000000000001</v>
      </c>
      <c r="W2858" s="17">
        <f t="shared" si="44"/>
        <v>-3.7755156048764338E-3</v>
      </c>
    </row>
    <row r="2859" spans="1:23" x14ac:dyDescent="0.2">
      <c r="A2859" s="15">
        <v>45736</v>
      </c>
      <c r="B2859" s="5">
        <v>-498989509659192</v>
      </c>
      <c r="C2859" s="5">
        <f>[1]!nefin_factors__1[[#This Row],[Rm_minus_Rf]]/B2858-1</f>
        <v>-1.7915118785026207</v>
      </c>
      <c r="D2859" s="5">
        <v>-169987854883417</v>
      </c>
      <c r="E2859" s="5">
        <f>[1]!nefin_factors__1[[#This Row],[SMB]]/D2858-1</f>
        <v>-2.4585848363205312</v>
      </c>
      <c r="F2859" s="5">
        <v>-914631235767859</v>
      </c>
      <c r="G2859" s="5">
        <f>[1]!nefin_factors__1[[#This Row],[HML]]/F2858-1</f>
        <v>41.994219444389557</v>
      </c>
      <c r="H2859" s="5">
        <v>525657106047905</v>
      </c>
      <c r="I2859" s="6">
        <f>[1]!nefin_factors__1[[#This Row],[Risk_Free]]/H2858-1</f>
        <v>3.319826094703604E-3</v>
      </c>
      <c r="J2859">
        <v>135716</v>
      </c>
      <c r="K2859">
        <v>137369</v>
      </c>
      <c r="L2859">
        <v>135716</v>
      </c>
      <c r="M2859">
        <v>136436</v>
      </c>
      <c r="N2859">
        <v>8186500</v>
      </c>
      <c r="O2859">
        <v>136436</v>
      </c>
      <c r="P2859">
        <v>5.4311380334417497E-3</v>
      </c>
      <c r="Q2859">
        <v>5.4164425879222001E-3</v>
      </c>
      <c r="R2859" s="8">
        <v>2.6099998950958301</v>
      </c>
      <c r="S2859" s="8">
        <v>1.16278962313598E-2</v>
      </c>
      <c r="T2859" s="9">
        <v>1.1560811779201799E-2</v>
      </c>
      <c r="U2859" s="12">
        <v>5.2531000000000001E-2</v>
      </c>
      <c r="V2859" s="16">
        <v>5.6608000000000001</v>
      </c>
      <c r="W2859" s="17">
        <f t="shared" si="44"/>
        <v>2.4970336656808811E-3</v>
      </c>
    </row>
    <row r="2860" spans="1:23" x14ac:dyDescent="0.2">
      <c r="A2860" s="14">
        <v>45737</v>
      </c>
      <c r="B2860" s="3">
        <v>283101464189328</v>
      </c>
      <c r="C2860" s="3">
        <f>[1]!nefin_factors__1[[#This Row],[Rm_minus_Rf]]/B2859-1</f>
        <v>-1.5673495308201675</v>
      </c>
      <c r="D2860" s="3">
        <v>112144280069955</v>
      </c>
      <c r="E2860" s="3">
        <f>[1]!nefin_factors__1[[#This Row],[SMB]]/D2859-1</f>
        <v>-1.6597193672857808</v>
      </c>
      <c r="F2860" s="3">
        <v>364194529337865</v>
      </c>
      <c r="G2860" s="3">
        <f>[1]!nefin_factors__1[[#This Row],[HML]]/F2859-1</f>
        <v>-1.3981872858651205</v>
      </c>
      <c r="H2860" s="3">
        <v>525657106047905</v>
      </c>
      <c r="I2860" s="4">
        <f>[1]!nefin_factors__1[[#This Row],[Risk_Free]]/H2859-1</f>
        <v>0</v>
      </c>
      <c r="J2860">
        <v>136443</v>
      </c>
      <c r="K2860">
        <v>137531</v>
      </c>
      <c r="L2860">
        <v>135628</v>
      </c>
      <c r="M2860">
        <v>137128</v>
      </c>
      <c r="N2860">
        <v>8767100</v>
      </c>
      <c r="O2860">
        <v>137128</v>
      </c>
      <c r="P2860">
        <v>5.0719751385264198E-3</v>
      </c>
      <c r="Q2860">
        <v>5.0591559999204703E-3</v>
      </c>
      <c r="R2860" s="8">
        <v>2.5299999713897701</v>
      </c>
      <c r="S2860" s="8">
        <v>-3.0651312996745401E-2</v>
      </c>
      <c r="T2860" s="9">
        <v>-3.11308897103931E-2</v>
      </c>
      <c r="U2860" s="12">
        <v>5.2531000000000001E-2</v>
      </c>
      <c r="V2860" s="16">
        <v>5.6394000000000002</v>
      </c>
      <c r="W2860" s="17">
        <f t="shared" si="44"/>
        <v>-3.7803843979649088E-3</v>
      </c>
    </row>
    <row r="2861" spans="1:23" x14ac:dyDescent="0.2">
      <c r="A2861" s="15">
        <v>45740</v>
      </c>
      <c r="B2861" s="5">
        <v>-731203659107434</v>
      </c>
      <c r="C2861" s="5">
        <f>[1]!nefin_factors__1[[#This Row],[Rm_minus_Rf]]/B2860-1</f>
        <v>-3.5828324879960052</v>
      </c>
      <c r="D2861" s="5">
        <v>250388078134471</v>
      </c>
      <c r="E2861" s="5">
        <f>[1]!nefin_factors__1[[#This Row],[SMB]]/D2860-1</f>
        <v>1.2327316023454808</v>
      </c>
      <c r="F2861" s="5">
        <v>248016314877368</v>
      </c>
      <c r="G2861" s="5">
        <f>[1]!nefin_factors__1[[#This Row],[HML]]/F2860-1</f>
        <v>-0.31900043823205793</v>
      </c>
      <c r="H2861" s="5">
        <v>525657106047905</v>
      </c>
      <c r="I2861" s="6">
        <f>[1]!nefin_factors__1[[#This Row],[Risk_Free]]/H2860-1</f>
        <v>0</v>
      </c>
      <c r="J2861">
        <v>137127</v>
      </c>
      <c r="K2861">
        <v>137931</v>
      </c>
      <c r="L2861">
        <v>136175</v>
      </c>
      <c r="M2861">
        <v>137800</v>
      </c>
      <c r="N2861">
        <v>7124600</v>
      </c>
      <c r="O2861">
        <v>137800</v>
      </c>
      <c r="P2861">
        <v>4.90053089084652E-3</v>
      </c>
      <c r="Q2861">
        <v>4.8885623748023202E-3</v>
      </c>
      <c r="R2861" s="8">
        <v>2.5199999809265101</v>
      </c>
      <c r="S2861" s="8">
        <v>-3.9525654451939597E-3</v>
      </c>
      <c r="T2861" s="9">
        <v>-3.9603974765496002E-3</v>
      </c>
      <c r="U2861" s="12">
        <v>5.2531000000000001E-2</v>
      </c>
      <c r="V2861" s="16">
        <v>5.6520000000000001</v>
      </c>
      <c r="W2861" s="17">
        <f t="shared" si="44"/>
        <v>2.2342802425789898E-3</v>
      </c>
    </row>
    <row r="2862" spans="1:23" x14ac:dyDescent="0.2">
      <c r="A2862" s="14">
        <v>45741</v>
      </c>
      <c r="B2862" s="3">
        <v>460239190379221</v>
      </c>
      <c r="C2862" s="3">
        <f>[1]!nefin_factors__1[[#This Row],[Rm_minus_Rf]]/B2861-1</f>
        <v>-1.6294268151516444</v>
      </c>
      <c r="D2862" s="3">
        <v>167523154769483</v>
      </c>
      <c r="E2862" s="3">
        <f>[1]!nefin_factors__1[[#This Row],[SMB]]/D2861-1</f>
        <v>-0.33094596189394199</v>
      </c>
      <c r="F2862" s="3">
        <v>153973772959067</v>
      </c>
      <c r="G2862" s="3">
        <f>[1]!nefin_factors__1[[#This Row],[HML]]/F2861-1</f>
        <v>-0.37917885347502422</v>
      </c>
      <c r="H2862" s="3">
        <v>525657106047905</v>
      </c>
      <c r="I2862" s="4">
        <f>[1]!nefin_factors__1[[#This Row],[Risk_Free]]/H2861-1</f>
        <v>0</v>
      </c>
      <c r="J2862">
        <v>137800</v>
      </c>
      <c r="K2862">
        <v>137800</v>
      </c>
      <c r="L2862">
        <v>136586</v>
      </c>
      <c r="M2862">
        <v>137213</v>
      </c>
      <c r="N2862">
        <v>8628300</v>
      </c>
      <c r="O2862">
        <v>137213</v>
      </c>
      <c r="P2862">
        <v>-4.2597968069666399E-3</v>
      </c>
      <c r="Q2862">
        <v>-4.2688955898893396E-3</v>
      </c>
      <c r="R2862" s="8">
        <v>2.3099999427795401</v>
      </c>
      <c r="S2862" s="8">
        <v>-8.3333349101758006E-2</v>
      </c>
      <c r="T2862" s="9">
        <v>-8.7011394191547797E-2</v>
      </c>
      <c r="U2862" s="12">
        <v>5.2531000000000001E-2</v>
      </c>
      <c r="V2862" s="16">
        <v>5.7210000000000001</v>
      </c>
      <c r="W2862" s="17">
        <f t="shared" si="44"/>
        <v>1.220806794055207E-2</v>
      </c>
    </row>
    <row r="2863" spans="1:23" x14ac:dyDescent="0.2">
      <c r="A2863" s="15">
        <v>45742</v>
      </c>
      <c r="B2863" s="5">
        <v>196828439572222</v>
      </c>
      <c r="C2863" s="5">
        <f>[1]!nefin_factors__1[[#This Row],[Rm_minus_Rf]]/B2862-1</f>
        <v>-0.57233446502015128</v>
      </c>
      <c r="D2863" s="5">
        <v>844064159615494</v>
      </c>
      <c r="E2863" s="5">
        <f>[1]!nefin_factors__1[[#This Row],[SMB]]/D2862-1</f>
        <v>4.0384925043761992</v>
      </c>
      <c r="F2863" s="5">
        <v>619342853671396</v>
      </c>
      <c r="G2863" s="5">
        <f>[1]!nefin_factors__1[[#This Row],[HML]]/F2862-1</f>
        <v>3.0223918773234493</v>
      </c>
      <c r="H2863" s="5">
        <v>525657106047905</v>
      </c>
      <c r="I2863" s="6">
        <f>[1]!nefin_factors__1[[#This Row],[Risk_Free]]/H2862-1</f>
        <v>0</v>
      </c>
      <c r="J2863">
        <v>137212</v>
      </c>
      <c r="K2863">
        <v>139988</v>
      </c>
      <c r="L2863">
        <v>137212</v>
      </c>
      <c r="M2863">
        <v>139256</v>
      </c>
      <c r="N2863">
        <v>7620500</v>
      </c>
      <c r="O2863">
        <v>139256</v>
      </c>
      <c r="P2863">
        <v>1.4889259764016401E-2</v>
      </c>
      <c r="Q2863">
        <v>1.47795028607392E-2</v>
      </c>
      <c r="R2863" s="8">
        <v>2.3599998950958301</v>
      </c>
      <c r="S2863" s="8">
        <v>2.1645001538883601E-2</v>
      </c>
      <c r="T2863" s="9">
        <v>2.1414074823655802E-2</v>
      </c>
      <c r="U2863" s="12">
        <v>5.2531000000000001E-2</v>
      </c>
      <c r="V2863" s="16">
        <v>5.7374999999999998</v>
      </c>
      <c r="W2863" s="17">
        <f t="shared" si="44"/>
        <v>2.8841111693760357E-3</v>
      </c>
    </row>
    <row r="2864" spans="1:23" x14ac:dyDescent="0.2">
      <c r="A2864" s="14">
        <v>45743</v>
      </c>
      <c r="B2864" s="3">
        <v>466499207987227</v>
      </c>
      <c r="C2864" s="3">
        <f>[1]!nefin_factors__1[[#This Row],[Rm_minus_Rf]]/B2863-1</f>
        <v>1.3700803044575021</v>
      </c>
      <c r="D2864" s="3">
        <v>-684922718677018</v>
      </c>
      <c r="E2864" s="3">
        <f>[1]!nefin_factors__1[[#This Row],[SMB]]/D2863-1</f>
        <v>-1.8114581230282643</v>
      </c>
      <c r="F2864" s="3">
        <v>-370022002333849</v>
      </c>
      <c r="G2864" s="3">
        <f>[1]!nefin_factors__1[[#This Row],[HML]]/F2863-1</f>
        <v>-1.5974429189590216</v>
      </c>
      <c r="H2864" s="3">
        <v>525657106047905</v>
      </c>
      <c r="I2864" s="4">
        <f>[1]!nefin_factors__1[[#This Row],[Risk_Free]]/H2863-1</f>
        <v>0</v>
      </c>
      <c r="J2864">
        <v>139256</v>
      </c>
      <c r="K2864">
        <v>139497</v>
      </c>
      <c r="L2864">
        <v>138293</v>
      </c>
      <c r="M2864">
        <v>138840</v>
      </c>
      <c r="N2864">
        <v>8377000</v>
      </c>
      <c r="O2864">
        <v>138840</v>
      </c>
      <c r="P2864">
        <v>-2.9873039581777001E-3</v>
      </c>
      <c r="Q2864">
        <v>-2.9917748568225599E-3</v>
      </c>
      <c r="R2864" s="8">
        <v>2.3299999237060498</v>
      </c>
      <c r="S2864" s="8">
        <v>-1.2711852848854699E-2</v>
      </c>
      <c r="T2864" s="9">
        <v>-1.27933397531701E-2</v>
      </c>
      <c r="U2864" s="12">
        <v>5.4266000000000002E-2</v>
      </c>
      <c r="V2864" s="16">
        <v>5.6859999999999999</v>
      </c>
      <c r="W2864" s="17">
        <f t="shared" si="44"/>
        <v>-8.9760348583878269E-3</v>
      </c>
    </row>
    <row r="2865" spans="1:23" x14ac:dyDescent="0.2">
      <c r="A2865" s="15">
        <v>45744</v>
      </c>
      <c r="B2865" s="5">
        <v>-896449468742017</v>
      </c>
      <c r="C2865" s="5">
        <f>[1]!nefin_factors__1[[#This Row],[Rm_minus_Rf]]/B2864-1</f>
        <v>-2.9216527132165298</v>
      </c>
      <c r="D2865" s="5">
        <v>316368258813844</v>
      </c>
      <c r="E2865" s="5">
        <f>[1]!nefin_factors__1[[#This Row],[SMB]]/D2864-1</f>
        <v>-1.4619035844291077</v>
      </c>
      <c r="F2865" s="5">
        <v>322390263522919</v>
      </c>
      <c r="G2865" s="5">
        <f>[1]!nefin_factors__1[[#This Row],[HML]]/F2864-1</f>
        <v>-1.8712732256176627</v>
      </c>
      <c r="H2865" s="5">
        <v>525657106047905</v>
      </c>
      <c r="I2865" s="6">
        <f>[1]!nefin_factors__1[[#This Row],[Risk_Free]]/H2864-1</f>
        <v>0</v>
      </c>
      <c r="J2865">
        <v>138844</v>
      </c>
      <c r="K2865">
        <v>139161</v>
      </c>
      <c r="L2865">
        <v>138443</v>
      </c>
      <c r="M2865">
        <v>138717</v>
      </c>
      <c r="N2865">
        <v>8323400</v>
      </c>
      <c r="O2865">
        <v>138717</v>
      </c>
      <c r="P2865">
        <v>-8.8591184096797903E-4</v>
      </c>
      <c r="Q2865">
        <v>-8.8630449278335305E-4</v>
      </c>
      <c r="R2865" s="8">
        <v>2.3099999427795401</v>
      </c>
      <c r="S2865" s="8">
        <v>-8.5836830821445203E-3</v>
      </c>
      <c r="T2865" s="9">
        <v>-8.6207350704857293E-3</v>
      </c>
      <c r="U2865" s="12">
        <v>5.4266000000000002E-2</v>
      </c>
      <c r="V2865" s="16">
        <v>5.6510999999999996</v>
      </c>
      <c r="W2865" s="17">
        <f t="shared" si="44"/>
        <v>-6.1378825184664754E-3</v>
      </c>
    </row>
    <row r="2866" spans="1:23" x14ac:dyDescent="0.2">
      <c r="A2866" s="14">
        <v>45747</v>
      </c>
      <c r="B2866" s="3">
        <v>-119522983669936</v>
      </c>
      <c r="C2866" s="3">
        <f>[1]!nefin_factors__1[[#This Row],[Rm_minus_Rf]]/B2865-1</f>
        <v>-0.8666706960765318</v>
      </c>
      <c r="D2866" s="3">
        <v>-59076540338744</v>
      </c>
      <c r="E2866" s="3">
        <f>[1]!nefin_factors__1[[#This Row],[SMB]]/D2865-1</f>
        <v>-1.1867334623272228</v>
      </c>
      <c r="F2866" s="3">
        <v>106825342396301</v>
      </c>
      <c r="G2866" s="3">
        <f>[1]!nefin_factors__1[[#This Row],[HML]]/F2865-1</f>
        <v>-0.66864587897609784</v>
      </c>
      <c r="H2866" s="3">
        <v>525657106047905</v>
      </c>
      <c r="I2866" s="4">
        <f>[1]!nefin_factors__1[[#This Row],[Risk_Free]]/H2865-1</f>
        <v>0</v>
      </c>
      <c r="J2866">
        <v>138715</v>
      </c>
      <c r="K2866">
        <v>138719</v>
      </c>
      <c r="L2866">
        <v>136815</v>
      </c>
      <c r="M2866">
        <v>137116</v>
      </c>
      <c r="N2866">
        <v>11289300</v>
      </c>
      <c r="O2866">
        <v>137116</v>
      </c>
      <c r="P2866">
        <v>-1.1541483740276999E-2</v>
      </c>
      <c r="Q2866">
        <v>-1.16086036054179E-2</v>
      </c>
      <c r="R2866" s="8">
        <v>2.28999996185303</v>
      </c>
      <c r="S2866" s="8">
        <v>-8.6580006155534406E-3</v>
      </c>
      <c r="T2866" s="9">
        <v>-8.6956988548589197E-3</v>
      </c>
      <c r="U2866" s="12">
        <v>5.4266000000000002E-2</v>
      </c>
      <c r="V2866" s="16">
        <v>5.6821999999999999</v>
      </c>
      <c r="W2866" s="17">
        <f t="shared" si="44"/>
        <v>5.503353329440408E-3</v>
      </c>
    </row>
    <row r="2867" spans="1:23" x14ac:dyDescent="0.2">
      <c r="A2867" s="15">
        <v>45748</v>
      </c>
      <c r="B2867" s="5">
        <v>658235832268791</v>
      </c>
      <c r="C2867" s="5">
        <f>[1]!nefin_factors__1[[#This Row],[Rm_minus_Rf]]/B2866-1</f>
        <v>-6.5071904336534665</v>
      </c>
      <c r="D2867" s="5">
        <v>908300109599541</v>
      </c>
      <c r="E2867" s="5">
        <f>[1]!nefin_factors__1[[#This Row],[SMB]]/D2866-1</f>
        <v>-16.37497125578718</v>
      </c>
      <c r="F2867" s="5">
        <v>105299859192439</v>
      </c>
      <c r="G2867" s="5">
        <f>[1]!nefin_factors__1[[#This Row],[HML]]/F2866-1</f>
        <v>-1.4280162081791059E-2</v>
      </c>
      <c r="H2867" s="5">
        <v>525657106047905</v>
      </c>
      <c r="I2867" s="6">
        <f>[1]!nefin_factors__1[[#This Row],[Risk_Free]]/H2866-1</f>
        <v>0</v>
      </c>
      <c r="J2867">
        <v>137116</v>
      </c>
      <c r="K2867">
        <v>137130</v>
      </c>
      <c r="L2867">
        <v>135835</v>
      </c>
      <c r="M2867">
        <v>136551</v>
      </c>
      <c r="N2867">
        <v>7727800</v>
      </c>
      <c r="O2867">
        <v>136551</v>
      </c>
      <c r="P2867">
        <v>-4.1205986172292404E-3</v>
      </c>
      <c r="Q2867">
        <v>-4.1291116776962199E-3</v>
      </c>
      <c r="R2867" s="8">
        <v>2.28999996185303</v>
      </c>
      <c r="S2867" s="8">
        <v>0</v>
      </c>
      <c r="T2867" s="9">
        <v>0</v>
      </c>
      <c r="U2867" s="12">
        <v>5.4266000000000002E-2</v>
      </c>
      <c r="V2867" s="16">
        <v>5.6261999999999999</v>
      </c>
      <c r="W2867" s="17">
        <f t="shared" si="44"/>
        <v>-9.8553377213050908E-3</v>
      </c>
    </row>
    <row r="2868" spans="1:23" x14ac:dyDescent="0.2">
      <c r="A2868" s="14">
        <v>45749</v>
      </c>
      <c r="B2868" s="3">
        <v>-345400244346355</v>
      </c>
      <c r="C2868" s="3">
        <f>[1]!nefin_factors__1[[#This Row],[Rm_minus_Rf]]/B2867-1</f>
        <v>-1.5247363139679559</v>
      </c>
      <c r="D2868" s="3">
        <v>521300903776319</v>
      </c>
      <c r="E2868" s="3">
        <f>[1]!nefin_factors__1[[#This Row],[SMB]]/D2867-1</f>
        <v>-0.42606975572627148</v>
      </c>
      <c r="F2868" s="3">
        <v>-531511853964405</v>
      </c>
      <c r="G2868" s="3">
        <f>[1]!nefin_factors__1[[#This Row],[HML]]/F2867-1</f>
        <v>-6.0476027037514779</v>
      </c>
      <c r="H2868" s="3">
        <v>525657106047905</v>
      </c>
      <c r="I2868" s="4">
        <f>[1]!nefin_factors__1[[#This Row],[Risk_Free]]/H2867-1</f>
        <v>0</v>
      </c>
      <c r="J2868">
        <v>136552</v>
      </c>
      <c r="K2868">
        <v>138156</v>
      </c>
      <c r="L2868">
        <v>136254</v>
      </c>
      <c r="M2868">
        <v>137165</v>
      </c>
      <c r="N2868">
        <v>8083700</v>
      </c>
      <c r="O2868">
        <v>137165</v>
      </c>
      <c r="P2868">
        <v>4.4964884914793198E-3</v>
      </c>
      <c r="Q2868">
        <v>4.4864094892199799E-3</v>
      </c>
      <c r="R2868" s="8">
        <v>2.4000000953674299</v>
      </c>
      <c r="S2868" s="8">
        <v>4.80349936012201E-2</v>
      </c>
      <c r="T2868" s="9">
        <v>4.6916976182247598E-2</v>
      </c>
      <c r="U2868" s="12">
        <v>5.4266000000000002E-2</v>
      </c>
      <c r="V2868" s="16">
        <v>5.61</v>
      </c>
      <c r="W2868" s="17">
        <f t="shared" si="44"/>
        <v>-2.8793857310439597E-3</v>
      </c>
    </row>
    <row r="2869" spans="1:23" x14ac:dyDescent="0.2">
      <c r="A2869" s="15">
        <v>45750</v>
      </c>
      <c r="B2869" s="5">
        <v>112731523339116</v>
      </c>
      <c r="C2869" s="5">
        <f>[1]!nefin_factors__1[[#This Row],[Rm_minus_Rf]]/B2868-1</f>
        <v>-1.3263793966111757</v>
      </c>
      <c r="D2869" s="5">
        <v>688788340966659</v>
      </c>
      <c r="E2869" s="5">
        <f>[1]!nefin_factors__1[[#This Row],[SMB]]/D2868-1</f>
        <v>0.32128744833752654</v>
      </c>
      <c r="F2869" s="5">
        <v>193633203902674</v>
      </c>
      <c r="G2869" s="5">
        <f>[1]!nefin_factors__1[[#This Row],[HML]]/F2868-1</f>
        <v>-1.3643064636440667</v>
      </c>
      <c r="H2869" s="5">
        <v>525657106047905</v>
      </c>
      <c r="I2869" s="6">
        <f>[1]!nefin_factors__1[[#This Row],[Risk_Free]]/H2868-1</f>
        <v>0</v>
      </c>
      <c r="J2869">
        <v>137163</v>
      </c>
      <c r="K2869">
        <v>137163</v>
      </c>
      <c r="L2869">
        <v>135565</v>
      </c>
      <c r="M2869">
        <v>135767</v>
      </c>
      <c r="N2869">
        <v>7705700</v>
      </c>
      <c r="O2869">
        <v>135767</v>
      </c>
      <c r="P2869">
        <v>-1.0192104399810401E-2</v>
      </c>
      <c r="Q2869">
        <v>-1.0244399530932201E-2</v>
      </c>
      <c r="R2869" s="8">
        <v>2.3399999141693102</v>
      </c>
      <c r="S2869" s="8">
        <v>-2.5000074505803001E-2</v>
      </c>
      <c r="T2869" s="9">
        <v>-2.5317884400500999E-2</v>
      </c>
      <c r="U2869" s="12">
        <v>5.4266000000000002E-2</v>
      </c>
      <c r="V2869" s="16">
        <v>5.6327999999999996</v>
      </c>
      <c r="W2869" s="17">
        <f t="shared" si="44"/>
        <v>4.0641711229945088E-3</v>
      </c>
    </row>
    <row r="2870" spans="1:23" x14ac:dyDescent="0.2">
      <c r="A2870" s="14">
        <v>45751</v>
      </c>
      <c r="B2870" s="3">
        <v>-269893106706352</v>
      </c>
      <c r="C2870" s="3">
        <f>[1]!nefin_factors__1[[#This Row],[Rm_minus_Rf]]/B2869-1</f>
        <v>-3.394122768078514</v>
      </c>
      <c r="D2870" s="3">
        <v>-108050973959888</v>
      </c>
      <c r="E2870" s="3">
        <f>[1]!nefin_factors__1[[#This Row],[SMB]]/D2869-1</f>
        <v>-1.1568710843860208</v>
      </c>
      <c r="F2870" s="3">
        <v>-111611645721109</v>
      </c>
      <c r="G2870" s="3">
        <f>[1]!nefin_factors__1[[#This Row],[HML]]/F2869-1</f>
        <v>-1.5764075761366239</v>
      </c>
      <c r="H2870" s="3">
        <v>526004878184771</v>
      </c>
      <c r="I2870" s="4">
        <f>[1]!nefin_factors__1[[#This Row],[Risk_Free]]/H2869-1</f>
        <v>6.6159504525797885E-4</v>
      </c>
      <c r="J2870">
        <v>135767</v>
      </c>
      <c r="K2870">
        <v>137353</v>
      </c>
      <c r="L2870">
        <v>135756</v>
      </c>
      <c r="M2870">
        <v>137114</v>
      </c>
      <c r="N2870">
        <v>8023300</v>
      </c>
      <c r="O2870">
        <v>137114</v>
      </c>
      <c r="P2870">
        <v>9.9214094735833296E-3</v>
      </c>
      <c r="Q2870">
        <v>9.8725154232332992E-3</v>
      </c>
      <c r="R2870" s="8">
        <v>2.3699998855590798</v>
      </c>
      <c r="S2870" s="8">
        <v>1.28205010641722E-2</v>
      </c>
      <c r="T2870" s="9">
        <v>1.2739014169903499E-2</v>
      </c>
      <c r="U2870" s="12">
        <v>5.4266000000000002E-2</v>
      </c>
      <c r="V2870" s="16">
        <v>5.6924999999999999</v>
      </c>
      <c r="W2870" s="17">
        <f t="shared" si="44"/>
        <v>1.0598636557307195E-2</v>
      </c>
    </row>
    <row r="2871" spans="1:23" x14ac:dyDescent="0.2">
      <c r="A2871" s="15">
        <v>45754</v>
      </c>
      <c r="B2871" s="5">
        <v>-143255175002032</v>
      </c>
      <c r="C2871" s="5">
        <f>[1]!nefin_factors__1[[#This Row],[Rm_minus_Rf]]/B2870-1</f>
        <v>-0.46921513946669291</v>
      </c>
      <c r="D2871" s="5">
        <v>-696410209439723</v>
      </c>
      <c r="E2871" s="5">
        <f>[1]!nefin_factors__1[[#This Row],[SMB]]/D2870-1</f>
        <v>5.4452006670319593</v>
      </c>
      <c r="F2871" s="5">
        <v>-10205411766226</v>
      </c>
      <c r="G2871" s="5">
        <f>[1]!nefin_factors__1[[#This Row],[HML]]/F2870-1</f>
        <v>-0.90856319965277721</v>
      </c>
      <c r="H2871" s="5">
        <v>527395663398655</v>
      </c>
      <c r="I2871" s="6">
        <f>[1]!nefin_factors__1[[#This Row],[Risk_Free]]/H2870-1</f>
        <v>2.6440538321308438E-3</v>
      </c>
      <c r="J2871">
        <v>137113</v>
      </c>
      <c r="K2871">
        <v>137209</v>
      </c>
      <c r="L2871">
        <v>136469</v>
      </c>
      <c r="M2871">
        <v>136866</v>
      </c>
      <c r="N2871">
        <v>6244500</v>
      </c>
      <c r="O2871">
        <v>136866</v>
      </c>
      <c r="P2871">
        <v>-1.80871391688664E-3</v>
      </c>
      <c r="Q2871">
        <v>-1.8103516149526699E-3</v>
      </c>
      <c r="R2871" s="8">
        <v>2.3499999046325701</v>
      </c>
      <c r="S2871" s="8">
        <v>-8.4388109250037608E-3</v>
      </c>
      <c r="T2871" s="9">
        <v>-8.4746192855505095E-3</v>
      </c>
      <c r="U2871" s="12">
        <v>5.4266000000000002E-2</v>
      </c>
      <c r="V2871" s="16">
        <v>5.6590999999999996</v>
      </c>
      <c r="W2871" s="17">
        <f t="shared" si="44"/>
        <v>-5.8673693456302578E-3</v>
      </c>
    </row>
    <row r="2872" spans="1:23" x14ac:dyDescent="0.2">
      <c r="A2872" s="14">
        <v>45755</v>
      </c>
      <c r="B2872" s="3">
        <v>-10763306701495</v>
      </c>
      <c r="C2872" s="3">
        <f>[1]!nefin_factors__1[[#This Row],[Rm_minus_Rf]]/B2871-1</f>
        <v>-0.92486619278261795</v>
      </c>
      <c r="D2872" s="3">
        <v>-110876276635452</v>
      </c>
      <c r="E2872" s="3">
        <f>[1]!nefin_factors__1[[#This Row],[SMB]]/D2871-1</f>
        <v>-0.84078884092659356</v>
      </c>
      <c r="F2872" s="3">
        <v>-129116329745496</v>
      </c>
      <c r="G2872" s="3">
        <f>[1]!nefin_factors__1[[#This Row],[HML]]/F2871-1</f>
        <v>11.651751120204306</v>
      </c>
      <c r="H2872" s="3">
        <v>528438433956779</v>
      </c>
      <c r="I2872" s="4">
        <f>[1]!nefin_factors__1[[#This Row],[Risk_Free]]/H2871-1</f>
        <v>1.9772073046717686E-3</v>
      </c>
      <c r="J2872">
        <v>136865</v>
      </c>
      <c r="K2872">
        <v>139103</v>
      </c>
      <c r="L2872">
        <v>136430</v>
      </c>
      <c r="M2872">
        <v>138855</v>
      </c>
      <c r="N2872">
        <v>7680300</v>
      </c>
      <c r="O2872">
        <v>138855</v>
      </c>
      <c r="P2872">
        <v>1.4532462408487001E-2</v>
      </c>
      <c r="Q2872">
        <v>1.44278782030277E-2</v>
      </c>
      <c r="R2872" s="8">
        <v>2.4000000953674299</v>
      </c>
      <c r="S2872" s="8">
        <v>2.1276677771900201E-2</v>
      </c>
      <c r="T2872" s="9">
        <v>2.1053489516148102E-2</v>
      </c>
      <c r="U2872" s="12">
        <v>5.4266000000000002E-2</v>
      </c>
      <c r="V2872" s="16">
        <v>5.6619999999999999</v>
      </c>
      <c r="W2872" s="17">
        <f t="shared" si="44"/>
        <v>5.1244897598556882E-4</v>
      </c>
    </row>
    <row r="2873" spans="1:23" x14ac:dyDescent="0.2">
      <c r="A2873" s="15">
        <v>45756</v>
      </c>
      <c r="B2873" s="5">
        <v>288386274783556</v>
      </c>
      <c r="C2873" s="5">
        <f>[1]!nefin_factors__1[[#This Row],[Rm_minus_Rf]]/B2872-1</f>
        <v>-27.793464386135142</v>
      </c>
      <c r="D2873" s="5">
        <v>908409564905949</v>
      </c>
      <c r="E2873" s="5">
        <f>[1]!nefin_factors__1[[#This Row],[SMB]]/D2872-1</f>
        <v>-9.1930020782776776</v>
      </c>
      <c r="F2873" s="5">
        <v>106396369927498</v>
      </c>
      <c r="G2873" s="5">
        <f>[1]!nefin_factors__1[[#This Row],[HML]]/F2872-1</f>
        <v>-1.8240349624034249</v>
      </c>
      <c r="H2873" s="5">
        <v>529133462812137</v>
      </c>
      <c r="I2873" s="6">
        <f>[1]!nefin_factors__1[[#This Row],[Risk_Free]]/H2872-1</f>
        <v>1.3152503881177502E-3</v>
      </c>
      <c r="J2873">
        <v>138855</v>
      </c>
      <c r="K2873">
        <v>139695</v>
      </c>
      <c r="L2873">
        <v>138855</v>
      </c>
      <c r="M2873">
        <v>139549</v>
      </c>
      <c r="N2873">
        <v>6345700</v>
      </c>
      <c r="O2873">
        <v>139549</v>
      </c>
      <c r="P2873">
        <v>4.9980195167620397E-3</v>
      </c>
      <c r="Q2873">
        <v>4.9855708790098596E-3</v>
      </c>
      <c r="R2873" s="8">
        <v>2.4400000572204599</v>
      </c>
      <c r="S2873" s="8">
        <v>1.6666650109821601E-2</v>
      </c>
      <c r="T2873" s="9">
        <v>1.6529285665789099E-2</v>
      </c>
      <c r="U2873" s="12">
        <v>5.4266000000000002E-2</v>
      </c>
      <c r="V2873" s="16">
        <v>5.6570999999999998</v>
      </c>
      <c r="W2873" s="17">
        <f t="shared" si="44"/>
        <v>-8.6541858000710459E-4</v>
      </c>
    </row>
    <row r="2874" spans="1:23" x14ac:dyDescent="0.2">
      <c r="A2874" s="14">
        <v>45757</v>
      </c>
      <c r="B2874" s="3">
        <v>-128925777306807</v>
      </c>
      <c r="C2874" s="3">
        <f>[1]!nefin_factors__1[[#This Row],[Rm_minus_Rf]]/B2873-1</f>
        <v>-1.4470593387413127</v>
      </c>
      <c r="D2874" s="3">
        <v>-868229435394628</v>
      </c>
      <c r="E2874" s="3">
        <f>[1]!nefin_factors__1[[#This Row],[SMB]]/D2873-1</f>
        <v>-1.9557687071299377</v>
      </c>
      <c r="F2874" s="3">
        <v>-326309994068128</v>
      </c>
      <c r="G2874" s="3">
        <f>[1]!nefin_factors__1[[#This Row],[HML]]/F2873-1</f>
        <v>-4.0669278875819392</v>
      </c>
      <c r="H2874" s="3">
        <v>528785963532563</v>
      </c>
      <c r="I2874" s="4">
        <f>[1]!nefin_factors__1[[#This Row],[Risk_Free]]/H2873-1</f>
        <v>-6.5673276025135507E-4</v>
      </c>
      <c r="J2874">
        <v>139586</v>
      </c>
      <c r="K2874">
        <v>140049</v>
      </c>
      <c r="L2874">
        <v>138384</v>
      </c>
      <c r="M2874">
        <v>139051</v>
      </c>
      <c r="N2874">
        <v>8811900</v>
      </c>
      <c r="O2874">
        <v>139051</v>
      </c>
      <c r="P2874">
        <v>-3.5686389726905499E-3</v>
      </c>
      <c r="Q2874">
        <v>-3.5750217545030402E-3</v>
      </c>
      <c r="R2874" s="8">
        <v>2.3900001049041699</v>
      </c>
      <c r="S2874" s="8">
        <v>-2.0491783255629101E-2</v>
      </c>
      <c r="T2874" s="9">
        <v>-2.07046529197395E-2</v>
      </c>
      <c r="U2874" s="12">
        <v>5.4266000000000002E-2</v>
      </c>
      <c r="V2874" s="16">
        <v>5.6390000000000002</v>
      </c>
      <c r="W2874" s="17">
        <f t="shared" si="44"/>
        <v>-3.199519188276656E-3</v>
      </c>
    </row>
    <row r="2875" spans="1:23" x14ac:dyDescent="0.2">
      <c r="A2875" s="15">
        <v>45758</v>
      </c>
      <c r="B2875" s="5">
        <v>899763474288996</v>
      </c>
      <c r="C2875" s="5">
        <f>[1]!nefin_factors__1[[#This Row],[Rm_minus_Rf]]/B2874-1</f>
        <v>-7.9789261161312419</v>
      </c>
      <c r="D2875" s="5">
        <v>342798190344629</v>
      </c>
      <c r="E2875" s="5">
        <f>[1]!nefin_factors__1[[#This Row],[SMB]]/D2874-1</f>
        <v>-1.394824428163761</v>
      </c>
      <c r="F2875" s="5">
        <v>162388846425155</v>
      </c>
      <c r="G2875" s="5">
        <f>[1]!nefin_factors__1[[#This Row],[HML]]/F2874-1</f>
        <v>-1.4976520774023578</v>
      </c>
      <c r="H2875" s="5">
        <v>529480931800386</v>
      </c>
      <c r="I2875" s="6">
        <f>[1]!nefin_factors__1[[#This Row],[Risk_Free]]/H2874-1</f>
        <v>1.3142713985452303E-3</v>
      </c>
      <c r="J2875">
        <v>139051</v>
      </c>
      <c r="K2875">
        <v>141304</v>
      </c>
      <c r="L2875">
        <v>139051</v>
      </c>
      <c r="M2875">
        <v>140928</v>
      </c>
      <c r="N2875">
        <v>6082200</v>
      </c>
      <c r="O2875">
        <v>140928</v>
      </c>
      <c r="P2875">
        <v>1.3498644382277099E-2</v>
      </c>
      <c r="Q2875">
        <v>1.3408349348369099E-2</v>
      </c>
      <c r="R2875" s="8">
        <v>2.4900000095367401</v>
      </c>
      <c r="S2875" s="8">
        <v>4.18409624448857E-2</v>
      </c>
      <c r="T2875" s="9">
        <v>4.0989304470255103E-2</v>
      </c>
      <c r="U2875" s="12">
        <v>5.4266000000000002E-2</v>
      </c>
      <c r="V2875" s="16">
        <v>5.6932</v>
      </c>
      <c r="W2875" s="17">
        <f t="shared" si="44"/>
        <v>9.6116332683100492E-3</v>
      </c>
    </row>
    <row r="2876" spans="1:23" x14ac:dyDescent="0.2">
      <c r="A2876" s="14">
        <v>45761</v>
      </c>
      <c r="B2876" s="3">
        <v>123614037227833</v>
      </c>
      <c r="C2876" s="3">
        <f>[1]!nefin_factors__1[[#This Row],[Rm_minus_Rf]]/B2875-1</f>
        <v>-0.8626149640876295</v>
      </c>
      <c r="D2876" s="3">
        <v>8837343994082</v>
      </c>
      <c r="E2876" s="3">
        <f>[1]!nefin_factors__1[[#This Row],[SMB]]/D2875-1</f>
        <v>-0.97421998060959003</v>
      </c>
      <c r="F2876" s="3">
        <v>3132512157139</v>
      </c>
      <c r="G2876" s="3">
        <f>[1]!nefin_factors__1[[#This Row],[HML]]/F2875-1</f>
        <v>-0.98070980719366851</v>
      </c>
      <c r="H2876" s="3">
        <v>530870504949821</v>
      </c>
      <c r="I2876" s="4">
        <f>[1]!nefin_factors__1[[#This Row],[Risk_Free]]/H2875-1</f>
        <v>2.6244064063083439E-3</v>
      </c>
      <c r="J2876">
        <v>140928</v>
      </c>
      <c r="K2876">
        <v>141537</v>
      </c>
      <c r="L2876">
        <v>140597</v>
      </c>
      <c r="M2876">
        <v>141478</v>
      </c>
      <c r="N2876">
        <v>2114300</v>
      </c>
      <c r="O2876">
        <v>141478</v>
      </c>
      <c r="P2876">
        <v>3.9027020890098898E-3</v>
      </c>
      <c r="Q2876">
        <v>3.8951063035233802E-3</v>
      </c>
      <c r="R2876" s="8">
        <v>2.4900000095367401</v>
      </c>
      <c r="S2876" s="8">
        <v>0</v>
      </c>
      <c r="T2876" s="9">
        <v>0</v>
      </c>
      <c r="U2876" s="12">
        <v>5.4266000000000002E-2</v>
      </c>
      <c r="V2876" s="16">
        <v>5.6619000000000002</v>
      </c>
      <c r="W2876" s="17">
        <f t="shared" si="44"/>
        <v>-5.4977868334152857E-3</v>
      </c>
    </row>
    <row r="2877" spans="1:23" x14ac:dyDescent="0.2">
      <c r="A2877" s="15">
        <v>45762</v>
      </c>
      <c r="B2877" s="5">
        <v>-106833961755292</v>
      </c>
      <c r="C2877" s="5">
        <f>[1]!nefin_factors__1[[#This Row],[Rm_minus_Rf]]/B2876-1</f>
        <v>-1.8642542881953315</v>
      </c>
      <c r="D2877" s="5">
        <v>332483589716765</v>
      </c>
      <c r="E2877" s="5">
        <f>[1]!nefin_factors__1[[#This Row],[SMB]]/D2876-1</f>
        <v>36.622569624925248</v>
      </c>
      <c r="F2877" s="5">
        <v>-692681365105049</v>
      </c>
      <c r="G2877" s="5">
        <f>[1]!nefin_factors__1[[#This Row],[HML]]/F2876-1</f>
        <v>-222.12647305340127</v>
      </c>
      <c r="H2877" s="5">
        <v>531217822562269</v>
      </c>
      <c r="I2877" s="6">
        <f>[1]!nefin_factors__1[[#This Row],[Risk_Free]]/H2876-1</f>
        <v>6.5424168268846117E-4</v>
      </c>
      <c r="J2877">
        <v>141265</v>
      </c>
      <c r="K2877">
        <v>141342</v>
      </c>
      <c r="L2877">
        <v>139295</v>
      </c>
      <c r="M2877">
        <v>139490</v>
      </c>
      <c r="N2877">
        <v>6117300</v>
      </c>
      <c r="O2877">
        <v>139490</v>
      </c>
      <c r="P2877">
        <v>-1.4051654674225001E-2</v>
      </c>
      <c r="Q2877">
        <v>-1.41513138595397E-2</v>
      </c>
      <c r="R2877" s="8">
        <v>2.4900000095367401</v>
      </c>
      <c r="S2877" s="8">
        <v>0</v>
      </c>
      <c r="T2877" s="9">
        <v>0</v>
      </c>
      <c r="U2877" s="12">
        <v>5.4266000000000002E-2</v>
      </c>
      <c r="V2877" s="16">
        <v>5.6539000000000001</v>
      </c>
      <c r="W2877" s="17">
        <f t="shared" si="44"/>
        <v>-1.4129532489093322E-3</v>
      </c>
    </row>
    <row r="2878" spans="1:23" x14ac:dyDescent="0.2">
      <c r="A2878" s="14">
        <v>45763</v>
      </c>
      <c r="B2878" s="3">
        <v>-374670207014026</v>
      </c>
      <c r="C2878" s="3">
        <f>[1]!nefin_factors__1[[#This Row],[Rm_minus_Rf]]/B2877-1</f>
        <v>2.5070327904924556</v>
      </c>
      <c r="D2878" s="3">
        <v>162099064850904</v>
      </c>
      <c r="E2878" s="3">
        <f>[1]!nefin_factors__1[[#This Row],[SMB]]/D2877-1</f>
        <v>-0.5124599533198243</v>
      </c>
      <c r="F2878" s="3">
        <v>281668327849461</v>
      </c>
      <c r="G2878" s="3">
        <f>[1]!nefin_factors__1[[#This Row],[HML]]/F2877-1</f>
        <v>-1.4066347703850015</v>
      </c>
      <c r="H2878" s="3">
        <v>531912367015108</v>
      </c>
      <c r="I2878" s="4">
        <f>[1]!nefin_factors__1[[#This Row],[Risk_Free]]/H2877-1</f>
        <v>1.3074569853266382E-3</v>
      </c>
      <c r="J2878">
        <v>139491</v>
      </c>
      <c r="K2878">
        <v>139591</v>
      </c>
      <c r="L2878">
        <v>138770</v>
      </c>
      <c r="M2878">
        <v>139303</v>
      </c>
      <c r="N2878">
        <v>6750100</v>
      </c>
      <c r="O2878">
        <v>139303</v>
      </c>
      <c r="P2878">
        <v>-1.34059789232199E-3</v>
      </c>
      <c r="Q2878">
        <v>-1.34149729759351E-3</v>
      </c>
      <c r="R2878" s="8">
        <v>2.4400000572204599</v>
      </c>
      <c r="S2878" s="8">
        <v>-2.0080302058146E-2</v>
      </c>
      <c r="T2878" s="9">
        <v>-2.0284651550515599E-2</v>
      </c>
      <c r="U2878" s="12">
        <v>5.4266000000000002E-2</v>
      </c>
      <c r="V2878" s="16">
        <v>5.6936</v>
      </c>
      <c r="W2878" s="17">
        <f t="shared" si="44"/>
        <v>7.021701834132088E-3</v>
      </c>
    </row>
    <row r="2879" spans="1:23" x14ac:dyDescent="0.2">
      <c r="A2879" s="15">
        <v>45764</v>
      </c>
      <c r="B2879" s="5">
        <v>818303664750767</v>
      </c>
      <c r="C2879" s="5">
        <f>[1]!nefin_factors__1[[#This Row],[Rm_minus_Rf]]/B2878-1</f>
        <v>-3.1840638765284406</v>
      </c>
      <c r="D2879" s="5">
        <v>121519143748086</v>
      </c>
      <c r="E2879" s="5">
        <f>[1]!nefin_factors__1[[#This Row],[SMB]]/D2878-1</f>
        <v>-0.25034025421517847</v>
      </c>
      <c r="F2879" s="5">
        <v>120511862537506</v>
      </c>
      <c r="G2879" s="5">
        <f>[1]!nefin_factors__1[[#This Row],[HML]]/F2878-1</f>
        <v>-0.57214975692292191</v>
      </c>
      <c r="H2879" s="5">
        <v>532259593865714</v>
      </c>
      <c r="I2879" s="6">
        <f>[1]!nefin_factors__1[[#This Row],[Risk_Free]]/H2878-1</f>
        <v>6.5278957989733932E-4</v>
      </c>
      <c r="J2879">
        <v>139303</v>
      </c>
      <c r="K2879">
        <v>139331</v>
      </c>
      <c r="L2879">
        <v>137299</v>
      </c>
      <c r="M2879">
        <v>137481</v>
      </c>
      <c r="N2879">
        <v>7584500</v>
      </c>
      <c r="O2879">
        <v>137481</v>
      </c>
      <c r="P2879">
        <v>-1.30794024536443E-2</v>
      </c>
      <c r="Q2879">
        <v>-1.3165691066093201E-2</v>
      </c>
      <c r="R2879" s="8">
        <v>2.3299999237060498</v>
      </c>
      <c r="S2879" s="8">
        <v>-4.50820208749141E-2</v>
      </c>
      <c r="T2879" s="9">
        <v>-4.61298279226919E-2</v>
      </c>
      <c r="U2879" s="12">
        <v>5.4266000000000002E-2</v>
      </c>
      <c r="V2879" s="16">
        <v>5.6558999999999999</v>
      </c>
      <c r="W2879" s="17">
        <f t="shared" si="44"/>
        <v>-6.6214697203877959E-3</v>
      </c>
    </row>
    <row r="2880" spans="1:23" x14ac:dyDescent="0.2">
      <c r="A2880" s="14">
        <v>45769</v>
      </c>
      <c r="B2880" s="3">
        <v>588044003870821</v>
      </c>
      <c r="C2880" s="3">
        <f>[1]!nefin_factors__1[[#This Row],[Rm_minus_Rf]]/B2879-1</f>
        <v>-0.28138656931235528</v>
      </c>
      <c r="D2880" s="3">
        <v>771994255228633</v>
      </c>
      <c r="E2880" s="3">
        <f>[1]!nefin_factors__1[[#This Row],[SMB]]/D2879-1</f>
        <v>5.3528612152584589</v>
      </c>
      <c r="F2880" s="3">
        <v>395124590996499</v>
      </c>
      <c r="G2880" s="3">
        <f>[1]!nefin_factors__1[[#This Row],[HML]]/F2879-1</f>
        <v>2.278719477707245</v>
      </c>
      <c r="H2880" s="3">
        <v>533648198886238</v>
      </c>
      <c r="I2880" s="4">
        <f>[1]!nefin_factors__1[[#This Row],[Risk_Free]]/H2879-1</f>
        <v>2.6088867848088615E-3</v>
      </c>
      <c r="J2880">
        <v>137472</v>
      </c>
      <c r="K2880">
        <v>137472</v>
      </c>
      <c r="L2880">
        <v>136015</v>
      </c>
      <c r="M2880">
        <v>136743</v>
      </c>
      <c r="N2880">
        <v>9566200</v>
      </c>
      <c r="O2880">
        <v>136743</v>
      </c>
      <c r="P2880">
        <v>-5.3680144892749304E-3</v>
      </c>
      <c r="Q2880">
        <v>-5.3824740483495196E-3</v>
      </c>
      <c r="R2880" s="8">
        <v>2.2999999523162802</v>
      </c>
      <c r="S2880" s="8">
        <v>-1.28755246232167E-2</v>
      </c>
      <c r="T2880" s="9">
        <v>-1.29591326303726E-2</v>
      </c>
      <c r="U2880" s="12">
        <v>5.4266000000000002E-2</v>
      </c>
      <c r="V2880" s="16">
        <v>5.7087000000000003</v>
      </c>
      <c r="W2880" s="17">
        <f t="shared" si="44"/>
        <v>9.3353842889727368E-3</v>
      </c>
    </row>
    <row r="2881" spans="1:23" x14ac:dyDescent="0.2">
      <c r="A2881" s="15">
        <v>45770</v>
      </c>
      <c r="B2881" s="5">
        <v>118386117911565</v>
      </c>
      <c r="C2881" s="5">
        <f>[1]!nefin_factors__1[[#This Row],[Rm_minus_Rf]]/B2880-1</f>
        <v>-0.7986781310033193</v>
      </c>
      <c r="D2881" s="5">
        <v>-811811091916393</v>
      </c>
      <c r="E2881" s="5">
        <f>[1]!nefin_factors__1[[#This Row],[SMB]]/D2880-1</f>
        <v>-2.0515765971289097</v>
      </c>
      <c r="F2881" s="5">
        <v>-5178172194878</v>
      </c>
      <c r="G2881" s="5">
        <f>[1]!nefin_factors__1[[#This Row],[HML]]/F2880-1</f>
        <v>-1.013105163062159</v>
      </c>
      <c r="H2881" s="5">
        <v>534342320041237</v>
      </c>
      <c r="I2881" s="6">
        <f>[1]!nefin_factors__1[[#This Row],[Risk_Free]]/H2880-1</f>
        <v>1.3007092621086791E-3</v>
      </c>
      <c r="J2881">
        <v>136742</v>
      </c>
      <c r="K2881">
        <v>136742</v>
      </c>
      <c r="L2881">
        <v>135528</v>
      </c>
      <c r="M2881">
        <v>136187</v>
      </c>
      <c r="N2881">
        <v>7401900</v>
      </c>
      <c r="O2881">
        <v>136187</v>
      </c>
      <c r="P2881">
        <v>-4.0660216610722798E-3</v>
      </c>
      <c r="Q2881">
        <v>-4.0743104029118899E-3</v>
      </c>
      <c r="R2881" s="8">
        <v>2.3399999141693102</v>
      </c>
      <c r="S2881" s="8">
        <v>1.73912881227429E-2</v>
      </c>
      <c r="T2881" s="9">
        <v>1.72417904867746E-2</v>
      </c>
      <c r="U2881" s="12">
        <v>5.4266000000000002E-2</v>
      </c>
      <c r="V2881" s="16">
        <v>5.6936999999999998</v>
      </c>
      <c r="W2881" s="17">
        <f t="shared" si="44"/>
        <v>-2.6275684481581463E-3</v>
      </c>
    </row>
    <row r="2882" spans="1:23" x14ac:dyDescent="0.2">
      <c r="A2882" s="14">
        <v>45771</v>
      </c>
      <c r="B2882" s="3">
        <v>175867288198163</v>
      </c>
      <c r="C2882" s="3">
        <f>[1]!nefin_factors__1[[#This Row],[Rm_minus_Rf]]/B2881-1</f>
        <v>0.48553978541248144</v>
      </c>
      <c r="D2882" s="3">
        <v>339649629295845</v>
      </c>
      <c r="E2882" s="3">
        <f>[1]!nefin_factors__1[[#This Row],[SMB]]/D2881-1</f>
        <v>-1.4183850561761293</v>
      </c>
      <c r="F2882" s="3">
        <v>108025869789439</v>
      </c>
      <c r="G2882" s="3">
        <f>[1]!nefin_factors__1[[#This Row],[HML]]/F2881-1</f>
        <v>-21.86177626466208</v>
      </c>
      <c r="H2882" s="3">
        <v>533648198886238</v>
      </c>
      <c r="I2882" s="4">
        <f>[1]!nefin_factors__1[[#This Row],[Risk_Free]]/H2881-1</f>
        <v>-1.2990196152635747E-3</v>
      </c>
      <c r="J2882">
        <v>136187</v>
      </c>
      <c r="K2882">
        <v>136187</v>
      </c>
      <c r="L2882">
        <v>134840</v>
      </c>
      <c r="M2882">
        <v>135299</v>
      </c>
      <c r="N2882">
        <v>7325600</v>
      </c>
      <c r="O2882">
        <v>135299</v>
      </c>
      <c r="P2882">
        <v>-6.5204461512479196E-3</v>
      </c>
      <c r="Q2882">
        <v>-6.5417971227676704E-3</v>
      </c>
      <c r="R2882" s="8">
        <v>2.28999996185303</v>
      </c>
      <c r="S2882" s="8">
        <v>-2.13675017736203E-2</v>
      </c>
      <c r="T2882" s="9">
        <v>-2.1599091781746502E-2</v>
      </c>
      <c r="U2882" s="12">
        <v>5.4266000000000002E-2</v>
      </c>
      <c r="V2882" s="16">
        <v>5.6694000000000004</v>
      </c>
      <c r="W2882" s="17">
        <f t="shared" si="44"/>
        <v>-4.2678750197585602E-3</v>
      </c>
    </row>
    <row r="2883" spans="1:23" x14ac:dyDescent="0.2">
      <c r="A2883" s="15">
        <v>45772</v>
      </c>
      <c r="B2883" s="5">
        <v>942085421179996</v>
      </c>
      <c r="C2883" s="5">
        <f>[1]!nefin_factors__1[[#This Row],[Rm_minus_Rf]]/B2882-1</f>
        <v>4.3567973375382749</v>
      </c>
      <c r="D2883" s="5">
        <v>-126180073632219</v>
      </c>
      <c r="E2883" s="5">
        <f>[1]!nefin_factors__1[[#This Row],[SMB]]/D2882-1</f>
        <v>-1.3715006958606524</v>
      </c>
      <c r="F2883" s="5">
        <v>-488317295729293</v>
      </c>
      <c r="G2883" s="5">
        <f>[1]!nefin_factors__1[[#This Row],[HML]]/F2882-1</f>
        <v>-5.5203736538396537</v>
      </c>
      <c r="H2883" s="5">
        <v>534689335298433</v>
      </c>
      <c r="I2883" s="6">
        <f>[1]!nefin_factors__1[[#This Row],[Risk_Free]]/H2882-1</f>
        <v>1.9509789677318867E-3</v>
      </c>
      <c r="J2883">
        <v>135298</v>
      </c>
      <c r="K2883">
        <v>136022</v>
      </c>
      <c r="L2883">
        <v>134380</v>
      </c>
      <c r="M2883">
        <v>135250</v>
      </c>
      <c r="N2883">
        <v>6904200</v>
      </c>
      <c r="O2883">
        <v>135250</v>
      </c>
      <c r="P2883">
        <v>-3.6216084376083902E-4</v>
      </c>
      <c r="Q2883">
        <v>-3.62226439837248E-4</v>
      </c>
      <c r="R2883" s="8">
        <v>2.4400000572204599</v>
      </c>
      <c r="S2883" s="8">
        <v>6.5502226142420697E-2</v>
      </c>
      <c r="T2883" s="9">
        <v>6.3446261848036603E-2</v>
      </c>
      <c r="U2883" s="12">
        <v>5.4266000000000002E-2</v>
      </c>
      <c r="V2883" s="16">
        <v>5.6332000000000004</v>
      </c>
      <c r="W2883" s="17">
        <f t="shared" si="44"/>
        <v>-6.385155395632669E-3</v>
      </c>
    </row>
    <row r="2884" spans="1:23" x14ac:dyDescent="0.2">
      <c r="A2884" s="14">
        <v>45775</v>
      </c>
      <c r="B2884" s="3">
        <v>220516460291838</v>
      </c>
      <c r="C2884" s="3">
        <f>[1]!nefin_factors__1[[#This Row],[Rm_minus_Rf]]/B2883-1</f>
        <v>-0.7659273189732273</v>
      </c>
      <c r="D2884" s="3">
        <v>-497258137405353</v>
      </c>
      <c r="E2884" s="3">
        <f>[1]!nefin_factors__1[[#This Row],[SMB]]/D2883-1</f>
        <v>2.9408610495404117</v>
      </c>
      <c r="F2884" s="3">
        <v>-200039993253311</v>
      </c>
      <c r="G2884" s="3">
        <f>[1]!nefin_factors__1[[#This Row],[HML]]/F2883-1</f>
        <v>-0.59034833498052763</v>
      </c>
      <c r="H2884" s="3">
        <v>535036320349125</v>
      </c>
      <c r="I2884" s="4">
        <f>[1]!nefin_factors__1[[#This Row],[Risk_Free]]/H2883-1</f>
        <v>6.4894701985851455E-4</v>
      </c>
      <c r="J2884">
        <v>135250</v>
      </c>
      <c r="K2884">
        <v>135641</v>
      </c>
      <c r="L2884">
        <v>134265</v>
      </c>
      <c r="M2884">
        <v>135511</v>
      </c>
      <c r="N2884">
        <v>7833200</v>
      </c>
      <c r="O2884">
        <v>135511</v>
      </c>
      <c r="P2884">
        <v>1.92975970425135E-3</v>
      </c>
      <c r="Q2884">
        <v>1.9279001099890001E-3</v>
      </c>
      <c r="R2884" s="8">
        <v>2.4900000095367401</v>
      </c>
      <c r="S2884" s="8">
        <v>2.0491783255629101E-2</v>
      </c>
      <c r="T2884" s="9">
        <v>2.0284651550515599E-2</v>
      </c>
      <c r="U2884" s="12">
        <v>5.4266000000000002E-2</v>
      </c>
      <c r="V2884" s="16">
        <v>5.5968999999999998</v>
      </c>
      <c r="W2884" s="17">
        <f t="shared" ref="W2884:W2947" si="45">V2884/V2883-1</f>
        <v>-6.4439395015267742E-3</v>
      </c>
    </row>
    <row r="2885" spans="1:23" x14ac:dyDescent="0.2">
      <c r="A2885" s="15">
        <v>45776</v>
      </c>
      <c r="B2885" s="5">
        <v>-639417232824507</v>
      </c>
      <c r="C2885" s="5">
        <f>[1]!nefin_factors__1[[#This Row],[Rm_minus_Rf]]/B2884-1</f>
        <v>-3.8996349387174241</v>
      </c>
      <c r="D2885" s="5">
        <v>515604082976317</v>
      </c>
      <c r="E2885" s="5">
        <f>[1]!nefin_factors__1[[#This Row],[SMB]]/D2884-1</f>
        <v>-2.0368942088443065</v>
      </c>
      <c r="F2885" s="5">
        <v>240484908245155</v>
      </c>
      <c r="G2885" s="5">
        <f>[1]!nefin_factors__1[[#This Row],[HML]]/F2884-1</f>
        <v>-2.2021841449505977</v>
      </c>
      <c r="H2885" s="5">
        <v>53607709431458</v>
      </c>
      <c r="I2885" s="6">
        <f>[1]!nefin_factors__1[[#This Row],[Risk_Free]]/H2884-1</f>
        <v>-0.89980547601613736</v>
      </c>
      <c r="J2885">
        <v>135515</v>
      </c>
      <c r="K2885">
        <v>135793</v>
      </c>
      <c r="L2885">
        <v>135016</v>
      </c>
      <c r="M2885">
        <v>135565</v>
      </c>
      <c r="N2885">
        <v>6800000</v>
      </c>
      <c r="O2885">
        <v>135565</v>
      </c>
      <c r="P2885">
        <v>3.9849163536542803E-4</v>
      </c>
      <c r="Q2885">
        <v>3.9841225866030201E-4</v>
      </c>
      <c r="R2885" s="8">
        <v>2.5</v>
      </c>
      <c r="S2885" s="8">
        <v>4.0160604116292698E-3</v>
      </c>
      <c r="T2885" s="9">
        <v>4.0080175675215697E-3</v>
      </c>
      <c r="U2885" s="12">
        <v>5.4266000000000002E-2</v>
      </c>
      <c r="V2885" s="16">
        <v>5.5946999999999996</v>
      </c>
      <c r="W2885" s="17">
        <f t="shared" si="45"/>
        <v>-3.9307473780136881E-4</v>
      </c>
    </row>
    <row r="2886" spans="1:23" x14ac:dyDescent="0.2">
      <c r="A2886" s="14">
        <v>45777</v>
      </c>
      <c r="B2886" s="3">
        <v>-201428823839513</v>
      </c>
      <c r="C2886" s="3">
        <f>[1]!nefin_factors__1[[#This Row],[Rm_minus_Rf]]/B2885-1</f>
        <v>-0.68498061437953661</v>
      </c>
      <c r="D2886" s="3">
        <v>-850095732653256</v>
      </c>
      <c r="E2886" s="3">
        <f>[1]!nefin_factors__1[[#This Row],[SMB]]/D2885-1</f>
        <v>-2.6487373950688884</v>
      </c>
      <c r="F2886" s="3">
        <v>402792011253748</v>
      </c>
      <c r="G2886" s="3">
        <f>[1]!nefin_factors__1[[#This Row],[HML]]/F2885-1</f>
        <v>0.67491596122586617</v>
      </c>
      <c r="H2886" s="3">
        <v>536423958591881</v>
      </c>
      <c r="I2886" s="4">
        <f>[1]!nefin_factors__1[[#This Row],[Risk_Free]]/H2885-1</f>
        <v>9.0064704177995978</v>
      </c>
      <c r="J2886">
        <v>135563</v>
      </c>
      <c r="K2886">
        <v>135563</v>
      </c>
      <c r="L2886">
        <v>133296</v>
      </c>
      <c r="M2886">
        <v>133382</v>
      </c>
      <c r="N2886">
        <v>10071800</v>
      </c>
      <c r="O2886">
        <v>133382</v>
      </c>
      <c r="P2886">
        <v>-1.6102976431969899E-2</v>
      </c>
      <c r="Q2886">
        <v>-1.6234038251663301E-2</v>
      </c>
      <c r="R2886" s="8">
        <v>2.3900001049041699</v>
      </c>
      <c r="S2886" s="8">
        <v>-4.3999958038330102E-2</v>
      </c>
      <c r="T2886" s="9">
        <v>-4.4997322037776601E-2</v>
      </c>
      <c r="U2886" s="12">
        <v>5.4266000000000002E-2</v>
      </c>
      <c r="V2886" s="16">
        <v>5.5759999999999996</v>
      </c>
      <c r="W2886" s="17">
        <f t="shared" si="45"/>
        <v>-3.3424491036159187E-3</v>
      </c>
    </row>
    <row r="2887" spans="1:23" x14ac:dyDescent="0.2">
      <c r="A2887" s="15">
        <v>45779</v>
      </c>
      <c r="B2887" s="5">
        <v>-155692659888863</v>
      </c>
      <c r="C2887" s="5">
        <f>[1]!nefin_factors__1[[#This Row],[Rm_minus_Rf]]/B2886-1</f>
        <v>-0.22705868543962693</v>
      </c>
      <c r="D2887" s="5">
        <v>439658895504858</v>
      </c>
      <c r="E2887" s="5">
        <f>[1]!nefin_factors__1[[#This Row],[SMB]]/D2886-1</f>
        <v>-1.5171875103203107</v>
      </c>
      <c r="F2887" s="5">
        <v>-348344227952552</v>
      </c>
      <c r="G2887" s="5">
        <f>[1]!nefin_factors__1[[#This Row],[HML]]/F2886-1</f>
        <v>-1.8648240735169512</v>
      </c>
      <c r="H2887" s="5">
        <v>537464370363283</v>
      </c>
      <c r="I2887" s="6">
        <f>[1]!nefin_factors__1[[#This Row],[Risk_Free]]/H2886-1</f>
        <v>1.9395326303714988E-3</v>
      </c>
      <c r="J2887">
        <v>133382</v>
      </c>
      <c r="K2887">
        <v>134865</v>
      </c>
      <c r="L2887">
        <v>133367</v>
      </c>
      <c r="M2887">
        <v>134167</v>
      </c>
      <c r="N2887">
        <v>6726700</v>
      </c>
      <c r="O2887">
        <v>134167</v>
      </c>
      <c r="P2887">
        <v>5.8853518465760103E-3</v>
      </c>
      <c r="Q2887">
        <v>5.8681008158948797E-3</v>
      </c>
      <c r="R2887" s="8">
        <v>2.3099999427795401</v>
      </c>
      <c r="S2887" s="8">
        <v>-3.34728697126319E-2</v>
      </c>
      <c r="T2887" s="9">
        <v>-3.4045910073438199E-2</v>
      </c>
      <c r="U2887" s="12">
        <v>5.4266000000000002E-2</v>
      </c>
      <c r="V2887" s="16">
        <v>5.5556999999999999</v>
      </c>
      <c r="W2887" s="17">
        <f t="shared" si="45"/>
        <v>-3.6406025824963217E-3</v>
      </c>
    </row>
    <row r="2888" spans="1:23" x14ac:dyDescent="0.2">
      <c r="A2888" s="14">
        <v>45782</v>
      </c>
      <c r="B2888" s="3">
        <v>-141719331006158</v>
      </c>
      <c r="C2888" s="3">
        <f>[1]!nefin_factors__1[[#This Row],[Rm_minus_Rf]]/B2887-1</f>
        <v>-8.9749439008104059E-2</v>
      </c>
      <c r="D2888" s="3">
        <v>181120776809298</v>
      </c>
      <c r="E2888" s="3">
        <f>[1]!nefin_factors__1[[#This Row],[SMB]]/D2887-1</f>
        <v>-0.5880425059947485</v>
      </c>
      <c r="F2888" s="3">
        <v>-223219506848919</v>
      </c>
      <c r="G2888" s="3">
        <f>[1]!nefin_factors__1[[#This Row],[HML]]/F2887-1</f>
        <v>-0.35919849121391567</v>
      </c>
      <c r="H2888" s="3">
        <v>538851163781162</v>
      </c>
      <c r="I2888" s="4">
        <f>[1]!nefin_factors__1[[#This Row],[Risk_Free]]/H2887-1</f>
        <v>2.5802518163979826E-3</v>
      </c>
      <c r="J2888">
        <v>134180</v>
      </c>
      <c r="K2888">
        <v>135300</v>
      </c>
      <c r="L2888">
        <v>133986</v>
      </c>
      <c r="M2888">
        <v>134036</v>
      </c>
      <c r="N2888">
        <v>7052100</v>
      </c>
      <c r="O2888">
        <v>134036</v>
      </c>
      <c r="P2888">
        <v>-9.7639508970159795E-4</v>
      </c>
      <c r="Q2888">
        <v>-9.7687207389582104E-4</v>
      </c>
      <c r="R2888" s="8">
        <v>2.3199999332428001</v>
      </c>
      <c r="S2888" s="8">
        <v>4.3290003077767203E-3</v>
      </c>
      <c r="T2888" s="9">
        <v>4.3196571406216803E-3</v>
      </c>
      <c r="U2888" s="12">
        <v>5.4266000000000002E-2</v>
      </c>
      <c r="V2888" s="16">
        <v>5.5389999999999997</v>
      </c>
      <c r="W2888" s="17">
        <f t="shared" si="45"/>
        <v>-3.0059218460319892E-3</v>
      </c>
    </row>
    <row r="2889" spans="1:23" x14ac:dyDescent="0.2">
      <c r="A2889" s="15">
        <v>45783</v>
      </c>
      <c r="B2889" s="5">
        <v>-623252070108959</v>
      </c>
      <c r="C2889" s="5">
        <f>[1]!nefin_factors__1[[#This Row],[Rm_minus_Rf]]/B2888-1</f>
        <v>3.3977915058170671</v>
      </c>
      <c r="D2889" s="5">
        <v>-590221861186939</v>
      </c>
      <c r="E2889" s="5">
        <f>[1]!nefin_factors__1[[#This Row],[SMB]]/D2888-1</f>
        <v>-4.2587197978307225</v>
      </c>
      <c r="F2889" s="5">
        <v>235959850347757</v>
      </c>
      <c r="G2889" s="5">
        <f>[1]!nefin_factors__1[[#This Row],[HML]]/F2888-1</f>
        <v>-2.0570754038421066</v>
      </c>
      <c r="H2889" s="5">
        <v>539197786763923</v>
      </c>
      <c r="I2889" s="6">
        <f>[1]!nefin_factors__1[[#This Row],[Risk_Free]]/H2888-1</f>
        <v>6.4326293800442969E-4</v>
      </c>
      <c r="J2889">
        <v>134036</v>
      </c>
      <c r="K2889">
        <v>135782</v>
      </c>
      <c r="L2889">
        <v>133676</v>
      </c>
      <c r="M2889">
        <v>135368</v>
      </c>
      <c r="N2889">
        <v>6527600</v>
      </c>
      <c r="O2889">
        <v>135368</v>
      </c>
      <c r="P2889">
        <v>9.9376286967680603E-3</v>
      </c>
      <c r="Q2889">
        <v>9.8885751807496203E-3</v>
      </c>
      <c r="R2889" s="8">
        <v>2.4300000667571999</v>
      </c>
      <c r="S2889" s="8">
        <v>4.74138520170777E-2</v>
      </c>
      <c r="T2889" s="9">
        <v>4.6324127920994197E-2</v>
      </c>
      <c r="U2889" s="12">
        <v>5.4266000000000002E-2</v>
      </c>
      <c r="V2889" s="16">
        <v>5.5388000000000002</v>
      </c>
      <c r="W2889" s="17">
        <f t="shared" si="45"/>
        <v>-3.6107600649870619E-5</v>
      </c>
    </row>
    <row r="2890" spans="1:23" x14ac:dyDescent="0.2">
      <c r="A2890" s="14">
        <v>45784</v>
      </c>
      <c r="B2890" s="3">
        <v>-795207340066279</v>
      </c>
      <c r="C2890" s="3">
        <f>[1]!nefin_factors__1[[#This Row],[Rm_minus_Rf]]/B2889-1</f>
        <v>0.27590003820967368</v>
      </c>
      <c r="D2890" s="3">
        <v>-180413049180069</v>
      </c>
      <c r="E2890" s="3">
        <f>[1]!nefin_factors__1[[#This Row],[SMB]]/D2889-1</f>
        <v>-0.69433011373510034</v>
      </c>
      <c r="F2890" s="3">
        <v>-266048591372713</v>
      </c>
      <c r="G2890" s="3">
        <f>[1]!nefin_factors__1[[#This Row],[HML]]/F2889-1</f>
        <v>-2.1275163591628461</v>
      </c>
      <c r="H2890" s="3">
        <v>540583977366449</v>
      </c>
      <c r="I2890" s="4">
        <f>[1]!nefin_factors__1[[#This Row],[Risk_Free]]/H2889-1</f>
        <v>2.5708388212151156E-3</v>
      </c>
      <c r="J2890">
        <v>135357</v>
      </c>
      <c r="K2890">
        <v>135363</v>
      </c>
      <c r="L2890">
        <v>133648</v>
      </c>
      <c r="M2890">
        <v>133808</v>
      </c>
      <c r="N2890">
        <v>5976800</v>
      </c>
      <c r="O2890">
        <v>133808</v>
      </c>
      <c r="P2890">
        <v>-1.15241415991962E-2</v>
      </c>
      <c r="Q2890">
        <v>-1.15910591271555E-2</v>
      </c>
      <c r="R2890" s="8">
        <v>2.4000000953674299</v>
      </c>
      <c r="S2890" s="8">
        <v>-1.23456668994273E-2</v>
      </c>
      <c r="T2890" s="9">
        <v>-1.24225077342274E-2</v>
      </c>
      <c r="U2890" s="12">
        <v>5.4266000000000002E-2</v>
      </c>
      <c r="V2890" s="16">
        <v>5.5651999999999999</v>
      </c>
      <c r="W2890" s="17">
        <f t="shared" si="45"/>
        <v>4.7663753881705961E-3</v>
      </c>
    </row>
    <row r="2891" spans="1:23" x14ac:dyDescent="0.2">
      <c r="A2891" s="15">
        <v>45785</v>
      </c>
      <c r="B2891" s="5">
        <v>170454791731056</v>
      </c>
      <c r="C2891" s="5">
        <f>[1]!nefin_factors__1[[#This Row],[Rm_minus_Rf]]/B2890-1</f>
        <v>-1.2143526387933603</v>
      </c>
      <c r="D2891" s="5">
        <v>15020736801731</v>
      </c>
      <c r="E2891" s="5">
        <f>[1]!nefin_factors__1[[#This Row],[SMB]]/D2890-1</f>
        <v>-1.0832574853648136</v>
      </c>
      <c r="F2891" s="5">
        <v>196965757283688</v>
      </c>
      <c r="G2891" s="5">
        <f>[1]!nefin_factors__1[[#This Row],[HML]]/F2890-1</f>
        <v>-1.7403375310781277</v>
      </c>
      <c r="H2891" s="5">
        <v>543008651611832</v>
      </c>
      <c r="I2891" s="6">
        <f>[1]!nefin_factors__1[[#This Row],[Risk_Free]]/H2890-1</f>
        <v>4.4852869246980731E-3</v>
      </c>
      <c r="J2891">
        <v>133820</v>
      </c>
      <c r="K2891">
        <v>134204</v>
      </c>
      <c r="L2891">
        <v>133285</v>
      </c>
      <c r="M2891">
        <v>133524</v>
      </c>
      <c r="N2891">
        <v>5560900</v>
      </c>
      <c r="O2891">
        <v>133524</v>
      </c>
      <c r="P2891">
        <v>-2.1224440990075298E-3</v>
      </c>
      <c r="Q2891">
        <v>-2.1246996756061902E-3</v>
      </c>
      <c r="R2891" s="8">
        <v>2.4200000762939502</v>
      </c>
      <c r="S2891" s="8">
        <v>8.3333250549106896E-3</v>
      </c>
      <c r="T2891" s="9">
        <v>8.2987946046891303E-3</v>
      </c>
      <c r="U2891" s="12">
        <v>5.4266000000000002E-2</v>
      </c>
      <c r="V2891" s="16">
        <v>5.5122999999999998</v>
      </c>
      <c r="W2891" s="17">
        <f t="shared" si="45"/>
        <v>-9.505498454682737E-3</v>
      </c>
    </row>
    <row r="2892" spans="1:23" x14ac:dyDescent="0.2">
      <c r="A2892" s="14">
        <v>45786</v>
      </c>
      <c r="B2892" s="3">
        <v>117356368180455</v>
      </c>
      <c r="C2892" s="3">
        <f>[1]!nefin_factors__1[[#This Row],[Rm_minus_Rf]]/B2891-1</f>
        <v>-0.31151030141986169</v>
      </c>
      <c r="D2892" s="3">
        <v>920475546245507</v>
      </c>
      <c r="E2892" s="3">
        <f>[1]!nefin_factors__1[[#This Row],[SMB]]/D2891-1</f>
        <v>60.280319227711303</v>
      </c>
      <c r="F2892" s="3">
        <v>112907350328615</v>
      </c>
      <c r="G2892" s="3">
        <f>[1]!nefin_factors__1[[#This Row],[HML]]/F2891-1</f>
        <v>-0.42676660204445804</v>
      </c>
      <c r="H2892" s="3">
        <v>543008651611832</v>
      </c>
      <c r="I2892" s="4">
        <f>[1]!nefin_factors__1[[#This Row],[Risk_Free]]/H2891-1</f>
        <v>0</v>
      </c>
      <c r="J2892">
        <v>133538</v>
      </c>
      <c r="K2892">
        <v>133902</v>
      </c>
      <c r="L2892">
        <v>131550</v>
      </c>
      <c r="M2892">
        <v>132129</v>
      </c>
      <c r="N2892">
        <v>6625600</v>
      </c>
      <c r="O2892">
        <v>132129</v>
      </c>
      <c r="P2892">
        <v>-1.0447559989215399E-2</v>
      </c>
      <c r="Q2892">
        <v>-1.0502518870021099E-2</v>
      </c>
      <c r="R2892" s="8">
        <v>2.3399999141693102</v>
      </c>
      <c r="S2892" s="8">
        <v>-3.3057917191121798E-2</v>
      </c>
      <c r="T2892" s="9">
        <v>-3.3616679005190199E-2</v>
      </c>
      <c r="U2892" s="12">
        <v>5.4266000000000002E-2</v>
      </c>
      <c r="V2892" s="16">
        <v>5.4772999999999996</v>
      </c>
      <c r="W2892" s="17">
        <f t="shared" si="45"/>
        <v>-6.3494367142572505E-3</v>
      </c>
    </row>
    <row r="2893" spans="1:23" x14ac:dyDescent="0.2">
      <c r="A2893" s="15">
        <v>45789</v>
      </c>
      <c r="B2893" s="5">
        <v>-147624362687733</v>
      </c>
      <c r="C2893" s="5">
        <f>[1]!nefin_factors__1[[#This Row],[Rm_minus_Rf]]/B2892-1</f>
        <v>-2.2579152284325628</v>
      </c>
      <c r="D2893" s="5">
        <v>-501304222463974</v>
      </c>
      <c r="E2893" s="5">
        <f>[1]!nefin_factors__1[[#This Row],[SMB]]/D2892-1</f>
        <v>-1.5446143838461812</v>
      </c>
      <c r="F2893" s="5">
        <v>-749024359567734</v>
      </c>
      <c r="G2893" s="5">
        <f>[1]!nefin_factors__1[[#This Row],[HML]]/F2892-1</f>
        <v>-7.6339734072911183</v>
      </c>
      <c r="H2893" s="5">
        <v>543008651611832</v>
      </c>
      <c r="I2893" s="6">
        <f>[1]!nefin_factors__1[[#This Row],[Risk_Free]]/H2892-1</f>
        <v>0</v>
      </c>
      <c r="J2893">
        <v>132130</v>
      </c>
      <c r="K2893">
        <v>133346</v>
      </c>
      <c r="L2893">
        <v>132130</v>
      </c>
      <c r="M2893">
        <v>132726</v>
      </c>
      <c r="N2893">
        <v>6324800</v>
      </c>
      <c r="O2893">
        <v>132726</v>
      </c>
      <c r="P2893">
        <v>4.5183116499785099E-3</v>
      </c>
      <c r="Q2893">
        <v>4.50813472339796E-3</v>
      </c>
      <c r="R2893" s="8">
        <v>2.3199999332428001</v>
      </c>
      <c r="S2893" s="8">
        <v>-8.5470007094481399E-3</v>
      </c>
      <c r="T2893" s="9">
        <v>-8.5837357862659208E-3</v>
      </c>
      <c r="U2893" s="12">
        <v>5.4266000000000002E-2</v>
      </c>
      <c r="V2893" s="16">
        <v>5.4878999999999998</v>
      </c>
      <c r="W2893" s="17">
        <f t="shared" si="45"/>
        <v>1.9352600733939518E-3</v>
      </c>
    </row>
    <row r="2894" spans="1:23" x14ac:dyDescent="0.2">
      <c r="A2894" s="14">
        <v>45790</v>
      </c>
      <c r="B2894" s="3">
        <v>168957123620799</v>
      </c>
      <c r="C2894" s="3">
        <f>[1]!nefin_factors__1[[#This Row],[Rm_minus_Rf]]/B2893-1</f>
        <v>-2.1445070484618505</v>
      </c>
      <c r="D2894" s="3">
        <v>815026835024879</v>
      </c>
      <c r="E2894" s="3">
        <f>[1]!nefin_factors__1[[#This Row],[SMB]]/D2893-1</f>
        <v>-2.6258128268278265</v>
      </c>
      <c r="F2894" s="3">
        <v>56107555851649</v>
      </c>
      <c r="G2894" s="3">
        <f>[1]!nefin_factors__1[[#This Row],[HML]]/F2893-1</f>
        <v>-1.0749075182067898</v>
      </c>
      <c r="H2894" s="3">
        <v>543354913283167</v>
      </c>
      <c r="I2894" s="4">
        <f>[1]!nefin_factors__1[[#This Row],[Risk_Free]]/H2893-1</f>
        <v>6.3767247594892495E-4</v>
      </c>
      <c r="J2894">
        <v>132702</v>
      </c>
      <c r="K2894">
        <v>134368</v>
      </c>
      <c r="L2894">
        <v>131883</v>
      </c>
      <c r="M2894">
        <v>133990</v>
      </c>
      <c r="N2894">
        <v>8655300</v>
      </c>
      <c r="O2894">
        <v>133990</v>
      </c>
      <c r="P2894">
        <v>9.5233789913053996E-3</v>
      </c>
      <c r="Q2894">
        <v>9.4783174835760993E-3</v>
      </c>
      <c r="R2894" s="8">
        <v>2.3900001049041699</v>
      </c>
      <c r="S2894" s="8">
        <v>3.0172488653279299E-2</v>
      </c>
      <c r="T2894" s="9">
        <v>2.9726252932816399E-2</v>
      </c>
      <c r="U2894" s="12">
        <v>5.5130999999999999E-2</v>
      </c>
      <c r="V2894" s="16">
        <v>5.4957000000000003</v>
      </c>
      <c r="W2894" s="17">
        <f t="shared" si="45"/>
        <v>1.4213086973160483E-3</v>
      </c>
    </row>
    <row r="2895" spans="1:23" x14ac:dyDescent="0.2">
      <c r="A2895" s="15">
        <v>45791</v>
      </c>
      <c r="B2895" s="5">
        <v>-260782413998116</v>
      </c>
      <c r="C2895" s="5">
        <f>[1]!nefin_factors__1[[#This Row],[Rm_minus_Rf]]/B2894-1</f>
        <v>-2.5434827985318114</v>
      </c>
      <c r="D2895" s="5">
        <v>-555282733908759</v>
      </c>
      <c r="E2895" s="5">
        <f>[1]!nefin_factors__1[[#This Row],[SMB]]/D2894-1</f>
        <v>-1.6813060748997408</v>
      </c>
      <c r="F2895" s="5">
        <v>402754840604512</v>
      </c>
      <c r="G2895" s="5">
        <f>[1]!nefin_factors__1[[#This Row],[HML]]/F2894-1</f>
        <v>6.1782638628817592</v>
      </c>
      <c r="H2895" s="5">
        <v>543354913283167</v>
      </c>
      <c r="I2895" s="6">
        <f>[1]!nefin_factors__1[[#This Row],[Risk_Free]]/H2894-1</f>
        <v>0</v>
      </c>
      <c r="J2895">
        <v>133987</v>
      </c>
      <c r="K2895">
        <v>133987</v>
      </c>
      <c r="L2895">
        <v>132096</v>
      </c>
      <c r="M2895">
        <v>133071</v>
      </c>
      <c r="N2895">
        <v>9196800</v>
      </c>
      <c r="O2895">
        <v>133071</v>
      </c>
      <c r="P2895">
        <v>-6.85872080005967E-3</v>
      </c>
      <c r="Q2895">
        <v>-6.8823499312892101E-3</v>
      </c>
      <c r="R2895" s="8">
        <v>2.3599998950958301</v>
      </c>
      <c r="S2895" s="8">
        <v>-1.2552388490189E-2</v>
      </c>
      <c r="T2895" s="9">
        <v>-1.2631835249782401E-2</v>
      </c>
      <c r="U2895" s="12">
        <v>5.5130999999999999E-2</v>
      </c>
      <c r="V2895" s="16">
        <v>5.5213000000000001</v>
      </c>
      <c r="W2895" s="17">
        <f t="shared" si="45"/>
        <v>4.6581873100788318E-3</v>
      </c>
    </row>
    <row r="2896" spans="1:23" x14ac:dyDescent="0.2">
      <c r="A2896" s="14">
        <v>45792</v>
      </c>
      <c r="B2896" s="3">
        <v>665982766836715</v>
      </c>
      <c r="C2896" s="3">
        <f>[1]!nefin_factors__1[[#This Row],[Rm_minus_Rf]]/B2895-1</f>
        <v>-3.5537871079049306</v>
      </c>
      <c r="D2896" s="3">
        <v>783176858276686</v>
      </c>
      <c r="E2896" s="3">
        <f>[1]!nefin_factors__1[[#This Row],[SMB]]/D2895-1</f>
        <v>-2.4104109680553716</v>
      </c>
      <c r="F2896" s="3">
        <v>574135062695851</v>
      </c>
      <c r="G2896" s="3">
        <f>[1]!nefin_factors__1[[#This Row],[HML]]/F2895-1</f>
        <v>0.42551995609564131</v>
      </c>
      <c r="H2896" s="3">
        <v>543701144879227</v>
      </c>
      <c r="I2896" s="4">
        <f>[1]!nefin_factors__1[[#This Row],[Risk_Free]]/H2895-1</f>
        <v>6.3721075782297021E-4</v>
      </c>
      <c r="J2896">
        <v>132920</v>
      </c>
      <c r="K2896">
        <v>133237</v>
      </c>
      <c r="L2896">
        <v>132140</v>
      </c>
      <c r="M2896">
        <v>132437</v>
      </c>
      <c r="N2896">
        <v>8497100</v>
      </c>
      <c r="O2896">
        <v>132437</v>
      </c>
      <c r="P2896">
        <v>-4.7643739056594204E-3</v>
      </c>
      <c r="Q2896">
        <v>-4.7757597135748703E-3</v>
      </c>
      <c r="R2896" s="8">
        <v>2.3499999046325701</v>
      </c>
      <c r="S2896" s="8">
        <v>-4.2372842829515598E-3</v>
      </c>
      <c r="T2896" s="9">
        <v>-4.2462870124152299E-3</v>
      </c>
      <c r="U2896" s="12">
        <v>5.5130999999999999E-2</v>
      </c>
      <c r="V2896" s="16">
        <v>5.4938000000000002</v>
      </c>
      <c r="W2896" s="17">
        <f t="shared" si="45"/>
        <v>-4.9807110644232155E-3</v>
      </c>
    </row>
    <row r="2897" spans="1:23" x14ac:dyDescent="0.2">
      <c r="A2897" s="15">
        <v>45793</v>
      </c>
      <c r="B2897" s="5">
        <v>-891022697400674</v>
      </c>
      <c r="C2897" s="5">
        <f>[1]!nefin_factors__1[[#This Row],[Rm_minus_Rf]]/B2896-1</f>
        <v>-2.3379065371809151</v>
      </c>
      <c r="D2897" s="5">
        <v>200920318071648</v>
      </c>
      <c r="E2897" s="5">
        <f>[1]!nefin_factors__1[[#This Row],[SMB]]/D2896-1</f>
        <v>-0.7434547306290995</v>
      </c>
      <c r="F2897" s="5">
        <v>632878500431222</v>
      </c>
      <c r="G2897" s="5">
        <f>[1]!nefin_factors__1[[#This Row],[HML]]/F2896-1</f>
        <v>0.10231640872017334</v>
      </c>
      <c r="H2897" s="5">
        <v>543354913283167</v>
      </c>
      <c r="I2897" s="6">
        <f>[1]!nefin_factors__1[[#This Row],[Risk_Free]]/H2896-1</f>
        <v>-6.3680497883977782E-4</v>
      </c>
      <c r="J2897">
        <v>132440</v>
      </c>
      <c r="K2897">
        <v>133929</v>
      </c>
      <c r="L2897">
        <v>132440</v>
      </c>
      <c r="M2897">
        <v>132971</v>
      </c>
      <c r="N2897">
        <v>6136600</v>
      </c>
      <c r="O2897">
        <v>132971</v>
      </c>
      <c r="P2897">
        <v>4.0321058314518599E-3</v>
      </c>
      <c r="Q2897">
        <v>4.0239986780274397E-3</v>
      </c>
      <c r="R2897" s="8">
        <v>2.3399999141693102</v>
      </c>
      <c r="S2897" s="8">
        <v>-4.2553152634362502E-3</v>
      </c>
      <c r="T2897" s="9">
        <v>-4.2643948843529202E-3</v>
      </c>
      <c r="U2897" s="12">
        <v>5.5130999999999999E-2</v>
      </c>
      <c r="V2897" s="16">
        <v>5.5427</v>
      </c>
      <c r="W2897" s="17">
        <f t="shared" si="45"/>
        <v>8.9009428810657987E-3</v>
      </c>
    </row>
    <row r="2898" spans="1:23" x14ac:dyDescent="0.2">
      <c r="A2898" s="14">
        <v>45796</v>
      </c>
      <c r="B2898" s="3">
        <v>189194243298554</v>
      </c>
      <c r="C2898" s="3">
        <f>[1]!nefin_factors__1[[#This Row],[Rm_minus_Rf]]/B2897-1</f>
        <v>-1.2123338090606208</v>
      </c>
      <c r="D2898" s="3">
        <v>-738090708069662</v>
      </c>
      <c r="E2898" s="3">
        <f>[1]!nefin_factors__1[[#This Row],[SMB]]/D2897-1</f>
        <v>-4.6735493709822791</v>
      </c>
      <c r="F2898" s="3">
        <v>-792077178107836</v>
      </c>
      <c r="G2898" s="3">
        <f>[1]!nefin_factors__1[[#This Row],[HML]]/F2897-1</f>
        <v>-2.2515469834543937</v>
      </c>
      <c r="H2898" s="3">
        <v>543354913283167</v>
      </c>
      <c r="I2898" s="4">
        <f>[1]!nefin_factors__1[[#This Row],[Risk_Free]]/H2897-1</f>
        <v>0</v>
      </c>
      <c r="J2898">
        <v>132971</v>
      </c>
      <c r="K2898">
        <v>134233</v>
      </c>
      <c r="L2898">
        <v>132682</v>
      </c>
      <c r="M2898">
        <v>133151</v>
      </c>
      <c r="N2898">
        <v>6606300</v>
      </c>
      <c r="O2898">
        <v>133151</v>
      </c>
      <c r="P2898">
        <v>1.35367862165436E-3</v>
      </c>
      <c r="Q2898">
        <v>1.35276322475802E-3</v>
      </c>
      <c r="R2898" s="8">
        <v>2.3599998950958301</v>
      </c>
      <c r="S2898" s="8">
        <v>8.5470007094481399E-3</v>
      </c>
      <c r="T2898" s="9">
        <v>8.5106818967682091E-3</v>
      </c>
      <c r="U2898" s="12">
        <v>5.5130999999999999E-2</v>
      </c>
      <c r="V2898" s="16">
        <v>5.5145</v>
      </c>
      <c r="W2898" s="17">
        <f t="shared" si="45"/>
        <v>-5.0877731069695065E-3</v>
      </c>
    </row>
    <row r="2899" spans="1:23" x14ac:dyDescent="0.2">
      <c r="A2899" s="15">
        <v>45797</v>
      </c>
      <c r="B2899" s="5">
        <v>391343710674117</v>
      </c>
      <c r="C2899" s="5">
        <f>[1]!nefin_factors__1[[#This Row],[Rm_minus_Rf]]/B2898-1</f>
        <v>1.0684757836768073</v>
      </c>
      <c r="D2899" s="5">
        <v>-919627553722758</v>
      </c>
      <c r="E2899" s="5">
        <f>[1]!nefin_factors__1[[#This Row],[SMB]]/D2898-1</f>
        <v>0.24595465525893379</v>
      </c>
      <c r="F2899" s="5">
        <v>-191087993353509</v>
      </c>
      <c r="G2899" s="5">
        <f>[1]!nefin_factors__1[[#This Row],[HML]]/F2898-1</f>
        <v>-0.75875079015659552</v>
      </c>
      <c r="H2899" s="5">
        <v>543354913283167</v>
      </c>
      <c r="I2899" s="6">
        <f>[1]!nefin_factors__1[[#This Row],[Risk_Free]]/H2898-1</f>
        <v>0</v>
      </c>
      <c r="J2899">
        <v>133169</v>
      </c>
      <c r="K2899">
        <v>135241</v>
      </c>
      <c r="L2899">
        <v>133169</v>
      </c>
      <c r="M2899">
        <v>134538</v>
      </c>
      <c r="N2899">
        <v>8681700</v>
      </c>
      <c r="O2899">
        <v>134538</v>
      </c>
      <c r="P2899">
        <v>1.0416744898648999E-2</v>
      </c>
      <c r="Q2899">
        <v>1.0362864461010601E-2</v>
      </c>
      <c r="R2899" s="8">
        <v>2.3599998950958301</v>
      </c>
      <c r="S2899" s="8">
        <v>0</v>
      </c>
      <c r="T2899" s="9">
        <v>0</v>
      </c>
      <c r="U2899" s="12">
        <v>5.5130999999999999E-2</v>
      </c>
      <c r="V2899" s="16">
        <v>5.4759000000000002</v>
      </c>
      <c r="W2899" s="17">
        <f t="shared" si="45"/>
        <v>-6.9997279898449394E-3</v>
      </c>
    </row>
    <row r="2900" spans="1:23" x14ac:dyDescent="0.2">
      <c r="A2900" s="14">
        <v>45798</v>
      </c>
      <c r="B2900" s="3">
        <v>-155786624934402</v>
      </c>
      <c r="C2900" s="3">
        <f>[1]!nefin_factors__1[[#This Row],[Rm_minus_Rf]]/B2899-1</f>
        <v>-1.3980813302609325</v>
      </c>
      <c r="D2900" s="3">
        <v>312158463422583</v>
      </c>
      <c r="E2900" s="3">
        <f>[1]!nefin_factors__1[[#This Row],[SMB]]/D2899-1</f>
        <v>-1.339440094154345</v>
      </c>
      <c r="F2900" s="3">
        <v>20963055581453</v>
      </c>
      <c r="G2900" s="3">
        <f>[1]!nefin_factors__1[[#This Row],[HML]]/F2899-1</f>
        <v>-1.1097036774187679</v>
      </c>
      <c r="H2900" s="3">
        <v>543354913283167</v>
      </c>
      <c r="I2900" s="4">
        <f>[1]!nefin_factors__1[[#This Row],[Risk_Free]]/H2899-1</f>
        <v>0</v>
      </c>
      <c r="J2900">
        <v>134538</v>
      </c>
      <c r="K2900">
        <v>137007</v>
      </c>
      <c r="L2900">
        <v>134534</v>
      </c>
      <c r="M2900">
        <v>136528</v>
      </c>
      <c r="N2900">
        <v>9501000</v>
      </c>
      <c r="O2900">
        <v>136528</v>
      </c>
      <c r="P2900">
        <v>1.47913600618412E-2</v>
      </c>
      <c r="Q2900">
        <v>1.4683034774780401E-2</v>
      </c>
      <c r="R2900" s="8">
        <v>2.3599998950958301</v>
      </c>
      <c r="S2900" s="8">
        <v>0</v>
      </c>
      <c r="T2900" s="9">
        <v>0</v>
      </c>
      <c r="U2900" s="12">
        <v>5.5130999999999999E-2</v>
      </c>
      <c r="V2900" s="16">
        <v>5.4570999999999996</v>
      </c>
      <c r="W2900" s="17">
        <f t="shared" si="45"/>
        <v>-3.4332255884877982E-3</v>
      </c>
    </row>
    <row r="2901" spans="1:23" x14ac:dyDescent="0.2">
      <c r="A2901" s="15">
        <v>45799</v>
      </c>
      <c r="B2901" s="5">
        <v>-371393746033847</v>
      </c>
      <c r="C2901" s="5">
        <f>[1]!nefin_factors__1[[#This Row],[Rm_minus_Rf]]/B2900-1</f>
        <v>1.3839899361721968</v>
      </c>
      <c r="D2901" s="5">
        <v>397052511180076</v>
      </c>
      <c r="E2901" s="5">
        <f>[1]!nefin_factors__1[[#This Row],[SMB]]/D2900-1</f>
        <v>0.27195818055577781</v>
      </c>
      <c r="F2901" s="5">
        <v>-172496998222595</v>
      </c>
      <c r="G2901" s="5">
        <f>[1]!nefin_factors__1[[#This Row],[HML]]/F2900-1</f>
        <v>-9.2286190365879293</v>
      </c>
      <c r="H2901" s="5">
        <v>543354913283167</v>
      </c>
      <c r="I2901" s="6">
        <f>[1]!nefin_factors__1[[#This Row],[Risk_Free]]/H2900-1</f>
        <v>0</v>
      </c>
      <c r="J2901">
        <v>136526</v>
      </c>
      <c r="K2901">
        <v>136761</v>
      </c>
      <c r="L2901">
        <v>135659</v>
      </c>
      <c r="M2901">
        <v>135913</v>
      </c>
      <c r="N2901">
        <v>9890600</v>
      </c>
      <c r="O2901">
        <v>135913</v>
      </c>
      <c r="P2901">
        <v>-4.5045704910348103E-3</v>
      </c>
      <c r="Q2901">
        <v>-4.5147466396407198E-3</v>
      </c>
      <c r="R2901" s="8">
        <v>2.2999999523162802</v>
      </c>
      <c r="S2901" s="8">
        <v>-2.5423705697709201E-2</v>
      </c>
      <c r="T2901" s="9">
        <v>-2.57524723835427E-2</v>
      </c>
      <c r="U2901" s="12">
        <v>5.5130999999999999E-2</v>
      </c>
      <c r="V2901" s="16">
        <v>5.4511000000000003</v>
      </c>
      <c r="W2901" s="17">
        <f t="shared" si="45"/>
        <v>-1.0994850744899809E-3</v>
      </c>
    </row>
    <row r="2902" spans="1:23" x14ac:dyDescent="0.2">
      <c r="A2902" s="14">
        <v>45800</v>
      </c>
      <c r="B2902" s="3">
        <v>451844570902038</v>
      </c>
      <c r="C2902" s="3">
        <f>[1]!nefin_factors__1[[#This Row],[Rm_minus_Rf]]/B2901-1</f>
        <v>-2.2166186849599212</v>
      </c>
      <c r="D2902" s="3">
        <v>-190095190586437</v>
      </c>
      <c r="E2902" s="3">
        <f>[1]!nefin_factors__1[[#This Row],[SMB]]/D2901-1</f>
        <v>-1.4787658690822956</v>
      </c>
      <c r="F2902" s="3">
        <v>-424214642207677</v>
      </c>
      <c r="G2902" s="3">
        <f>[1]!nefin_factors__1[[#This Row],[HML]]/F2901-1</f>
        <v>1.4592581121919492</v>
      </c>
      <c r="H2902" s="3">
        <v>543354913283167</v>
      </c>
      <c r="I2902" s="4">
        <f>[1]!nefin_factors__1[[#This Row],[Risk_Free]]/H2901-1</f>
        <v>0</v>
      </c>
      <c r="J2902">
        <v>135913</v>
      </c>
      <c r="K2902">
        <v>136307</v>
      </c>
      <c r="L2902">
        <v>135496</v>
      </c>
      <c r="M2902">
        <v>135623</v>
      </c>
      <c r="N2902">
        <v>6947300</v>
      </c>
      <c r="O2902">
        <v>135623</v>
      </c>
      <c r="P2902">
        <v>-2.1337178930639399E-3</v>
      </c>
      <c r="Q2902">
        <v>-2.1359975123744399E-3</v>
      </c>
      <c r="R2902" s="8">
        <v>2.2699999809265101</v>
      </c>
      <c r="S2902" s="8">
        <v>-1.30434660920572E-2</v>
      </c>
      <c r="T2902" s="9">
        <v>-1.31292791121591E-2</v>
      </c>
      <c r="U2902" s="12">
        <v>5.5130999999999999E-2</v>
      </c>
      <c r="V2902" s="16">
        <v>5.4512</v>
      </c>
      <c r="W2902" s="17">
        <f t="shared" si="45"/>
        <v>1.8344921208557352E-5</v>
      </c>
    </row>
    <row r="2903" spans="1:23" x14ac:dyDescent="0.2">
      <c r="A2903" s="15">
        <v>45803</v>
      </c>
      <c r="B2903" s="5">
        <v>108385073044984</v>
      </c>
      <c r="C2903" s="5">
        <f>[1]!nefin_factors__1[[#This Row],[Rm_minus_Rf]]/B2902-1</f>
        <v>-0.76012753051650062</v>
      </c>
      <c r="D2903" s="5">
        <v>650623512202184</v>
      </c>
      <c r="E2903" s="5">
        <f>[1]!nefin_factors__1[[#This Row],[SMB]]/D2902-1</f>
        <v>-4.4226195317989543</v>
      </c>
      <c r="F2903" s="5">
        <v>228249437390681</v>
      </c>
      <c r="G2903" s="5">
        <f>[1]!nefin_factors__1[[#This Row],[HML]]/F2902-1</f>
        <v>-1.5380517659711992</v>
      </c>
      <c r="H2903" s="5">
        <v>543354913283167</v>
      </c>
      <c r="I2903" s="6">
        <f>[1]!nefin_factors__1[[#This Row],[Risk_Free]]/H2902-1</f>
        <v>0</v>
      </c>
      <c r="J2903">
        <v>135629</v>
      </c>
      <c r="K2903">
        <v>138414</v>
      </c>
      <c r="L2903">
        <v>135629</v>
      </c>
      <c r="M2903">
        <v>137914</v>
      </c>
      <c r="N2903">
        <v>8342100</v>
      </c>
      <c r="O2903">
        <v>137914</v>
      </c>
      <c r="P2903">
        <v>1.6892415003354901E-2</v>
      </c>
      <c r="Q2903">
        <v>1.6751324846586899E-2</v>
      </c>
      <c r="R2903" s="8">
        <v>2.3199999332428001</v>
      </c>
      <c r="S2903" s="8">
        <v>2.2026410897094499E-2</v>
      </c>
      <c r="T2903" s="9">
        <v>2.1787333812667599E-2</v>
      </c>
      <c r="U2903" s="12">
        <v>5.5130999999999999E-2</v>
      </c>
      <c r="V2903" s="16">
        <v>5.4207999999999998</v>
      </c>
      <c r="W2903" s="17">
        <f t="shared" si="45"/>
        <v>-5.5767537422952707E-3</v>
      </c>
    </row>
    <row r="2904" spans="1:23" x14ac:dyDescent="0.2">
      <c r="A2904" s="14">
        <v>45804</v>
      </c>
      <c r="B2904" s="3">
        <v>884865378614738</v>
      </c>
      <c r="C2904" s="3">
        <f>[1]!nefin_factors__1[[#This Row],[Rm_minus_Rf]]/B2903-1</f>
        <v>7.1640889631313396</v>
      </c>
      <c r="D2904" s="3">
        <v>530572411728132</v>
      </c>
      <c r="E2904" s="3">
        <f>[1]!nefin_factors__1[[#This Row],[SMB]]/D2903-1</f>
        <v>-0.18451700287884099</v>
      </c>
      <c r="F2904" s="3">
        <v>-197864577187384</v>
      </c>
      <c r="G2904" s="3">
        <f>[1]!nefin_factors__1[[#This Row],[HML]]/F2903-1</f>
        <v>-1.8668787071256214</v>
      </c>
      <c r="H2904" s="3">
        <v>543354913283167</v>
      </c>
      <c r="I2904" s="4">
        <f>[1]!nefin_factors__1[[#This Row],[Risk_Free]]/H2903-1</f>
        <v>0</v>
      </c>
      <c r="J2904">
        <v>137911</v>
      </c>
      <c r="K2904">
        <v>137913</v>
      </c>
      <c r="L2904">
        <v>136535</v>
      </c>
      <c r="M2904">
        <v>136687</v>
      </c>
      <c r="N2904">
        <v>9398500</v>
      </c>
      <c r="O2904">
        <v>136687</v>
      </c>
      <c r="P2904">
        <v>-8.8968487608219703E-3</v>
      </c>
      <c r="Q2904">
        <v>-8.9366620374711492E-3</v>
      </c>
      <c r="R2904" s="8">
        <v>2.0699999332428001</v>
      </c>
      <c r="S2904" s="8">
        <v>-0.107758623790372</v>
      </c>
      <c r="T2904" s="9">
        <v>-0.114018581876141</v>
      </c>
      <c r="U2904" s="12">
        <v>5.5130999999999999E-2</v>
      </c>
      <c r="V2904" s="16">
        <v>5.4089999999999998</v>
      </c>
      <c r="W2904" s="17">
        <f t="shared" si="45"/>
        <v>-2.1768004722549916E-3</v>
      </c>
    </row>
    <row r="2905" spans="1:23" x14ac:dyDescent="0.2">
      <c r="A2905" s="15">
        <v>45805</v>
      </c>
      <c r="B2905" s="5">
        <v>-380924379238099</v>
      </c>
      <c r="C2905" s="5">
        <f>[1]!nefin_factors__1[[#This Row],[Rm_minus_Rf]]/B2904-1</f>
        <v>-1.4304885109579475</v>
      </c>
      <c r="D2905" s="5">
        <v>-159949305145846</v>
      </c>
      <c r="E2905" s="5">
        <f>[1]!nefin_factors__1[[#This Row],[SMB]]/D2904-1</f>
        <v>-1.3014655523171168</v>
      </c>
      <c r="F2905" s="5">
        <v>-532443270770166</v>
      </c>
      <c r="G2905" s="5">
        <f>[1]!nefin_factors__1[[#This Row],[HML]]/F2904-1</f>
        <v>1.6909479116412305</v>
      </c>
      <c r="H2905" s="5">
        <v>543354913283167</v>
      </c>
      <c r="I2905" s="6">
        <f>[1]!nefin_factors__1[[#This Row],[Risk_Free]]/H2904-1</f>
        <v>0</v>
      </c>
      <c r="J2905">
        <v>136681</v>
      </c>
      <c r="K2905">
        <v>137437</v>
      </c>
      <c r="L2905">
        <v>135588</v>
      </c>
      <c r="M2905">
        <v>136356</v>
      </c>
      <c r="N2905">
        <v>9667800</v>
      </c>
      <c r="O2905">
        <v>136356</v>
      </c>
      <c r="P2905">
        <v>-2.42159093403171E-3</v>
      </c>
      <c r="Q2905">
        <v>-2.4245277274571602E-3</v>
      </c>
      <c r="R2905" s="8">
        <v>2.0199999809265101</v>
      </c>
      <c r="S2905" s="8">
        <v>-2.4154567115350498E-2</v>
      </c>
      <c r="T2905" s="9">
        <v>-2.4451073056627699E-2</v>
      </c>
      <c r="U2905" s="12">
        <v>5.5130999999999999E-2</v>
      </c>
      <c r="V2905" s="16">
        <v>5.4551999999999996</v>
      </c>
      <c r="W2905" s="17">
        <f t="shared" si="45"/>
        <v>8.541320022185106E-3</v>
      </c>
    </row>
    <row r="2906" spans="1:23" x14ac:dyDescent="0.2">
      <c r="A2906" s="14">
        <v>45806</v>
      </c>
      <c r="B2906" s="3">
        <v>-27516017330423</v>
      </c>
      <c r="C2906" s="3">
        <f>[1]!nefin_factors__1[[#This Row],[Rm_minus_Rf]]/B2905-1</f>
        <v>-0.92776514492073514</v>
      </c>
      <c r="D2906" s="3">
        <v>-626330053673266</v>
      </c>
      <c r="E2906" s="3">
        <f>[1]!nefin_factors__1[[#This Row],[SMB]]/D2905-1</f>
        <v>2.9158035297631439</v>
      </c>
      <c r="F2906" s="3">
        <v>51131563642877</v>
      </c>
      <c r="G2906" s="3">
        <f>[1]!nefin_factors__1[[#This Row],[HML]]/F2905-1</f>
        <v>-1.096031946406077</v>
      </c>
      <c r="H2906" s="3">
        <v>543701144879227</v>
      </c>
      <c r="I2906" s="4">
        <f>[1]!nefin_factors__1[[#This Row],[Risk_Free]]/H2905-1</f>
        <v>6.3721075782297021E-4</v>
      </c>
      <c r="J2906">
        <v>136354</v>
      </c>
      <c r="K2906">
        <v>136431</v>
      </c>
      <c r="L2906">
        <v>135583</v>
      </c>
      <c r="M2906">
        <v>136341</v>
      </c>
      <c r="N2906">
        <v>9291000</v>
      </c>
      <c r="O2906">
        <v>136341</v>
      </c>
      <c r="P2906">
        <v>-1.10006160344955E-4</v>
      </c>
      <c r="Q2906">
        <v>-1.1001221146639E-4</v>
      </c>
      <c r="R2906" s="8">
        <v>2.0299999713897701</v>
      </c>
      <c r="S2906" s="8">
        <v>4.9504903750889903E-3</v>
      </c>
      <c r="T2906" s="9">
        <v>4.9382769891932804E-3</v>
      </c>
      <c r="U2906" s="12">
        <v>5.5130999999999999E-2</v>
      </c>
      <c r="V2906" s="16">
        <v>5.4570999999999996</v>
      </c>
      <c r="W2906" s="17">
        <f t="shared" si="45"/>
        <v>3.4829153834881055E-4</v>
      </c>
    </row>
    <row r="2907" spans="1:23" x14ac:dyDescent="0.2">
      <c r="A2907" s="15">
        <v>45807</v>
      </c>
      <c r="B2907" s="5">
        <v>-856823391157259</v>
      </c>
      <c r="C2907" s="5">
        <f>[1]!nefin_factors__1[[#This Row],[Rm_minus_Rf]]/B2906-1</f>
        <v>30.139077318791877</v>
      </c>
      <c r="D2907" s="5">
        <v>555536022338664</v>
      </c>
      <c r="E2907" s="5">
        <f>[1]!nefin_factors__1[[#This Row],[SMB]]/D2906-1</f>
        <v>-1.8869700872257158</v>
      </c>
      <c r="F2907" s="5">
        <v>589614116251853</v>
      </c>
      <c r="G2907" s="5">
        <f>[1]!nefin_factors__1[[#This Row],[HML]]/F2906-1</f>
        <v>10.531314011242653</v>
      </c>
      <c r="H2907" s="5">
        <v>544047346405341</v>
      </c>
      <c r="I2907" s="6">
        <f>[1]!nefin_factors__1[[#This Row],[Risk_Free]]/H2906-1</f>
        <v>6.3674967282056905E-4</v>
      </c>
      <c r="J2907">
        <v>136341</v>
      </c>
      <c r="K2907">
        <v>137902</v>
      </c>
      <c r="L2907">
        <v>136341</v>
      </c>
      <c r="M2907">
        <v>137322</v>
      </c>
      <c r="N2907">
        <v>8089900</v>
      </c>
      <c r="O2907">
        <v>137322</v>
      </c>
      <c r="P2907">
        <v>7.1951944022707898E-3</v>
      </c>
      <c r="Q2907">
        <v>7.1694324918510398E-3</v>
      </c>
      <c r="R2907" s="8">
        <v>2.0999999046325701</v>
      </c>
      <c r="S2907" s="8">
        <v>3.4482726221357798E-2</v>
      </c>
      <c r="T2907" s="9">
        <v>3.3901520356326799E-2</v>
      </c>
      <c r="U2907" s="12">
        <v>5.5130999999999999E-2</v>
      </c>
      <c r="V2907" s="16">
        <v>5.4626000000000001</v>
      </c>
      <c r="W2907" s="17">
        <f t="shared" si="45"/>
        <v>1.0078613182826768E-3</v>
      </c>
    </row>
    <row r="2908" spans="1:23" x14ac:dyDescent="0.2">
      <c r="A2908" s="14">
        <v>45810</v>
      </c>
      <c r="B2908" s="3">
        <v>-327394492561727</v>
      </c>
      <c r="C2908" s="3">
        <f>[1]!nefin_factors__1[[#This Row],[Rm_minus_Rf]]/B2907-1</f>
        <v>-0.61789734507652128</v>
      </c>
      <c r="D2908" s="3">
        <v>226334009626848</v>
      </c>
      <c r="E2908" s="3">
        <f>[1]!nefin_factors__1[[#This Row],[SMB]]/D2907-1</f>
        <v>-0.59258445802661019</v>
      </c>
      <c r="F2908" s="3">
        <v>196624424791642</v>
      </c>
      <c r="G2908" s="3">
        <f>[1]!nefin_factors__1[[#This Row],[HML]]/F2907-1</f>
        <v>-0.66652015382268415</v>
      </c>
      <c r="H2908" s="3">
        <v>544047346405341</v>
      </c>
      <c r="I2908" s="4">
        <f>[1]!nefin_factors__1[[#This Row],[Risk_Free]]/H2907-1</f>
        <v>0</v>
      </c>
      <c r="J2908">
        <v>137321</v>
      </c>
      <c r="K2908">
        <v>137321</v>
      </c>
      <c r="L2908">
        <v>133997</v>
      </c>
      <c r="M2908">
        <v>134432</v>
      </c>
      <c r="N2908">
        <v>8684100</v>
      </c>
      <c r="O2908">
        <v>134432</v>
      </c>
      <c r="P2908">
        <v>-2.1045426078851199E-2</v>
      </c>
      <c r="Q2908">
        <v>-2.12700380172854E-2</v>
      </c>
      <c r="R2908" s="8">
        <v>2.0099999904632599</v>
      </c>
      <c r="S2908" s="8">
        <v>-4.2857103931658799E-2</v>
      </c>
      <c r="T2908" s="9">
        <v>-4.3802581989977503E-2</v>
      </c>
      <c r="U2908" s="12">
        <v>5.5130999999999999E-2</v>
      </c>
      <c r="V2908" s="16">
        <v>5.5433000000000003</v>
      </c>
      <c r="W2908" s="17">
        <f t="shared" si="45"/>
        <v>1.4773184930253036E-2</v>
      </c>
    </row>
    <row r="2909" spans="1:23" x14ac:dyDescent="0.2">
      <c r="A2909" s="15">
        <v>45811</v>
      </c>
      <c r="B2909" s="5">
        <v>520152192611522</v>
      </c>
      <c r="C2909" s="5">
        <f>[1]!nefin_factors__1[[#This Row],[Rm_minus_Rf]]/B2908-1</f>
        <v>-2.5887628058173657</v>
      </c>
      <c r="D2909" s="5">
        <v>10419738619527</v>
      </c>
      <c r="E2909" s="5">
        <f>[1]!nefin_factors__1[[#This Row],[SMB]]/D2908-1</f>
        <v>-0.95396300080263763</v>
      </c>
      <c r="F2909" s="5">
        <v>490904091549508</v>
      </c>
      <c r="G2909" s="5">
        <f>[1]!nefin_factors__1[[#This Row],[HML]]/F2908-1</f>
        <v>1.4966587547284975</v>
      </c>
      <c r="H2909" s="5">
        <v>544393517866615</v>
      </c>
      <c r="I2909" s="6">
        <f>[1]!nefin_factors__1[[#This Row],[Risk_Free]]/H2908-1</f>
        <v>6.3628921924019366E-4</v>
      </c>
      <c r="J2909">
        <v>134431</v>
      </c>
      <c r="K2909">
        <v>134964</v>
      </c>
      <c r="L2909">
        <v>134122</v>
      </c>
      <c r="M2909">
        <v>134667</v>
      </c>
      <c r="N2909">
        <v>6845000</v>
      </c>
      <c r="O2909">
        <v>134667</v>
      </c>
      <c r="P2909">
        <v>1.74809569150192E-3</v>
      </c>
      <c r="Q2909">
        <v>1.74656955053005E-3</v>
      </c>
      <c r="R2909" s="8">
        <v>2</v>
      </c>
      <c r="S2909" s="8">
        <v>-4.9751196570663198E-3</v>
      </c>
      <c r="T2909" s="9">
        <v>-4.9875367663907303E-3</v>
      </c>
      <c r="U2909" s="12">
        <v>5.5130999999999999E-2</v>
      </c>
      <c r="V2909" s="16">
        <v>5.5721999999999996</v>
      </c>
      <c r="W2909" s="17">
        <f t="shared" si="45"/>
        <v>5.2135009831686396E-3</v>
      </c>
    </row>
    <row r="2910" spans="1:23" x14ac:dyDescent="0.2">
      <c r="A2910" s="14">
        <v>45812</v>
      </c>
      <c r="B2910" s="3">
        <v>-451431482761545</v>
      </c>
      <c r="C2910" s="3">
        <f>[1]!nefin_factors__1[[#This Row],[Rm_minus_Rf]]/B2909-1</f>
        <v>-1.8678834563688913</v>
      </c>
      <c r="D2910" s="3">
        <v>109794658344106</v>
      </c>
      <c r="E2910" s="3">
        <f>[1]!nefin_factors__1[[#This Row],[SMB]]/D2909-1</f>
        <v>9.5371797079771738</v>
      </c>
      <c r="F2910" s="3">
        <v>-943103345516034</v>
      </c>
      <c r="G2910" s="3">
        <f>[1]!nefin_factors__1[[#This Row],[HML]]/F2909-1</f>
        <v>-2.9211560093931737</v>
      </c>
      <c r="H2910" s="3">
        <v>545085770615961</v>
      </c>
      <c r="I2910" s="4">
        <f>[1]!nefin_factors__1[[#This Row],[Risk_Free]]/H2909-1</f>
        <v>1.2716035856907837E-3</v>
      </c>
      <c r="J2910">
        <v>134664</v>
      </c>
      <c r="K2910">
        <v>134837</v>
      </c>
      <c r="L2910">
        <v>133874</v>
      </c>
      <c r="M2910">
        <v>134511</v>
      </c>
      <c r="N2910">
        <v>6516300</v>
      </c>
      <c r="O2910">
        <v>134511</v>
      </c>
      <c r="P2910">
        <v>-1.15841297422536E-3</v>
      </c>
      <c r="Q2910">
        <v>-1.15908445315148E-3</v>
      </c>
      <c r="R2910" s="8">
        <v>1.9900000095367401</v>
      </c>
      <c r="S2910" s="8">
        <v>-4.9999952316284197E-3</v>
      </c>
      <c r="T2910" s="9">
        <v>-5.0125370312110503E-3</v>
      </c>
      <c r="U2910" s="12">
        <v>5.5130999999999999E-2</v>
      </c>
      <c r="V2910" s="16">
        <v>5.5594999999999999</v>
      </c>
      <c r="W2910" s="17">
        <f t="shared" si="45"/>
        <v>-2.2791716018807362E-3</v>
      </c>
    </row>
    <row r="2911" spans="1:23" x14ac:dyDescent="0.2">
      <c r="A2911" s="15">
        <v>45813</v>
      </c>
      <c r="B2911" s="5">
        <v>-751044689077358</v>
      </c>
      <c r="C2911" s="5">
        <f>[1]!nefin_factors__1[[#This Row],[Rm_minus_Rf]]/B2910-1</f>
        <v>0.66369586029531447</v>
      </c>
      <c r="D2911" s="5">
        <v>-656133892599345</v>
      </c>
      <c r="E2911" s="5">
        <f>[1]!nefin_factors__1[[#This Row],[SMB]]/D2910-1</f>
        <v>-6.9760092384728258</v>
      </c>
      <c r="F2911" s="5">
        <v>-781420054166027</v>
      </c>
      <c r="G2911" s="5">
        <f>[1]!nefin_factors__1[[#This Row],[HML]]/F2910-1</f>
        <v>-0.17143751225009107</v>
      </c>
      <c r="H2911" s="5">
        <v>545777903169009</v>
      </c>
      <c r="I2911" s="6">
        <f>[1]!nefin_factors__1[[#This Row],[Risk_Free]]/H2910-1</f>
        <v>1.2697681545894568E-3</v>
      </c>
      <c r="J2911">
        <v>134512</v>
      </c>
      <c r="K2911">
        <v>138072</v>
      </c>
      <c r="L2911">
        <v>134512</v>
      </c>
      <c r="M2911">
        <v>137968</v>
      </c>
      <c r="N2911">
        <v>9315600</v>
      </c>
      <c r="O2911">
        <v>137968</v>
      </c>
      <c r="P2911">
        <v>2.5700500330827901E-2</v>
      </c>
      <c r="Q2911">
        <v>2.5375794125618301E-2</v>
      </c>
      <c r="R2911" s="8">
        <v>2.03999996185303</v>
      </c>
      <c r="S2911" s="8">
        <v>2.5125604058626998E-2</v>
      </c>
      <c r="T2911" s="9">
        <v>2.4815145627894102E-2</v>
      </c>
      <c r="U2911" s="12">
        <v>5.5130999999999999E-2</v>
      </c>
      <c r="V2911" s="16">
        <v>5.5575999999999999</v>
      </c>
      <c r="W2911" s="17">
        <f t="shared" si="45"/>
        <v>-3.4175735227992554E-4</v>
      </c>
    </row>
    <row r="2912" spans="1:23" x14ac:dyDescent="0.2">
      <c r="A2912" s="14">
        <v>45814</v>
      </c>
      <c r="B2912" s="3">
        <v>-144499605990094</v>
      </c>
      <c r="C2912" s="3">
        <f>[1]!nefin_factors__1[[#This Row],[Rm_minus_Rf]]/B2911-1</f>
        <v>-0.80760185366917558</v>
      </c>
      <c r="D2912" s="3">
        <v>-574048384910075</v>
      </c>
      <c r="E2912" s="3">
        <f>[1]!nefin_factors__1[[#This Row],[SMB]]/D2911-1</f>
        <v>-0.12510481262304474</v>
      </c>
      <c r="F2912" s="3">
        <v>-225446675420586</v>
      </c>
      <c r="G2912" s="3">
        <f>[1]!nefin_factors__1[[#This Row],[HML]]/F2911-1</f>
        <v>-0.71149105501113019</v>
      </c>
      <c r="H2912" s="3">
        <v>546815876721896</v>
      </c>
      <c r="I2912" s="4">
        <f>[1]!nefin_factors__1[[#This Row],[Risk_Free]]/H2911-1</f>
        <v>1.9018240695714006E-3</v>
      </c>
      <c r="J2912">
        <v>137971</v>
      </c>
      <c r="K2912">
        <v>138890</v>
      </c>
      <c r="L2912">
        <v>137971</v>
      </c>
      <c r="M2912">
        <v>138025</v>
      </c>
      <c r="N2912">
        <v>5991700</v>
      </c>
      <c r="O2912">
        <v>138025</v>
      </c>
      <c r="P2912">
        <v>4.13139278673258E-4</v>
      </c>
      <c r="Q2912">
        <v>4.1305396013961601E-4</v>
      </c>
      <c r="R2912" s="8">
        <v>2.0499999523162802</v>
      </c>
      <c r="S2912" s="8">
        <v>4.90195620110367E-3</v>
      </c>
      <c r="T2912" s="9">
        <v>4.8899807333388501E-3</v>
      </c>
      <c r="U2912" s="12">
        <v>5.5130999999999999E-2</v>
      </c>
      <c r="V2912" s="16">
        <v>5.5721999999999996</v>
      </c>
      <c r="W2912" s="17">
        <f t="shared" si="45"/>
        <v>2.6270332517632777E-3</v>
      </c>
    </row>
    <row r="2913" spans="1:23" x14ac:dyDescent="0.2">
      <c r="A2913" s="15">
        <v>45817</v>
      </c>
      <c r="B2913" s="5">
        <v>-363490059566044</v>
      </c>
      <c r="C2913" s="5">
        <f>[1]!nefin_factors__1[[#This Row],[Rm_minus_Rf]]/B2912-1</f>
        <v>1.5155090013945274</v>
      </c>
      <c r="D2913" s="5">
        <v>437395834181387</v>
      </c>
      <c r="E2913" s="5">
        <f>[1]!nefin_factors__1[[#This Row],[SMB]]/D2912-1</f>
        <v>-1.7619494204306583</v>
      </c>
      <c r="F2913" s="5">
        <v>430222907976754</v>
      </c>
      <c r="G2913" s="5">
        <f>[1]!nefin_factors__1[[#This Row],[HML]]/F2912-1</f>
        <v>-2.908313383526921</v>
      </c>
      <c r="H2913" s="5">
        <v>546469915567505</v>
      </c>
      <c r="I2913" s="6">
        <f>[1]!nefin_factors__1[[#This Row],[Risk_Free]]/H2912-1</f>
        <v>-6.3268308240238547E-4</v>
      </c>
      <c r="J2913">
        <v>138026</v>
      </c>
      <c r="K2913">
        <v>138037</v>
      </c>
      <c r="L2913">
        <v>137059</v>
      </c>
      <c r="M2913">
        <v>137771</v>
      </c>
      <c r="N2913">
        <v>8453400</v>
      </c>
      <c r="O2913">
        <v>137771</v>
      </c>
      <c r="P2913">
        <v>-1.8402463321861599E-3</v>
      </c>
      <c r="Q2913">
        <v>-1.8419416656744801E-3</v>
      </c>
      <c r="R2913" s="8">
        <v>2.0299999713897701</v>
      </c>
      <c r="S2913" s="8">
        <v>-9.7560884837659696E-3</v>
      </c>
      <c r="T2913" s="9">
        <v>-9.8039909299806102E-3</v>
      </c>
      <c r="U2913" s="12">
        <v>5.5130999999999999E-2</v>
      </c>
      <c r="V2913" s="16">
        <v>5.5736999999999997</v>
      </c>
      <c r="W2913" s="17">
        <f t="shared" si="45"/>
        <v>2.691934962850695E-4</v>
      </c>
    </row>
    <row r="2914" spans="1:23" x14ac:dyDescent="0.2">
      <c r="A2914" s="14">
        <v>45818</v>
      </c>
      <c r="B2914" s="3">
        <v>33634373487863</v>
      </c>
      <c r="C2914" s="3">
        <f>[1]!nefin_factors__1[[#This Row],[Rm_minus_Rf]]/B2913-1</f>
        <v>-1.0925317559660854</v>
      </c>
      <c r="D2914" s="3">
        <v>397193236968198</v>
      </c>
      <c r="E2914" s="3">
        <f>[1]!nefin_factors__1[[#This Row],[SMB]]/D2913-1</f>
        <v>-9.1913534769782701E-2</v>
      </c>
      <c r="F2914" s="3">
        <v>436723720853134</v>
      </c>
      <c r="G2914" s="3">
        <f>[1]!nefin_factors__1[[#This Row],[HML]]/F2913-1</f>
        <v>1.5110336422929915E-2</v>
      </c>
      <c r="H2914" s="3">
        <v>546123924384911</v>
      </c>
      <c r="I2914" s="4">
        <f>[1]!nefin_factors__1[[#This Row],[Risk_Free]]/H2913-1</f>
        <v>-6.3313857311741994E-4</v>
      </c>
      <c r="J2914">
        <v>137773</v>
      </c>
      <c r="K2914">
        <v>139281</v>
      </c>
      <c r="L2914">
        <v>137456</v>
      </c>
      <c r="M2914">
        <v>139206</v>
      </c>
      <c r="N2914">
        <v>6609100</v>
      </c>
      <c r="O2914">
        <v>139206</v>
      </c>
      <c r="P2914">
        <v>1.0415834972527E-2</v>
      </c>
      <c r="Q2914">
        <v>1.0361963915234499E-2</v>
      </c>
      <c r="R2914" s="8">
        <v>2.0699999332428001</v>
      </c>
      <c r="S2914" s="8">
        <v>1.9704414983633199E-2</v>
      </c>
      <c r="T2914" s="9">
        <v>1.9512796067434401E-2</v>
      </c>
      <c r="U2914" s="12">
        <v>5.5130999999999999E-2</v>
      </c>
      <c r="V2914" s="16">
        <v>5.5465999999999998</v>
      </c>
      <c r="W2914" s="17">
        <f t="shared" si="45"/>
        <v>-4.8621203150510661E-3</v>
      </c>
    </row>
    <row r="2915" spans="1:23" x14ac:dyDescent="0.2">
      <c r="A2915" s="15">
        <v>45819</v>
      </c>
      <c r="B2915" s="5">
        <v>582617988946535</v>
      </c>
      <c r="C2915" s="5">
        <f>[1]!nefin_factors__1[[#This Row],[Rm_minus_Rf]]/B2914-1</f>
        <v>16.322100236437386</v>
      </c>
      <c r="D2915" s="5">
        <v>102570858935988</v>
      </c>
      <c r="E2915" s="5">
        <f>[1]!nefin_factors__1[[#This Row],[SMB]]/D2914-1</f>
        <v>-0.7417608121454482</v>
      </c>
      <c r="F2915" s="5">
        <v>609397528009099</v>
      </c>
      <c r="G2915" s="5">
        <f>[1]!nefin_factors__1[[#This Row],[HML]]/F2914-1</f>
        <v>0.39538453926580641</v>
      </c>
      <c r="H2915" s="5">
        <v>546815876721896</v>
      </c>
      <c r="I2915" s="6">
        <f>[1]!nefin_factors__1[[#This Row],[Risk_Free]]/H2914-1</f>
        <v>1.2670243988381902E-3</v>
      </c>
      <c r="J2915">
        <v>139206</v>
      </c>
      <c r="K2915">
        <v>142138</v>
      </c>
      <c r="L2915">
        <v>139206</v>
      </c>
      <c r="M2915">
        <v>141049</v>
      </c>
      <c r="N2915">
        <v>9294800</v>
      </c>
      <c r="O2915">
        <v>141049</v>
      </c>
      <c r="P2915">
        <v>1.3239371866155199E-2</v>
      </c>
      <c r="Q2915">
        <v>1.31524973186961E-2</v>
      </c>
      <c r="R2915" s="8">
        <v>2.0799999237060498</v>
      </c>
      <c r="S2915" s="8">
        <v>4.8309134230701796E-3</v>
      </c>
      <c r="T2915" s="9">
        <v>4.8192820060235404E-3</v>
      </c>
      <c r="U2915" s="12">
        <v>5.5130999999999999E-2</v>
      </c>
      <c r="V2915" s="16">
        <v>5.5625</v>
      </c>
      <c r="W2915" s="17">
        <f t="shared" si="45"/>
        <v>2.8666209930408026E-3</v>
      </c>
    </row>
    <row r="2916" spans="1:23" x14ac:dyDescent="0.2">
      <c r="A2916" s="14">
        <v>45820</v>
      </c>
      <c r="B2916" s="3">
        <v>476701214964771</v>
      </c>
      <c r="C2916" s="3">
        <f>[1]!nefin_factors__1[[#This Row],[Rm_minus_Rf]]/B2915-1</f>
        <v>-0.181794548042154</v>
      </c>
      <c r="D2916" s="3">
        <v>230680058191713</v>
      </c>
      <c r="E2916" s="3">
        <f>[1]!nefin_factors__1[[#This Row],[SMB]]/D2915-1</f>
        <v>1.2489824164938979</v>
      </c>
      <c r="F2916" s="3">
        <v>-258910866084486</v>
      </c>
      <c r="G2916" s="3">
        <f>[1]!nefin_factors__1[[#This Row],[HML]]/F2915-1</f>
        <v>-1.4248636631827956</v>
      </c>
      <c r="H2916" s="3">
        <v>547161807853414</v>
      </c>
      <c r="I2916" s="4">
        <f>[1]!nefin_factors__1[[#This Row],[Risk_Free]]/H2915-1</f>
        <v>6.326281774988729E-4</v>
      </c>
      <c r="J2916">
        <v>141049</v>
      </c>
      <c r="K2916">
        <v>142379</v>
      </c>
      <c r="L2916">
        <v>141000</v>
      </c>
      <c r="M2916">
        <v>141422</v>
      </c>
      <c r="N2916">
        <v>9333200</v>
      </c>
      <c r="O2916">
        <v>141422</v>
      </c>
      <c r="P2916">
        <v>2.6444710703372701E-3</v>
      </c>
      <c r="Q2916">
        <v>2.6409806089782301E-3</v>
      </c>
      <c r="R2916" s="8">
        <v>2.1300001144409202</v>
      </c>
      <c r="S2916" s="8">
        <v>2.4038554119644E-2</v>
      </c>
      <c r="T2916" s="9">
        <v>2.3754176416018302E-2</v>
      </c>
      <c r="U2916" s="12">
        <v>5.5130999999999999E-2</v>
      </c>
      <c r="V2916" s="16">
        <v>5.5709</v>
      </c>
      <c r="W2916" s="17">
        <f t="shared" si="45"/>
        <v>1.5101123595504529E-3</v>
      </c>
    </row>
    <row r="2917" spans="1:23" x14ac:dyDescent="0.2">
      <c r="A2917" s="15">
        <v>45821</v>
      </c>
      <c r="B2917" s="5">
        <v>134913877557045</v>
      </c>
      <c r="C2917" s="5">
        <f>[1]!nefin_factors__1[[#This Row],[Rm_minus_Rf]]/B2916-1</f>
        <v>-0.71698440590923318</v>
      </c>
      <c r="D2917" s="5">
        <v>26797671947888</v>
      </c>
      <c r="E2917" s="5">
        <f>[1]!nefin_factors__1[[#This Row],[SMB]]/D2916-1</f>
        <v>-0.88383186584070883</v>
      </c>
      <c r="F2917" s="5">
        <v>-420083517231006</v>
      </c>
      <c r="G2917" s="5">
        <f>[1]!nefin_factors__1[[#This Row],[HML]]/F2916-1</f>
        <v>0.62250246034064571</v>
      </c>
      <c r="H2917" s="5">
        <v>546815876721896</v>
      </c>
      <c r="I2917" s="6">
        <f>[1]!nefin_factors__1[[#This Row],[Risk_Free]]/H2916-1</f>
        <v>-6.3222821211728064E-4</v>
      </c>
      <c r="J2917">
        <v>141423</v>
      </c>
      <c r="K2917">
        <v>141950</v>
      </c>
      <c r="L2917">
        <v>140878</v>
      </c>
      <c r="M2917">
        <v>141125</v>
      </c>
      <c r="N2917">
        <v>3388000</v>
      </c>
      <c r="O2917">
        <v>141125</v>
      </c>
      <c r="P2917">
        <v>-2.1000975802916199E-3</v>
      </c>
      <c r="Q2917">
        <v>-2.1023058775164502E-3</v>
      </c>
      <c r="R2917" s="8">
        <v>2.1400001049041699</v>
      </c>
      <c r="S2917" s="8">
        <v>4.6948309511625199E-3</v>
      </c>
      <c r="T2917" s="9">
        <v>4.68384460493859E-3</v>
      </c>
      <c r="U2917" s="12">
        <v>5.5130999999999999E-2</v>
      </c>
      <c r="V2917" s="16">
        <v>5.5537000000000001</v>
      </c>
      <c r="W2917" s="17">
        <f t="shared" si="45"/>
        <v>-3.0874724012277532E-3</v>
      </c>
    </row>
    <row r="2918" spans="1:23" x14ac:dyDescent="0.2">
      <c r="A2918" s="14">
        <v>45824</v>
      </c>
      <c r="B2918" s="3">
        <v>-109431961065459</v>
      </c>
      <c r="C2918" s="3">
        <f>[1]!nefin_factors__1[[#This Row],[Rm_minus_Rf]]/B2917-1</f>
        <v>-1.8111245710745241</v>
      </c>
      <c r="D2918" s="3">
        <v>-96179760179044</v>
      </c>
      <c r="E2918" s="3">
        <f>[1]!nefin_factors__1[[#This Row],[SMB]]/D2917-1</f>
        <v>-4.5891087989314752</v>
      </c>
      <c r="F2918" s="3">
        <v>790992561288631</v>
      </c>
      <c r="G2918" s="3">
        <f>[1]!nefin_factors__1[[#This Row],[HML]]/F2917-1</f>
        <v>-2.882941198222877</v>
      </c>
      <c r="H2918" s="3">
        <v>547507708967165</v>
      </c>
      <c r="I2918" s="4">
        <f>[1]!nefin_factors__1[[#This Row],[Risk_Free]]/H2917-1</f>
        <v>1.265201459431653E-3</v>
      </c>
      <c r="J2918">
        <v>141279</v>
      </c>
      <c r="K2918">
        <v>141279</v>
      </c>
      <c r="L2918">
        <v>139625</v>
      </c>
      <c r="M2918">
        <v>140335</v>
      </c>
      <c r="N2918">
        <v>8785200</v>
      </c>
      <c r="O2918">
        <v>140335</v>
      </c>
      <c r="P2918">
        <v>-5.5978742249778203E-3</v>
      </c>
      <c r="Q2918">
        <v>-5.6136010415186403E-3</v>
      </c>
      <c r="R2918" s="8">
        <v>2.1199998855590798</v>
      </c>
      <c r="S2918" s="8">
        <v>-9.3458964320883905E-3</v>
      </c>
      <c r="T2918" s="9">
        <v>-9.3898433520467599E-3</v>
      </c>
      <c r="U2918" s="12">
        <v>5.5130999999999999E-2</v>
      </c>
      <c r="V2918" s="16">
        <v>5.5239000000000003</v>
      </c>
      <c r="W2918" s="17">
        <f t="shared" si="45"/>
        <v>-5.3657921745863257E-3</v>
      </c>
    </row>
    <row r="2919" spans="1:23" x14ac:dyDescent="0.2">
      <c r="A2919" s="15">
        <v>45825</v>
      </c>
      <c r="B2919" s="5">
        <v>-172332921975309</v>
      </c>
      <c r="C2919" s="5">
        <f>[1]!nefin_factors__1[[#This Row],[Rm_minus_Rf]]/B2918-1</f>
        <v>0.57479515396991276</v>
      </c>
      <c r="D2919" s="5">
        <v>-881966076007434</v>
      </c>
      <c r="E2919" s="5">
        <f>[1]!nefin_factors__1[[#This Row],[SMB]]/D2918-1</f>
        <v>8.1699758282366766</v>
      </c>
      <c r="F2919" s="5">
        <v>134681280432017</v>
      </c>
      <c r="G2919" s="5">
        <f>[1]!nefin_factors__1[[#This Row],[HML]]/F2918-1</f>
        <v>-0.82973129328472639</v>
      </c>
      <c r="H2919" s="5">
        <v>547853580068258</v>
      </c>
      <c r="I2919" s="6">
        <f>[1]!nefin_factors__1[[#This Row],[Risk_Free]]/H2918-1</f>
        <v>6.3171914372750493E-4</v>
      </c>
      <c r="J2919">
        <v>140332</v>
      </c>
      <c r="K2919">
        <v>140496</v>
      </c>
      <c r="L2919">
        <v>139582</v>
      </c>
      <c r="M2919">
        <v>139864</v>
      </c>
      <c r="N2919">
        <v>7579800</v>
      </c>
      <c r="O2919">
        <v>139864</v>
      </c>
      <c r="P2919">
        <v>-3.3562546763102898E-3</v>
      </c>
      <c r="Q2919">
        <v>-3.3618995329596701E-3</v>
      </c>
      <c r="R2919" s="8">
        <v>2.1099998950958301</v>
      </c>
      <c r="S2919" s="8">
        <v>-4.7169768882414599E-3</v>
      </c>
      <c r="T2919" s="9">
        <v>-4.7281369319989996E-3</v>
      </c>
      <c r="U2919" s="12">
        <v>5.5130999999999999E-2</v>
      </c>
      <c r="V2919" s="16">
        <v>5.5426000000000002</v>
      </c>
      <c r="W2919" s="17">
        <f t="shared" si="45"/>
        <v>3.3852893788808291E-3</v>
      </c>
    </row>
    <row r="2920" spans="1:23" x14ac:dyDescent="0.2">
      <c r="A2920" s="14">
        <v>45826</v>
      </c>
      <c r="B2920" s="3">
        <v>179254353246161</v>
      </c>
      <c r="C2920" s="3">
        <f>[1]!nefin_factors__1[[#This Row],[Rm_minus_Rf]]/B2919-1</f>
        <v>-2.0401631399938989</v>
      </c>
      <c r="D2920" s="3">
        <v>282329929145067</v>
      </c>
      <c r="E2920" s="3">
        <f>[1]!nefin_factors__1[[#This Row],[SMB]]/D2919-1</f>
        <v>-1.3201142729016793</v>
      </c>
      <c r="F2920" s="3">
        <v>-49339242563684</v>
      </c>
      <c r="G2920" s="3">
        <f>[1]!nefin_factors__1[[#This Row],[HML]]/F2919-1</f>
        <v>-1.366340759498414</v>
      </c>
      <c r="H2920" s="3">
        <v>548199421162243</v>
      </c>
      <c r="I2920" s="4">
        <f>[1]!nefin_factors__1[[#This Row],[Risk_Free]]/H2919-1</f>
        <v>6.312655544604695E-4</v>
      </c>
      <c r="J2920">
        <v>139832</v>
      </c>
      <c r="K2920">
        <v>141482</v>
      </c>
      <c r="L2920">
        <v>139832</v>
      </c>
      <c r="M2920">
        <v>140993</v>
      </c>
      <c r="N2920">
        <v>8032400</v>
      </c>
      <c r="O2920">
        <v>140993</v>
      </c>
      <c r="P2920">
        <v>8.0721272092889595E-3</v>
      </c>
      <c r="Q2920">
        <v>8.0397218603763497E-3</v>
      </c>
      <c r="R2920" s="8">
        <v>2.1300001144409202</v>
      </c>
      <c r="S2920" s="8">
        <v>9.4787774120646002E-3</v>
      </c>
      <c r="T2920" s="9">
        <v>9.4341356791074003E-3</v>
      </c>
      <c r="U2920" s="12">
        <v>5.5130999999999999E-2</v>
      </c>
      <c r="V2920" s="16">
        <v>5.5876999999999999</v>
      </c>
      <c r="W2920" s="17">
        <f t="shared" si="45"/>
        <v>8.1369754266948924E-3</v>
      </c>
    </row>
    <row r="2921" spans="1:23" x14ac:dyDescent="0.2">
      <c r="A2921" s="15">
        <v>45828</v>
      </c>
      <c r="B2921" s="5">
        <v>-284283063204209</v>
      </c>
      <c r="C2921" s="5">
        <f>[1]!nefin_factors__1[[#This Row],[Rm_minus_Rf]]/B2920-1</f>
        <v>-2.585919996117569</v>
      </c>
      <c r="D2921" s="5">
        <v>-505130074676102</v>
      </c>
      <c r="E2921" s="5">
        <f>[1]!nefin_factors__1[[#This Row],[SMB]]/D2920-1</f>
        <v>-2.7891481650765959</v>
      </c>
      <c r="F2921" s="5">
        <v>-238719839796022</v>
      </c>
      <c r="G2921" s="5">
        <f>[1]!nefin_factors__1[[#This Row],[HML]]/F2920-1</f>
        <v>3.8383361274323864</v>
      </c>
      <c r="H2921" s="5">
        <v>551656182848026</v>
      </c>
      <c r="I2921" s="6">
        <f>[1]!nefin_factors__1[[#This Row],[Risk_Free]]/H2920-1</f>
        <v>6.3056646036843134E-3</v>
      </c>
      <c r="J2921">
        <v>141004</v>
      </c>
      <c r="K2921">
        <v>143409</v>
      </c>
      <c r="L2921">
        <v>141004</v>
      </c>
      <c r="M2921">
        <v>142640</v>
      </c>
      <c r="N2921">
        <v>8379400</v>
      </c>
      <c r="O2921">
        <v>142640</v>
      </c>
      <c r="P2921">
        <v>1.1681430993028E-2</v>
      </c>
      <c r="Q2921">
        <v>1.1613729799160699E-2</v>
      </c>
      <c r="R2921" s="8">
        <v>2.2200000286102299</v>
      </c>
      <c r="S2921" s="8">
        <v>4.2253478560462202E-2</v>
      </c>
      <c r="T2921" s="9">
        <v>4.1385175322215903E-2</v>
      </c>
      <c r="U2921" s="12">
        <v>5.5130999999999999E-2</v>
      </c>
      <c r="V2921" s="16">
        <v>5.5763999999999996</v>
      </c>
      <c r="W2921" s="17">
        <f t="shared" si="45"/>
        <v>-2.0222989781126799E-3</v>
      </c>
    </row>
    <row r="2922" spans="1:23" x14ac:dyDescent="0.2">
      <c r="A2922" s="14">
        <v>45831</v>
      </c>
      <c r="B2922" s="3">
        <v>-795142887142396</v>
      </c>
      <c r="C2922" s="3">
        <f>[1]!nefin_factors__1[[#This Row],[Rm_minus_Rf]]/B2921-1</f>
        <v>1.7970111134310565</v>
      </c>
      <c r="D2922" s="3">
        <v>-850173777781213</v>
      </c>
      <c r="E2922" s="3">
        <f>[1]!nefin_factors__1[[#This Row],[SMB]]/D2921-1</f>
        <v>0.6830789145278251</v>
      </c>
      <c r="F2922" s="3">
        <v>-673017231426874</v>
      </c>
      <c r="G2922" s="3">
        <f>[1]!nefin_factors__1[[#This Row],[HML]]/F2921-1</f>
        <v>1.819276487458874</v>
      </c>
      <c r="H2922" s="3">
        <v>551656182848026</v>
      </c>
      <c r="I2922" s="4">
        <f>[1]!nefin_factors__1[[#This Row],[Risk_Free]]/H2921-1</f>
        <v>0</v>
      </c>
      <c r="J2922">
        <v>142640</v>
      </c>
      <c r="K2922">
        <v>143089</v>
      </c>
      <c r="L2922">
        <v>141329</v>
      </c>
      <c r="M2922">
        <v>141792</v>
      </c>
      <c r="N2922">
        <v>7440900</v>
      </c>
      <c r="O2922">
        <v>141792</v>
      </c>
      <c r="P2922">
        <v>-5.94503645541222E-3</v>
      </c>
      <c r="Q2922">
        <v>-5.9627785378059796E-3</v>
      </c>
      <c r="R2922" s="8">
        <v>2.1199998855590798</v>
      </c>
      <c r="S2922" s="8">
        <v>-4.50451089019804E-2</v>
      </c>
      <c r="T2922" s="9">
        <v>-4.6091174069324198E-2</v>
      </c>
      <c r="U2922" s="12">
        <v>5.5130999999999999E-2</v>
      </c>
      <c r="V2922" s="16">
        <v>5.6033999999999997</v>
      </c>
      <c r="W2922" s="17">
        <f t="shared" si="45"/>
        <v>4.8418334409296993E-3</v>
      </c>
    </row>
    <row r="2923" spans="1:23" x14ac:dyDescent="0.2">
      <c r="A2923" s="15">
        <v>45832</v>
      </c>
      <c r="B2923" s="5">
        <v>142103550582155</v>
      </c>
      <c r="C2923" s="5">
        <f>[1]!nefin_factors__1[[#This Row],[Rm_minus_Rf]]/B2922-1</f>
        <v>-1.178714483748764</v>
      </c>
      <c r="D2923" s="5">
        <v>1464065897691</v>
      </c>
      <c r="E2923" s="5">
        <f>[1]!nefin_factors__1[[#This Row],[SMB]]/D2922-1</f>
        <v>-1.0017220783985032</v>
      </c>
      <c r="F2923" s="5">
        <v>759986487909447</v>
      </c>
      <c r="G2923" s="5">
        <f>[1]!nefin_factors__1[[#This Row],[HML]]/F2922-1</f>
        <v>-2.1292229268754204</v>
      </c>
      <c r="H2923" s="5">
        <v>551656182848026</v>
      </c>
      <c r="I2923" s="6">
        <f>[1]!nefin_factors__1[[#This Row],[Risk_Free]]/H2922-1</f>
        <v>0</v>
      </c>
      <c r="J2923">
        <v>141794</v>
      </c>
      <c r="K2923">
        <v>142286</v>
      </c>
      <c r="L2923">
        <v>141606</v>
      </c>
      <c r="M2923">
        <v>141618</v>
      </c>
      <c r="N2923">
        <v>7481900</v>
      </c>
      <c r="O2923">
        <v>141618</v>
      </c>
      <c r="P2923">
        <v>-1.2271496276236001E-3</v>
      </c>
      <c r="Q2923">
        <v>-1.2279031922820399E-3</v>
      </c>
      <c r="R2923" s="8">
        <v>2.03999996185303</v>
      </c>
      <c r="S2923" s="8">
        <v>-3.7735815105931998E-2</v>
      </c>
      <c r="T2923" s="9">
        <v>-3.8466245545726099E-2</v>
      </c>
      <c r="U2923" s="12">
        <v>5.5130999999999999E-2</v>
      </c>
      <c r="V2923" s="16">
        <v>5.6021000000000001</v>
      </c>
      <c r="W2923" s="17">
        <f t="shared" si="45"/>
        <v>-2.3200199878636862E-4</v>
      </c>
    </row>
    <row r="2924" spans="1:23" x14ac:dyDescent="0.2">
      <c r="A2924" s="14">
        <v>45833</v>
      </c>
      <c r="B2924" s="3">
        <v>-239491657945</v>
      </c>
      <c r="C2924" s="3">
        <f>[1]!nefin_factors__1[[#This Row],[Rm_minus_Rf]]/B2923-1</f>
        <v>-1.0016853319777295</v>
      </c>
      <c r="D2924" s="3">
        <v>42755879327242</v>
      </c>
      <c r="E2924" s="3">
        <f>[1]!nefin_factors__1[[#This Row],[SMB]]/D2923-1</f>
        <v>28.20352109469453</v>
      </c>
      <c r="F2924" s="3">
        <v>-331940987040669</v>
      </c>
      <c r="G2924" s="3">
        <f>[1]!nefin_factors__1[[#This Row],[HML]]/F2923-1</f>
        <v>-1.4367722220348476</v>
      </c>
      <c r="H2924" s="3">
        <v>551656182848026</v>
      </c>
      <c r="I2924" s="4">
        <f>[1]!nefin_factors__1[[#This Row],[Risk_Free]]/H2923-1</f>
        <v>0</v>
      </c>
      <c r="J2924">
        <v>141612</v>
      </c>
      <c r="K2924">
        <v>143182</v>
      </c>
      <c r="L2924">
        <v>141612</v>
      </c>
      <c r="M2924">
        <v>142349</v>
      </c>
      <c r="N2924">
        <v>7138700</v>
      </c>
      <c r="O2924">
        <v>142349</v>
      </c>
      <c r="P2924">
        <v>5.1617732209181498E-3</v>
      </c>
      <c r="Q2924">
        <v>5.1484969360426997E-3</v>
      </c>
      <c r="R2924" s="8">
        <v>2.0199999809265101</v>
      </c>
      <c r="S2924" s="8">
        <v>-9.8039124022074597E-3</v>
      </c>
      <c r="T2924" s="9">
        <v>-9.85228718583505E-3</v>
      </c>
      <c r="U2924" s="12">
        <v>5.5130999999999999E-2</v>
      </c>
      <c r="V2924" s="16">
        <v>5.5435999999999996</v>
      </c>
      <c r="W2924" s="17">
        <f t="shared" si="45"/>
        <v>-1.0442512629192713E-2</v>
      </c>
    </row>
    <row r="2925" spans="1:23" x14ac:dyDescent="0.2">
      <c r="A2925" s="15">
        <v>45834</v>
      </c>
      <c r="B2925" s="5">
        <v>-637199638859037</v>
      </c>
      <c r="C2925" s="5">
        <f>[1]!nefin_factors__1[[#This Row],[Rm_minus_Rf]]/B2924-1</f>
        <v>2659.6339624796947</v>
      </c>
      <c r="D2925" s="5">
        <v>-944336967802934</v>
      </c>
      <c r="E2925" s="5">
        <f>[1]!nefin_factors__1[[#This Row],[SMB]]/D2924-1</f>
        <v>-23.086716088218719</v>
      </c>
      <c r="F2925" s="5">
        <v>-190778310884454</v>
      </c>
      <c r="G2925" s="5">
        <f>[1]!nefin_factors__1[[#This Row],[HML]]/F2924-1</f>
        <v>-0.42526437429349428</v>
      </c>
      <c r="H2925" s="5">
        <v>551656182848026</v>
      </c>
      <c r="I2925" s="6">
        <f>[1]!nefin_factors__1[[#This Row],[Risk_Free]]/H2924-1</f>
        <v>0</v>
      </c>
      <c r="J2925">
        <v>142349</v>
      </c>
      <c r="K2925">
        <v>144013</v>
      </c>
      <c r="L2925">
        <v>142349</v>
      </c>
      <c r="M2925">
        <v>143151</v>
      </c>
      <c r="N2925">
        <v>7570400</v>
      </c>
      <c r="O2925">
        <v>143151</v>
      </c>
      <c r="P2925">
        <v>5.6340402812804502E-3</v>
      </c>
      <c r="Q2925">
        <v>5.6182284382417904E-3</v>
      </c>
      <c r="R2925" s="8">
        <v>2.0499999523162802</v>
      </c>
      <c r="S2925" s="8">
        <v>1.4851471125267199E-2</v>
      </c>
      <c r="T2925" s="9">
        <v>1.47422679191739E-2</v>
      </c>
      <c r="U2925" s="12">
        <v>5.5130999999999999E-2</v>
      </c>
      <c r="V2925" s="16">
        <v>5.5113000000000003</v>
      </c>
      <c r="W2925" s="17">
        <f t="shared" si="45"/>
        <v>-5.8265387113065614E-3</v>
      </c>
    </row>
    <row r="2926" spans="1:23" x14ac:dyDescent="0.2">
      <c r="A2926" s="14">
        <v>45835</v>
      </c>
      <c r="B2926" s="3">
        <v>126424470016368</v>
      </c>
      <c r="C2926" s="3">
        <f>[1]!nefin_factors__1[[#This Row],[Rm_minus_Rf]]/B2925-1</f>
        <v>-1.1984063742451931</v>
      </c>
      <c r="D2926" s="3">
        <v>137508999668419</v>
      </c>
      <c r="E2926" s="3">
        <f>[1]!nefin_factors__1[[#This Row],[SMB]]/D2925-1</f>
        <v>-1.1456143350909405</v>
      </c>
      <c r="F2926" s="3">
        <v>121745654635704</v>
      </c>
      <c r="G2926" s="3">
        <f>[1]!nefin_factors__1[[#This Row],[HML]]/F2925-1</f>
        <v>-1.6381524926564632</v>
      </c>
      <c r="H2926" s="3">
        <v>551310641540237</v>
      </c>
      <c r="I2926" s="4">
        <f>[1]!nefin_factors__1[[#This Row],[Risk_Free]]/H2925-1</f>
        <v>-6.263707695708387E-4</v>
      </c>
      <c r="J2926">
        <v>143151</v>
      </c>
      <c r="K2926">
        <v>143202</v>
      </c>
      <c r="L2926">
        <v>142241</v>
      </c>
      <c r="M2926">
        <v>142272</v>
      </c>
      <c r="N2926">
        <v>6388600</v>
      </c>
      <c r="O2926">
        <v>142272</v>
      </c>
      <c r="P2926">
        <v>-6.14036926043127E-3</v>
      </c>
      <c r="Q2926">
        <v>-6.15929885735022E-3</v>
      </c>
      <c r="R2926" s="8">
        <v>2.0099999904632599</v>
      </c>
      <c r="S2926" s="8">
        <v>-1.9512176967531901E-2</v>
      </c>
      <c r="T2926" s="9">
        <v>-1.9705052563631299E-2</v>
      </c>
      <c r="U2926" s="12">
        <v>5.5130999999999999E-2</v>
      </c>
      <c r="V2926" s="16">
        <v>5.5118999999999998</v>
      </c>
      <c r="W2926" s="17">
        <f t="shared" si="45"/>
        <v>1.0886723640513019E-4</v>
      </c>
    </row>
    <row r="2927" spans="1:23" x14ac:dyDescent="0.2">
      <c r="A2927" s="15">
        <v>45838</v>
      </c>
      <c r="B2927" s="5">
        <v>195002374847798</v>
      </c>
      <c r="C2927" s="5">
        <f>[1]!nefin_factors__1[[#This Row],[Rm_minus_Rf]]/B2926-1</f>
        <v>0.54244170311769002</v>
      </c>
      <c r="D2927" s="5">
        <v>-8956768988984</v>
      </c>
      <c r="E2927" s="5">
        <f>[1]!nefin_factors__1[[#This Row],[SMB]]/D2926-1</f>
        <v>-1.0651358748196977</v>
      </c>
      <c r="F2927" s="5">
        <v>-298160502709804</v>
      </c>
      <c r="G2927" s="5">
        <f>[1]!nefin_factors__1[[#This Row],[HML]]/F2926-1</f>
        <v>-3.4490443096468701</v>
      </c>
      <c r="H2927" s="5">
        <v>551656182848026</v>
      </c>
      <c r="I2927" s="6">
        <f>[1]!nefin_factors__1[[#This Row],[Risk_Free]]/H2926-1</f>
        <v>6.2676335581635101E-4</v>
      </c>
      <c r="J2927">
        <v>142292</v>
      </c>
      <c r="K2927">
        <v>144194</v>
      </c>
      <c r="L2927">
        <v>142292</v>
      </c>
      <c r="M2927">
        <v>143547</v>
      </c>
      <c r="N2927">
        <v>6614000</v>
      </c>
      <c r="O2927">
        <v>143547</v>
      </c>
      <c r="P2927">
        <v>8.9617071524965598E-3</v>
      </c>
      <c r="Q2927">
        <v>8.9217893653735607E-3</v>
      </c>
      <c r="R2927" s="8">
        <v>2.0199999809265101</v>
      </c>
      <c r="S2927" s="8">
        <v>4.9751196570662097E-3</v>
      </c>
      <c r="T2927" s="9">
        <v>4.9627846444572502E-3</v>
      </c>
      <c r="U2927" s="12">
        <v>5.5130999999999999E-2</v>
      </c>
      <c r="V2927" s="16">
        <v>5.4802</v>
      </c>
      <c r="W2927" s="17">
        <f t="shared" si="45"/>
        <v>-5.7511928736007079E-3</v>
      </c>
    </row>
    <row r="2928" spans="1:23" x14ac:dyDescent="0.2">
      <c r="A2928" s="14">
        <v>45839</v>
      </c>
      <c r="B2928" s="3">
        <v>116380751724826</v>
      </c>
      <c r="C2928" s="3">
        <f>[1]!nefin_factors__1[[#This Row],[Rm_minus_Rf]]/B2927-1</f>
        <v>-0.40318290064076012</v>
      </c>
      <c r="D2928" s="3">
        <v>-221082748541828</v>
      </c>
      <c r="E2928" s="3">
        <f>[1]!nefin_factors__1[[#This Row],[SMB]]/D2927-1</f>
        <v>23.683314799537577</v>
      </c>
      <c r="F2928" s="3">
        <v>141504643066576</v>
      </c>
      <c r="G2928" s="3">
        <f>[1]!nefin_factors__1[[#This Row],[HML]]/F2927-1</f>
        <v>-1.4745921803207473</v>
      </c>
      <c r="H2928" s="3">
        <v>551656182848026</v>
      </c>
      <c r="I2928" s="4">
        <f>[1]!nefin_factors__1[[#This Row],[Risk_Free]]/H2927-1</f>
        <v>0</v>
      </c>
      <c r="J2928">
        <v>143547</v>
      </c>
      <c r="K2928">
        <v>144584</v>
      </c>
      <c r="L2928">
        <v>143547</v>
      </c>
      <c r="M2928">
        <v>144062</v>
      </c>
      <c r="N2928">
        <v>8478200</v>
      </c>
      <c r="O2928">
        <v>144062</v>
      </c>
      <c r="P2928">
        <v>3.5876751168606399E-3</v>
      </c>
      <c r="Q2928">
        <v>3.5812547620045201E-3</v>
      </c>
      <c r="R2928" s="8">
        <v>2.0599999427795401</v>
      </c>
      <c r="S2928" s="8">
        <v>1.9801961500356399E-2</v>
      </c>
      <c r="T2928" s="9">
        <v>1.9608453053774198E-2</v>
      </c>
      <c r="U2928" s="12">
        <v>5.5130999999999999E-2</v>
      </c>
      <c r="V2928" s="16">
        <v>5.4638</v>
      </c>
      <c r="W2928" s="17">
        <f t="shared" si="45"/>
        <v>-2.9925915112587465E-3</v>
      </c>
    </row>
    <row r="2929" spans="1:23" x14ac:dyDescent="0.2">
      <c r="A2929" s="15">
        <v>45840</v>
      </c>
      <c r="B2929" s="5">
        <v>-729683514450573</v>
      </c>
      <c r="C2929" s="5">
        <f>[1]!nefin_factors__1[[#This Row],[Rm_minus_Rf]]/B2928-1</f>
        <v>-7.2697955085894073</v>
      </c>
      <c r="D2929" s="5">
        <v>-123030144590397</v>
      </c>
      <c r="E2929" s="5">
        <f>[1]!nefin_factors__1[[#This Row],[SMB]]/D2928-1</f>
        <v>-0.44351087815827395</v>
      </c>
      <c r="F2929" s="5">
        <v>393125520730714</v>
      </c>
      <c r="G2929" s="5">
        <f>[1]!nefin_factors__1[[#This Row],[HML]]/F2928-1</f>
        <v>1.7781810703254015</v>
      </c>
      <c r="H2929" s="5">
        <v>551656182848026</v>
      </c>
      <c r="I2929" s="6">
        <f>[1]!nefin_factors__1[[#This Row],[Risk_Free]]/H2928-1</f>
        <v>0</v>
      </c>
      <c r="J2929">
        <v>144059</v>
      </c>
      <c r="K2929">
        <v>146331</v>
      </c>
      <c r="L2929">
        <v>143910</v>
      </c>
      <c r="M2929">
        <v>145594</v>
      </c>
      <c r="N2929">
        <v>9604400</v>
      </c>
      <c r="O2929">
        <v>145594</v>
      </c>
      <c r="P2929">
        <v>1.0634310227540999E-2</v>
      </c>
      <c r="Q2929">
        <v>1.05781636531618E-2</v>
      </c>
      <c r="R2929" s="8">
        <v>2.0899999141693102</v>
      </c>
      <c r="S2929" s="8">
        <v>1.4563093312173399E-2</v>
      </c>
      <c r="T2929" s="9">
        <v>1.44580698848362E-2</v>
      </c>
      <c r="U2929" s="12">
        <v>5.5130999999999999E-2</v>
      </c>
      <c r="V2929" s="16">
        <v>5.4253999999999998</v>
      </c>
      <c r="W2929" s="17">
        <f t="shared" si="45"/>
        <v>-7.0280756982320503E-3</v>
      </c>
    </row>
    <row r="2930" spans="1:23" x14ac:dyDescent="0.2">
      <c r="A2930" s="14">
        <v>45841</v>
      </c>
      <c r="B2930" s="3">
        <v>130714194872072</v>
      </c>
      <c r="C2930" s="3">
        <f>[1]!nefin_factors__1[[#This Row],[Rm_minus_Rf]]/B2929-1</f>
        <v>-1.1791382048291106</v>
      </c>
      <c r="D2930" s="3">
        <v>407014493658552</v>
      </c>
      <c r="E2930" s="3">
        <f>[1]!nefin_factors__1[[#This Row],[SMB]]/D2929-1</f>
        <v>-4.3082501448211836</v>
      </c>
      <c r="F2930" s="3">
        <v>-757489261527214</v>
      </c>
      <c r="G2930" s="3">
        <f>[1]!nefin_factors__1[[#This Row],[HML]]/F2929-1</f>
        <v>-2.9268381765682534</v>
      </c>
      <c r="H2930" s="3">
        <v>551656182848026</v>
      </c>
      <c r="I2930" s="4">
        <f>[1]!nefin_factors__1[[#This Row],[Risk_Free]]/H2929-1</f>
        <v>0</v>
      </c>
      <c r="J2930">
        <v>145594</v>
      </c>
      <c r="K2930">
        <v>145726</v>
      </c>
      <c r="L2930">
        <v>144993</v>
      </c>
      <c r="M2930">
        <v>145500</v>
      </c>
      <c r="N2930">
        <v>8372000</v>
      </c>
      <c r="O2930">
        <v>145500</v>
      </c>
      <c r="P2930">
        <v>-6.4563100127756901E-4</v>
      </c>
      <c r="Q2930">
        <v>-6.4583951072408005E-4</v>
      </c>
      <c r="R2930" s="8">
        <v>2.0299999713897701</v>
      </c>
      <c r="S2930" s="8">
        <v>-2.8708107772046701E-2</v>
      </c>
      <c r="T2930" s="9">
        <v>-2.91282459494169E-2</v>
      </c>
      <c r="U2930" s="12">
        <v>5.5130999999999999E-2</v>
      </c>
      <c r="V2930" s="16">
        <v>5.4473000000000003</v>
      </c>
      <c r="W2930" s="17">
        <f t="shared" si="45"/>
        <v>4.0365687322594379E-3</v>
      </c>
    </row>
    <row r="2931" spans="1:23" x14ac:dyDescent="0.2">
      <c r="A2931" s="15">
        <v>45842</v>
      </c>
      <c r="B2931" s="5">
        <v>-266989819679021</v>
      </c>
      <c r="C2931" s="5">
        <f>[1]!nefin_factors__1[[#This Row],[Rm_minus_Rf]]/B2930-1</f>
        <v>-3.042546488086622</v>
      </c>
      <c r="D2931" s="5">
        <v>-374964427783831</v>
      </c>
      <c r="E2931" s="5">
        <f>[1]!nefin_factors__1[[#This Row],[SMB]]/D2930-1</f>
        <v>-1.9212557135579351</v>
      </c>
      <c r="F2931" s="5">
        <v>448048961234978</v>
      </c>
      <c r="G2931" s="5">
        <f>[1]!nefin_factors__1[[#This Row],[HML]]/F2930-1</f>
        <v>-1.5914921623200873</v>
      </c>
      <c r="H2931" s="5">
        <v>551656182848026</v>
      </c>
      <c r="I2931" s="6">
        <f>[1]!nefin_factors__1[[#This Row],[Risk_Free]]/H2930-1</f>
        <v>0</v>
      </c>
      <c r="J2931">
        <v>145500</v>
      </c>
      <c r="K2931">
        <v>146399</v>
      </c>
      <c r="L2931">
        <v>145496</v>
      </c>
      <c r="M2931">
        <v>145865</v>
      </c>
      <c r="N2931">
        <v>10279800</v>
      </c>
      <c r="O2931">
        <v>145865</v>
      </c>
      <c r="P2931">
        <v>2.5085910652919998E-3</v>
      </c>
      <c r="Q2931">
        <v>2.50544980305706E-3</v>
      </c>
      <c r="R2931" s="8">
        <v>2.0599999427795401</v>
      </c>
      <c r="S2931" s="8">
        <v>1.4778311237724899E-2</v>
      </c>
      <c r="T2931" s="9">
        <v>1.4670176064580801E-2</v>
      </c>
      <c r="U2931" s="12">
        <v>5.5130999999999999E-2</v>
      </c>
      <c r="V2931" s="16">
        <v>5.4051999999999998</v>
      </c>
      <c r="W2931" s="17">
        <f t="shared" si="45"/>
        <v>-7.728599489655541E-3</v>
      </c>
    </row>
    <row r="2932" spans="1:23" x14ac:dyDescent="0.2">
      <c r="A2932" s="14">
        <v>45845</v>
      </c>
      <c r="B2932" s="3">
        <v>-151209937152109</v>
      </c>
      <c r="C2932" s="3">
        <f>[1]!nefin_factors__1[[#This Row],[Rm_minus_Rf]]/B2931-1</f>
        <v>-0.43364905323395564</v>
      </c>
      <c r="D2932" s="3">
        <v>693283900180074</v>
      </c>
      <c r="E2932" s="3">
        <f>[1]!nefin_factors__1[[#This Row],[SMB]]/D2931-1</f>
        <v>-2.848932455480166</v>
      </c>
      <c r="F2932" s="3">
        <v>182653836185761</v>
      </c>
      <c r="G2932" s="3">
        <f>[1]!nefin_factors__1[[#This Row],[HML]]/F2931-1</f>
        <v>-0.59233509730208089</v>
      </c>
      <c r="H2932" s="3">
        <v>551656182848026</v>
      </c>
      <c r="I2932" s="4">
        <f>[1]!nefin_factors__1[[#This Row],[Risk_Free]]/H2931-1</f>
        <v>0</v>
      </c>
      <c r="J2932">
        <v>145864</v>
      </c>
      <c r="K2932">
        <v>145864</v>
      </c>
      <c r="L2932">
        <v>144117</v>
      </c>
      <c r="M2932">
        <v>145109</v>
      </c>
      <c r="N2932">
        <v>9428100</v>
      </c>
      <c r="O2932">
        <v>145109</v>
      </c>
      <c r="P2932">
        <v>-5.1828745758063502E-3</v>
      </c>
      <c r="Q2932">
        <v>-5.1963522591713801E-3</v>
      </c>
      <c r="R2932" s="8">
        <v>2.03999996185303</v>
      </c>
      <c r="S2932" s="8">
        <v>-9.7087288747823592E-3</v>
      </c>
      <c r="T2932" s="9">
        <v>-9.7561658679390702E-3</v>
      </c>
      <c r="U2932" s="12">
        <v>5.5130999999999999E-2</v>
      </c>
      <c r="V2932" s="16">
        <v>5.3928000000000003</v>
      </c>
      <c r="W2932" s="17">
        <f t="shared" si="45"/>
        <v>-2.2940871753125425E-3</v>
      </c>
    </row>
    <row r="2933" spans="1:23" x14ac:dyDescent="0.2">
      <c r="A2933" s="15">
        <v>45846</v>
      </c>
      <c r="B2933" s="5">
        <v>-140887250099519</v>
      </c>
      <c r="C2933" s="5">
        <f>[1]!nefin_factors__1[[#This Row],[Rm_minus_Rf]]/B2932-1</f>
        <v>-6.8267253111850335E-2</v>
      </c>
      <c r="D2933" s="5">
        <v>-413530236438003</v>
      </c>
      <c r="E2933" s="5">
        <f>[1]!nefin_factors__1[[#This Row],[SMB]]/D2932-1</f>
        <v>-1.5964803687646465</v>
      </c>
      <c r="F2933" s="5">
        <v>-505117652501248</v>
      </c>
      <c r="G2933" s="5">
        <f>[1]!nefin_factors__1[[#This Row],[HML]]/F2932-1</f>
        <v>-3.7654368670775558</v>
      </c>
      <c r="H2933" s="5">
        <v>551656182848026</v>
      </c>
      <c r="I2933" s="6">
        <f>[1]!nefin_factors__1[[#This Row],[Risk_Free]]/H2932-1</f>
        <v>0</v>
      </c>
      <c r="J2933">
        <v>145112</v>
      </c>
      <c r="K2933">
        <v>147179</v>
      </c>
      <c r="L2933">
        <v>145107</v>
      </c>
      <c r="M2933">
        <v>146425</v>
      </c>
      <c r="N2933">
        <v>8143800</v>
      </c>
      <c r="O2933">
        <v>146425</v>
      </c>
      <c r="P2933">
        <v>9.0690446491947796E-3</v>
      </c>
      <c r="Q2933">
        <v>9.0281678204130692E-3</v>
      </c>
      <c r="R2933" s="8">
        <v>2.0699999332428001</v>
      </c>
      <c r="S2933" s="8">
        <v>1.47058686033112E-2</v>
      </c>
      <c r="T2933" s="9">
        <v>1.45987858707927E-2</v>
      </c>
      <c r="U2933" s="12">
        <v>5.5130999999999999E-2</v>
      </c>
      <c r="V2933" s="16">
        <v>5.4095000000000004</v>
      </c>
      <c r="W2933" s="17">
        <f t="shared" si="45"/>
        <v>3.0967215546655602E-3</v>
      </c>
    </row>
    <row r="2934" spans="1:23" x14ac:dyDescent="0.2">
      <c r="A2934" s="14">
        <v>45847</v>
      </c>
      <c r="B2934" s="3">
        <v>-233129489138077</v>
      </c>
      <c r="C2934" s="3">
        <f>[1]!nefin_factors__1[[#This Row],[Rm_minus_Rf]]/B2933-1</f>
        <v>0.65472382329416279</v>
      </c>
      <c r="D2934" s="3">
        <v>-336079180848521</v>
      </c>
      <c r="E2934" s="3">
        <f>[1]!nefin_factors__1[[#This Row],[SMB]]/D2933-1</f>
        <v>-0.18729236405206262</v>
      </c>
      <c r="F2934" s="3">
        <v>-363393273879416</v>
      </c>
      <c r="G2934" s="3">
        <f>[1]!nefin_factors__1[[#This Row],[HML]]/F2933-1</f>
        <v>-0.28057696641572394</v>
      </c>
      <c r="H2934" s="3">
        <v>551656182848026</v>
      </c>
      <c r="I2934" s="4">
        <f>[1]!nefin_factors__1[[#This Row],[Risk_Free]]/H2933-1</f>
        <v>0</v>
      </c>
      <c r="J2934">
        <v>146426</v>
      </c>
      <c r="K2934">
        <v>146585</v>
      </c>
      <c r="L2934">
        <v>146067</v>
      </c>
      <c r="M2934">
        <v>146492</v>
      </c>
      <c r="N2934">
        <v>7292900</v>
      </c>
      <c r="O2934">
        <v>146492</v>
      </c>
      <c r="P2934">
        <v>4.5757213590569301E-4</v>
      </c>
      <c r="Q2934">
        <v>4.5746748169926303E-4</v>
      </c>
      <c r="R2934" s="8">
        <v>2.0199999809265101</v>
      </c>
      <c r="S2934" s="8">
        <v>-2.4154567115350498E-2</v>
      </c>
      <c r="T2934" s="9">
        <v>-2.4451073056627699E-2</v>
      </c>
      <c r="U2934" s="12">
        <v>5.5130999999999999E-2</v>
      </c>
      <c r="V2934" s="16">
        <v>5.3928000000000003</v>
      </c>
      <c r="W2934" s="17">
        <f t="shared" si="45"/>
        <v>-3.0871614751826204E-3</v>
      </c>
    </row>
    <row r="2935" spans="1:23" x14ac:dyDescent="0.2">
      <c r="A2935" s="15">
        <v>45848</v>
      </c>
      <c r="B2935" s="5">
        <v>-933557322264069</v>
      </c>
      <c r="C2935" s="5">
        <f>[1]!nefin_factors__1[[#This Row],[Rm_minus_Rf]]/B2934-1</f>
        <v>3.0044583193469165</v>
      </c>
      <c r="D2935" s="5">
        <v>-447508903586465</v>
      </c>
      <c r="E2935" s="5">
        <f>[1]!nefin_factors__1[[#This Row],[SMB]]/D2934-1</f>
        <v>0.33155794553119922</v>
      </c>
      <c r="F2935" s="5">
        <v>-33010251355801</v>
      </c>
      <c r="G2935" s="5">
        <f>[1]!nefin_factors__1[[#This Row],[HML]]/F2934-1</f>
        <v>-0.90916108324350897</v>
      </c>
      <c r="H2935" s="5">
        <v>551656182848026</v>
      </c>
      <c r="I2935" s="6">
        <f>[1]!nefin_factors__1[[#This Row],[Risk_Free]]/H2934-1</f>
        <v>0</v>
      </c>
      <c r="J2935">
        <v>146492</v>
      </c>
      <c r="K2935">
        <v>146519</v>
      </c>
      <c r="L2935">
        <v>145187</v>
      </c>
      <c r="M2935">
        <v>145306</v>
      </c>
      <c r="N2935">
        <v>8293800</v>
      </c>
      <c r="O2935">
        <v>145306</v>
      </c>
      <c r="P2935">
        <v>-8.09600524260712E-3</v>
      </c>
      <c r="Q2935">
        <v>-8.1289558591347497E-3</v>
      </c>
      <c r="R2935" s="8">
        <v>1.96000003814697</v>
      </c>
      <c r="S2935" s="8">
        <v>-2.9702942250534499E-2</v>
      </c>
      <c r="T2935" s="9">
        <v>-3.0153009265626599E-2</v>
      </c>
      <c r="U2935" s="12">
        <v>5.5130999999999999E-2</v>
      </c>
      <c r="V2935" s="16">
        <v>5.4154999999999998</v>
      </c>
      <c r="W2935" s="17">
        <f t="shared" si="45"/>
        <v>4.2093161252039213E-3</v>
      </c>
    </row>
    <row r="2936" spans="1:23" x14ac:dyDescent="0.2">
      <c r="A2936" s="14">
        <v>45849</v>
      </c>
      <c r="B2936" s="3">
        <v>-775732928558881</v>
      </c>
      <c r="C2936" s="3">
        <f>[1]!nefin_factors__1[[#This Row],[Rm_minus_Rf]]/B2935-1</f>
        <v>-0.1690569930108109</v>
      </c>
      <c r="D2936" s="3">
        <v>-175249574149155</v>
      </c>
      <c r="E2936" s="3">
        <f>[1]!nefin_factors__1[[#This Row],[SMB]]/D2935-1</f>
        <v>-0.60838863150061484</v>
      </c>
      <c r="F2936" s="3">
        <v>507958812526585</v>
      </c>
      <c r="G2936" s="3">
        <f>[1]!nefin_factors__1[[#This Row],[HML]]/F2935-1</f>
        <v>-16.387911078033028</v>
      </c>
      <c r="H2936" s="3">
        <v>551656182848026</v>
      </c>
      <c r="I2936" s="4">
        <f>[1]!nefin_factors__1[[#This Row],[Risk_Free]]/H2935-1</f>
        <v>0</v>
      </c>
      <c r="J2936">
        <v>145326</v>
      </c>
      <c r="K2936">
        <v>146235</v>
      </c>
      <c r="L2936">
        <v>145146</v>
      </c>
      <c r="M2936">
        <v>145447</v>
      </c>
      <c r="N2936">
        <v>6338200</v>
      </c>
      <c r="O2936">
        <v>145447</v>
      </c>
      <c r="P2936">
        <v>9.7036598626343295E-4</v>
      </c>
      <c r="Q2936">
        <v>9.69895485537119E-4</v>
      </c>
      <c r="R2936" s="8">
        <v>1.9700000286102299</v>
      </c>
      <c r="S2936" s="8">
        <v>5.1020358513416096E-3</v>
      </c>
      <c r="T2936" s="9">
        <v>5.0890645676893199E-3</v>
      </c>
      <c r="U2936" s="12">
        <v>5.5130999999999999E-2</v>
      </c>
      <c r="V2936" s="16">
        <v>5.4715999999999996</v>
      </c>
      <c r="W2936" s="17">
        <f t="shared" si="45"/>
        <v>1.0359154279383276E-2</v>
      </c>
    </row>
    <row r="2937" spans="1:23" x14ac:dyDescent="0.2">
      <c r="A2937" s="15">
        <v>45852</v>
      </c>
      <c r="B2937" s="5">
        <v>-118534309805172</v>
      </c>
      <c r="C2937" s="5">
        <f>[1]!nefin_factors__1[[#This Row],[Rm_minus_Rf]]/B2936-1</f>
        <v>-0.8471970114439008</v>
      </c>
      <c r="D2937" s="5">
        <v>-67441299926852</v>
      </c>
      <c r="E2937" s="5">
        <f>[1]!nefin_factors__1[[#This Row],[SMB]]/D2936-1</f>
        <v>-0.61516996401113833</v>
      </c>
      <c r="F2937" s="5">
        <v>-824704793531672</v>
      </c>
      <c r="G2937" s="5">
        <f>[1]!nefin_factors__1[[#This Row],[HML]]/F2936-1</f>
        <v>-2.6235662679609666</v>
      </c>
      <c r="H2937" s="5">
        <v>551656182848026</v>
      </c>
      <c r="I2937" s="6">
        <f>[1]!nefin_factors__1[[#This Row],[Risk_Free]]/H2936-1</f>
        <v>0</v>
      </c>
      <c r="J2937">
        <v>145447</v>
      </c>
      <c r="K2937">
        <v>147558</v>
      </c>
      <c r="L2937">
        <v>145447</v>
      </c>
      <c r="M2937">
        <v>146337</v>
      </c>
      <c r="N2937">
        <v>7074100</v>
      </c>
      <c r="O2937">
        <v>146337</v>
      </c>
      <c r="P2937">
        <v>6.1190674266227204E-3</v>
      </c>
      <c r="Q2937">
        <v>6.1004219568020403E-3</v>
      </c>
      <c r="R2937" s="8">
        <v>1.9700000286102299</v>
      </c>
      <c r="S2937" s="8">
        <v>0</v>
      </c>
      <c r="T2937" s="9">
        <v>0</v>
      </c>
      <c r="U2937" s="12">
        <v>5.5130999999999999E-2</v>
      </c>
      <c r="V2937" s="16">
        <v>5.4725999999999999</v>
      </c>
      <c r="W2937" s="17">
        <f t="shared" si="45"/>
        <v>1.8276189779964369E-4</v>
      </c>
    </row>
    <row r="2938" spans="1:23" x14ac:dyDescent="0.2">
      <c r="A2938" s="14">
        <v>45853</v>
      </c>
      <c r="B2938" s="3">
        <v>-422268710100574</v>
      </c>
      <c r="C2938" s="3">
        <f>[1]!nefin_factors__1[[#This Row],[Rm_minus_Rf]]/B2937-1</f>
        <v>2.5624175885836995</v>
      </c>
      <c r="D2938" s="3">
        <v>-133871259019734</v>
      </c>
      <c r="E2938" s="3">
        <f>[1]!nefin_factors__1[[#This Row],[SMB]]/D2937-1</f>
        <v>0.98500413196265613</v>
      </c>
      <c r="F2938" s="3">
        <v>245690830642104</v>
      </c>
      <c r="G2938" s="3">
        <f>[1]!nefin_factors__1[[#This Row],[HML]]/F2937-1</f>
        <v>-1.2979136687080119</v>
      </c>
      <c r="H2938" s="3">
        <v>551656182848026</v>
      </c>
      <c r="I2938" s="4">
        <f>[1]!nefin_factors__1[[#This Row],[Risk_Free]]/H2937-1</f>
        <v>0</v>
      </c>
      <c r="J2938">
        <v>146337</v>
      </c>
      <c r="K2938">
        <v>147578</v>
      </c>
      <c r="L2938">
        <v>145774</v>
      </c>
      <c r="M2938">
        <v>146237</v>
      </c>
      <c r="N2938">
        <v>9477300</v>
      </c>
      <c r="O2938">
        <v>146237</v>
      </c>
      <c r="P2938">
        <v>-6.8335417563569799E-4</v>
      </c>
      <c r="Q2938">
        <v>-6.8358776852422303E-4</v>
      </c>
      <c r="R2938" s="8">
        <v>1.95000004768372</v>
      </c>
      <c r="S2938" s="8">
        <v>-1.01522744345456E-2</v>
      </c>
      <c r="T2938" s="9">
        <v>-1.02041602440134E-2</v>
      </c>
      <c r="U2938" s="12">
        <v>5.5130999999999999E-2</v>
      </c>
      <c r="V2938" s="16">
        <v>5.4828000000000001</v>
      </c>
      <c r="W2938" s="17">
        <f t="shared" si="45"/>
        <v>1.8638307203158178E-3</v>
      </c>
    </row>
    <row r="2939" spans="1:23" x14ac:dyDescent="0.2">
      <c r="A2939" s="15">
        <v>45854</v>
      </c>
      <c r="B2939" s="5">
        <v>11852406928314</v>
      </c>
      <c r="C2939" s="5">
        <f>[1]!nefin_factors__1[[#This Row],[Rm_minus_Rf]]/B2938-1</f>
        <v>-1.0280683996820201</v>
      </c>
      <c r="D2939" s="5">
        <v>-152161765753977</v>
      </c>
      <c r="E2939" s="5">
        <f>[1]!nefin_factors__1[[#This Row],[SMB]]/D2938-1</f>
        <v>0.13662758435361244</v>
      </c>
      <c r="F2939" s="5">
        <v>458999868118846</v>
      </c>
      <c r="G2939" s="5">
        <f>[1]!nefin_factors__1[[#This Row],[HML]]/F2938-1</f>
        <v>0.8682010513752858</v>
      </c>
      <c r="H2939" s="5">
        <v>551656182848026</v>
      </c>
      <c r="I2939" s="6">
        <f>[1]!nefin_factors__1[[#This Row],[Risk_Free]]/H2938-1</f>
        <v>0</v>
      </c>
      <c r="J2939">
        <v>146237</v>
      </c>
      <c r="K2939">
        <v>146879</v>
      </c>
      <c r="L2939">
        <v>145193</v>
      </c>
      <c r="M2939">
        <v>145517</v>
      </c>
      <c r="N2939">
        <v>8340700</v>
      </c>
      <c r="O2939">
        <v>145517</v>
      </c>
      <c r="P2939">
        <v>-4.9235145688163503E-3</v>
      </c>
      <c r="Q2939">
        <v>-4.9356749977903496E-3</v>
      </c>
      <c r="R2939" s="8">
        <v>1.87999999523163</v>
      </c>
      <c r="S2939" s="8">
        <v>-3.58974619181349E-2</v>
      </c>
      <c r="T2939" s="9">
        <v>-3.6557622723352799E-2</v>
      </c>
      <c r="U2939" s="12">
        <v>5.5130999999999999E-2</v>
      </c>
      <c r="V2939" s="16">
        <v>5.4391999999999996</v>
      </c>
      <c r="W2939" s="17">
        <f t="shared" si="45"/>
        <v>-7.9521412417014048E-3</v>
      </c>
    </row>
    <row r="2940" spans="1:23" x14ac:dyDescent="0.2">
      <c r="A2940" s="14">
        <v>45855</v>
      </c>
      <c r="B2940" s="3">
        <v>-944058813390793</v>
      </c>
      <c r="C2940" s="3">
        <f>[1]!nefin_factors__1[[#This Row],[Rm_minus_Rf]]/B2939-1</f>
        <v>-80.651231948132661</v>
      </c>
      <c r="D2940" s="3">
        <v>-424199085961169</v>
      </c>
      <c r="E2940" s="3">
        <f>[1]!nefin_factors__1[[#This Row],[SMB]]/D2939-1</f>
        <v>1.7878165310399723</v>
      </c>
      <c r="F2940" s="3">
        <v>-616224839413016</v>
      </c>
      <c r="G2940" s="3">
        <f>[1]!nefin_factors__1[[#This Row],[HML]]/F2939-1</f>
        <v>-2.3425381622407366</v>
      </c>
      <c r="H2940" s="3">
        <v>551656182848026</v>
      </c>
      <c r="I2940" s="4">
        <f>[1]!nefin_factors__1[[#This Row],[Risk_Free]]/H2939-1</f>
        <v>0</v>
      </c>
      <c r="J2940">
        <v>145517</v>
      </c>
      <c r="K2940">
        <v>145621</v>
      </c>
      <c r="L2940">
        <v>143635</v>
      </c>
      <c r="M2940">
        <v>143950</v>
      </c>
      <c r="N2940">
        <v>7245600</v>
      </c>
      <c r="O2940">
        <v>143950</v>
      </c>
      <c r="P2940">
        <v>-1.0768501274765099E-2</v>
      </c>
      <c r="Q2940">
        <v>-1.0826901216250301E-2</v>
      </c>
      <c r="R2940" s="8">
        <v>1.79999995231628</v>
      </c>
      <c r="S2940" s="8">
        <v>-4.2553214424602998E-2</v>
      </c>
      <c r="T2940" s="9">
        <v>-4.3485135894324498E-2</v>
      </c>
      <c r="U2940" s="12">
        <v>5.5130999999999999E-2</v>
      </c>
      <c r="V2940" s="16">
        <v>5.4173999999999998</v>
      </c>
      <c r="W2940" s="17">
        <f t="shared" si="45"/>
        <v>-4.0079423444623341E-3</v>
      </c>
    </row>
    <row r="2941" spans="1:23" x14ac:dyDescent="0.2">
      <c r="A2941" s="15">
        <v>45856</v>
      </c>
      <c r="B2941" s="5">
        <v>-171385570976133</v>
      </c>
      <c r="C2941" s="5">
        <f>[1]!nefin_factors__1[[#This Row],[Rm_minus_Rf]]/B2940-1</f>
        <v>-0.81845879881088723</v>
      </c>
      <c r="D2941" s="5">
        <v>-185032579531963</v>
      </c>
      <c r="E2941" s="5">
        <f>[1]!nefin_factors__1[[#This Row],[SMB]]/D2940-1</f>
        <v>-0.56380721775317355</v>
      </c>
      <c r="F2941" s="5">
        <v>-49268074265304</v>
      </c>
      <c r="G2941" s="5">
        <f>[1]!nefin_factors__1[[#This Row],[HML]]/F2940-1</f>
        <v>-0.92004854216484644</v>
      </c>
      <c r="H2941" s="5">
        <v>552001694205773</v>
      </c>
      <c r="I2941" s="6">
        <f>[1]!nefin_factors__1[[#This Row],[Risk_Free]]/H2940-1</f>
        <v>6.2631647843258698E-4</v>
      </c>
      <c r="J2941">
        <v>143950</v>
      </c>
      <c r="K2941">
        <v>144518</v>
      </c>
      <c r="L2941">
        <v>143676</v>
      </c>
      <c r="M2941">
        <v>144201</v>
      </c>
      <c r="N2941">
        <v>6177600</v>
      </c>
      <c r="O2941">
        <v>144201</v>
      </c>
      <c r="P2941">
        <v>1.74366099340051E-3</v>
      </c>
      <c r="Q2941">
        <v>1.7421425813782E-3</v>
      </c>
      <c r="R2941" s="8">
        <v>1.79999995231628</v>
      </c>
      <c r="S2941" s="8">
        <v>0</v>
      </c>
      <c r="T2941" s="9">
        <v>0</v>
      </c>
      <c r="U2941" s="12">
        <v>5.5130999999999999E-2</v>
      </c>
      <c r="V2941" s="16">
        <v>5.4218000000000002</v>
      </c>
      <c r="W2941" s="17">
        <f t="shared" si="45"/>
        <v>8.1219773323004674E-4</v>
      </c>
    </row>
    <row r="2942" spans="1:23" x14ac:dyDescent="0.2">
      <c r="A2942" s="14">
        <v>45859</v>
      </c>
      <c r="B2942" s="3">
        <v>383286462476977</v>
      </c>
      <c r="C2942" s="3">
        <f>[1]!nefin_factors__1[[#This Row],[Rm_minus_Rf]]/B2941-1</f>
        <v>-3.2363986670170335</v>
      </c>
      <c r="D2942" s="3">
        <v>-377667801029657</v>
      </c>
      <c r="E2942" s="3">
        <f>[1]!nefin_factors__1[[#This Row],[SMB]]/D2941-1</f>
        <v>1.0410881261287162</v>
      </c>
      <c r="F2942" s="3">
        <v>-885837628327546</v>
      </c>
      <c r="G2942" s="3">
        <f>[1]!nefin_factors__1[[#This Row],[HML]]/F2941-1</f>
        <v>16.979952363418807</v>
      </c>
      <c r="H2942" s="3">
        <v>552001694205773</v>
      </c>
      <c r="I2942" s="4">
        <f>[1]!nefin_factors__1[[#This Row],[Risk_Free]]/H2941-1</f>
        <v>0</v>
      </c>
      <c r="J2942">
        <v>144202</v>
      </c>
      <c r="K2942">
        <v>144532</v>
      </c>
      <c r="L2942">
        <v>143376</v>
      </c>
      <c r="M2942">
        <v>143608</v>
      </c>
      <c r="N2942">
        <v>5981500</v>
      </c>
      <c r="O2942">
        <v>143608</v>
      </c>
      <c r="P2942">
        <v>-4.1123154485752699E-3</v>
      </c>
      <c r="Q2942">
        <v>-4.1207942707940596E-3</v>
      </c>
      <c r="R2942" s="8">
        <v>1.7699999809265099</v>
      </c>
      <c r="S2942" s="8">
        <v>-1.66666512136102E-2</v>
      </c>
      <c r="T2942" s="9">
        <v>-1.6807102601408701E-2</v>
      </c>
      <c r="U2942" s="12">
        <v>5.5130999999999999E-2</v>
      </c>
      <c r="V2942" s="16">
        <v>5.4428000000000001</v>
      </c>
      <c r="W2942" s="17">
        <f t="shared" si="45"/>
        <v>3.8732524253937139E-3</v>
      </c>
    </row>
    <row r="2943" spans="1:23" x14ac:dyDescent="0.2">
      <c r="A2943" s="15"/>
      <c r="B2943" s="5"/>
      <c r="C2943" s="5"/>
      <c r="D2943" s="5"/>
      <c r="E2943" s="5"/>
      <c r="F2943" s="5"/>
      <c r="G2943" s="5"/>
      <c r="H2943" s="5"/>
      <c r="I2943" s="6"/>
      <c r="U2943" s="12"/>
      <c r="V2943" s="16">
        <v>5.4115000000000002</v>
      </c>
      <c r="W2943" s="17">
        <f t="shared" si="45"/>
        <v>-5.7507165429557805E-3</v>
      </c>
    </row>
    <row r="2944" spans="1:23" x14ac:dyDescent="0.2">
      <c r="A2944" s="14"/>
      <c r="B2944" s="3"/>
      <c r="C2944" s="3"/>
      <c r="D2944" s="3"/>
      <c r="E2944" s="3"/>
      <c r="F2944" s="3"/>
      <c r="G2944" s="3"/>
      <c r="H2944" s="3"/>
      <c r="I2944" s="4"/>
      <c r="U2944" s="12"/>
      <c r="V2944" s="16">
        <v>5.4264000000000001</v>
      </c>
      <c r="W2944" s="17">
        <f t="shared" si="45"/>
        <v>2.75339554652132E-3</v>
      </c>
    </row>
    <row r="2945" spans="1:23" x14ac:dyDescent="0.2">
      <c r="A2945" s="15"/>
      <c r="B2945" s="5"/>
      <c r="C2945" s="5"/>
      <c r="D2945" s="5"/>
      <c r="E2945" s="5"/>
      <c r="F2945" s="5"/>
      <c r="G2945" s="5"/>
      <c r="H2945" s="5"/>
      <c r="I2945" s="6"/>
      <c r="U2945" s="12"/>
      <c r="V2945" s="16">
        <v>5.4378000000000002</v>
      </c>
      <c r="W2945" s="17">
        <f t="shared" si="45"/>
        <v>2.1008403361344463E-3</v>
      </c>
    </row>
    <row r="2946" spans="1:23" x14ac:dyDescent="0.2">
      <c r="A2946" s="14"/>
      <c r="B2946" s="3"/>
      <c r="C2946" s="3"/>
      <c r="D2946" s="3"/>
      <c r="E2946" s="3"/>
      <c r="F2946" s="3"/>
      <c r="G2946" s="3"/>
      <c r="H2946" s="3"/>
      <c r="I2946" s="4"/>
      <c r="U2946" s="12"/>
      <c r="V2946" s="16">
        <v>5.468</v>
      </c>
      <c r="W2946" s="17">
        <f t="shared" si="45"/>
        <v>5.5537165765566776E-3</v>
      </c>
    </row>
    <row r="2947" spans="1:23" x14ac:dyDescent="0.2">
      <c r="A2947" s="15"/>
      <c r="B2947" s="5"/>
      <c r="C2947" s="5"/>
      <c r="D2947" s="5"/>
      <c r="E2947" s="5"/>
      <c r="F2947" s="5"/>
      <c r="G2947" s="5"/>
      <c r="H2947" s="5"/>
      <c r="I2947" s="6"/>
      <c r="U2947" s="12"/>
      <c r="V2947" s="16">
        <v>5.4485000000000001</v>
      </c>
      <c r="W2947" s="17">
        <f t="shared" si="45"/>
        <v>-3.5662033650328828E-3</v>
      </c>
    </row>
    <row r="2948" spans="1:23" x14ac:dyDescent="0.2">
      <c r="A2948" s="14"/>
      <c r="B2948" s="3"/>
      <c r="C2948" s="3"/>
      <c r="D2948" s="3"/>
      <c r="E2948" s="3"/>
      <c r="F2948" s="3"/>
      <c r="G2948" s="3"/>
      <c r="H2948" s="3"/>
      <c r="I2948" s="4"/>
      <c r="U2948" s="12"/>
      <c r="V2948" s="16">
        <v>5.4587000000000003</v>
      </c>
      <c r="W2948" s="17">
        <f t="shared" ref="W2948:W2971" si="46">V2948/V2947-1</f>
        <v>1.8720748829954559E-3</v>
      </c>
    </row>
    <row r="2949" spans="1:23" x14ac:dyDescent="0.2">
      <c r="A2949" s="15"/>
      <c r="B2949" s="5"/>
      <c r="C2949" s="5"/>
      <c r="D2949" s="5"/>
      <c r="E2949" s="5"/>
      <c r="F2949" s="5"/>
      <c r="G2949" s="5"/>
      <c r="H2949" s="5"/>
      <c r="I2949" s="6"/>
      <c r="U2949" s="12"/>
      <c r="V2949" s="16">
        <v>5.3967999999999998</v>
      </c>
      <c r="W2949" s="17">
        <f t="shared" si="46"/>
        <v>-1.1339696264678456E-2</v>
      </c>
    </row>
    <row r="2950" spans="1:23" x14ac:dyDescent="0.2">
      <c r="A2950" s="14"/>
      <c r="B2950" s="3"/>
      <c r="C2950" s="3"/>
      <c r="D2950" s="3"/>
      <c r="E2950" s="3"/>
      <c r="F2950" s="3"/>
      <c r="G2950" s="3"/>
      <c r="H2950" s="3"/>
      <c r="I2950" s="4"/>
      <c r="U2950" s="12"/>
      <c r="V2950" s="16">
        <v>5.4278000000000004</v>
      </c>
      <c r="W2950" s="17">
        <f t="shared" si="46"/>
        <v>5.7441446783279559E-3</v>
      </c>
    </row>
    <row r="2951" spans="1:23" x14ac:dyDescent="0.2">
      <c r="A2951" s="15"/>
      <c r="B2951" s="5"/>
      <c r="C2951" s="5"/>
      <c r="D2951" s="5"/>
      <c r="E2951" s="5"/>
      <c r="F2951" s="5"/>
      <c r="G2951" s="5"/>
      <c r="H2951" s="5"/>
      <c r="I2951" s="6"/>
      <c r="U2951" s="12"/>
      <c r="V2951" s="16">
        <v>5.4278000000000004</v>
      </c>
      <c r="W2951" s="17">
        <f t="shared" si="46"/>
        <v>0</v>
      </c>
    </row>
    <row r="2952" spans="1:23" x14ac:dyDescent="0.2">
      <c r="A2952" s="14"/>
      <c r="B2952" s="3"/>
      <c r="C2952" s="3"/>
      <c r="D2952" s="3"/>
      <c r="E2952" s="3"/>
      <c r="F2952" s="3"/>
      <c r="G2952" s="3"/>
      <c r="H2952" s="3"/>
      <c r="I2952" s="4"/>
      <c r="U2952" s="12"/>
      <c r="V2952" s="16">
        <v>5.4123000000000001</v>
      </c>
      <c r="W2952" s="17">
        <f t="shared" si="46"/>
        <v>-2.8556689634843258E-3</v>
      </c>
    </row>
    <row r="2953" spans="1:23" x14ac:dyDescent="0.2">
      <c r="A2953" s="15"/>
      <c r="B2953" s="5"/>
      <c r="C2953" s="5"/>
      <c r="D2953" s="5"/>
      <c r="E2953" s="5"/>
      <c r="F2953" s="5"/>
      <c r="G2953" s="5"/>
      <c r="H2953" s="5"/>
      <c r="I2953" s="6"/>
      <c r="U2953" s="12"/>
      <c r="V2953" s="16">
        <v>5.3857999999999997</v>
      </c>
      <c r="W2953" s="17">
        <f t="shared" si="46"/>
        <v>-4.8962548269683159E-3</v>
      </c>
    </row>
    <row r="2954" spans="1:23" x14ac:dyDescent="0.2">
      <c r="A2954" s="14"/>
      <c r="B2954" s="3"/>
      <c r="C2954" s="3"/>
      <c r="D2954" s="3"/>
      <c r="E2954" s="3"/>
      <c r="F2954" s="3"/>
      <c r="G2954" s="3"/>
      <c r="H2954" s="3"/>
      <c r="I2954" s="4"/>
      <c r="U2954" s="12"/>
      <c r="V2954" s="16">
        <v>5.3677000000000001</v>
      </c>
      <c r="W2954" s="17">
        <f t="shared" si="46"/>
        <v>-3.3606892198001503E-3</v>
      </c>
    </row>
    <row r="2955" spans="1:23" x14ac:dyDescent="0.2">
      <c r="A2955" s="15"/>
      <c r="B2955" s="5"/>
      <c r="C2955" s="5"/>
      <c r="D2955" s="5"/>
      <c r="E2955" s="5"/>
      <c r="F2955" s="5"/>
      <c r="G2955" s="5"/>
      <c r="H2955" s="5"/>
      <c r="I2955" s="6"/>
      <c r="U2955" s="12"/>
      <c r="V2955" s="16">
        <v>5.3208000000000002</v>
      </c>
      <c r="W2955" s="17">
        <f t="shared" si="46"/>
        <v>-8.737448069005338E-3</v>
      </c>
    </row>
    <row r="2956" spans="1:23" x14ac:dyDescent="0.2">
      <c r="A2956" s="14"/>
      <c r="B2956" s="3"/>
      <c r="C2956" s="3"/>
      <c r="D2956" s="3"/>
      <c r="E2956" s="3"/>
      <c r="F2956" s="3"/>
      <c r="G2956" s="3"/>
      <c r="H2956" s="3"/>
      <c r="I2956" s="4"/>
      <c r="U2956" s="12"/>
      <c r="V2956" s="16">
        <v>5.3095999999999997</v>
      </c>
      <c r="W2956" s="17">
        <f t="shared" si="46"/>
        <v>-2.1049466245678383E-3</v>
      </c>
    </row>
    <row r="2957" spans="1:23" x14ac:dyDescent="0.2">
      <c r="A2957" s="15"/>
      <c r="B2957" s="5"/>
      <c r="C2957" s="5"/>
      <c r="D2957" s="5"/>
      <c r="E2957" s="5"/>
      <c r="F2957" s="5"/>
      <c r="G2957" s="5"/>
      <c r="H2957" s="5"/>
      <c r="I2957" s="6"/>
      <c r="U2957" s="12"/>
      <c r="V2957" s="16">
        <v>5.3010999999999999</v>
      </c>
      <c r="W2957" s="17">
        <f t="shared" si="46"/>
        <v>-1.6008738888051433E-3</v>
      </c>
    </row>
    <row r="2958" spans="1:23" x14ac:dyDescent="0.2">
      <c r="A2958" s="14"/>
      <c r="B2958" s="3"/>
      <c r="C2958" s="3"/>
      <c r="D2958" s="3"/>
      <c r="E2958" s="3"/>
      <c r="F2958" s="3"/>
      <c r="G2958" s="3"/>
      <c r="H2958" s="3"/>
      <c r="I2958" s="4"/>
      <c r="U2958" s="12"/>
      <c r="V2958" s="16">
        <v>5.3010000000000002</v>
      </c>
      <c r="W2958" s="17">
        <f t="shared" si="46"/>
        <v>-1.8864009356467371E-5</v>
      </c>
    </row>
    <row r="2959" spans="1:23" x14ac:dyDescent="0.2">
      <c r="A2959" s="15"/>
      <c r="B2959" s="5"/>
      <c r="C2959" s="5"/>
      <c r="D2959" s="5"/>
      <c r="E2959" s="5"/>
      <c r="F2959" s="5"/>
      <c r="G2959" s="5"/>
      <c r="H2959" s="5"/>
      <c r="I2959" s="6"/>
      <c r="U2959" s="12"/>
      <c r="V2959" s="16">
        <v>5.3276000000000003</v>
      </c>
      <c r="W2959" s="17">
        <f t="shared" si="46"/>
        <v>5.0179211469534302E-3</v>
      </c>
    </row>
    <row r="2960" spans="1:23" x14ac:dyDescent="0.2">
      <c r="A2960" s="14"/>
      <c r="B2960" s="3"/>
      <c r="C2960" s="3"/>
      <c r="D2960" s="3"/>
      <c r="E2960" s="3"/>
      <c r="F2960" s="3"/>
      <c r="G2960" s="3"/>
      <c r="H2960" s="3"/>
      <c r="I2960" s="4"/>
      <c r="U2960" s="12"/>
      <c r="V2960" s="16">
        <v>5.3456999999999999</v>
      </c>
      <c r="W2960" s="17">
        <f t="shared" si="46"/>
        <v>3.3974022073728349E-3</v>
      </c>
    </row>
    <row r="2961" spans="1:23" x14ac:dyDescent="0.2">
      <c r="A2961" s="15"/>
      <c r="B2961" s="5"/>
      <c r="C2961" s="5"/>
      <c r="D2961" s="5"/>
      <c r="E2961" s="5"/>
      <c r="F2961" s="5"/>
      <c r="G2961" s="5"/>
      <c r="H2961" s="5"/>
      <c r="I2961" s="6"/>
      <c r="U2961" s="12"/>
      <c r="V2961" s="16">
        <v>5.3063000000000002</v>
      </c>
      <c r="W2961" s="17">
        <f t="shared" si="46"/>
        <v>-7.3704098621321101E-3</v>
      </c>
    </row>
    <row r="2962" spans="1:23" x14ac:dyDescent="0.2">
      <c r="A2962" s="14"/>
      <c r="B2962" s="3"/>
      <c r="C2962" s="3"/>
      <c r="D2962" s="3"/>
      <c r="E2962" s="3"/>
      <c r="F2962" s="3"/>
      <c r="G2962" s="3"/>
      <c r="H2962" s="3"/>
      <c r="I2962" s="4"/>
      <c r="U2962" s="12"/>
      <c r="V2962" s="16">
        <v>5.3112000000000004</v>
      </c>
      <c r="W2962" s="17">
        <f t="shared" si="46"/>
        <v>9.2343063905175882E-4</v>
      </c>
    </row>
    <row r="2963" spans="1:23" x14ac:dyDescent="0.2">
      <c r="A2963" s="15"/>
      <c r="B2963" s="5"/>
      <c r="C2963" s="5"/>
      <c r="D2963" s="5"/>
      <c r="E2963" s="5"/>
      <c r="F2963" s="5"/>
      <c r="G2963" s="5"/>
      <c r="H2963" s="5"/>
      <c r="I2963" s="6"/>
      <c r="U2963" s="12"/>
      <c r="V2963" s="16">
        <v>5.3425000000000002</v>
      </c>
      <c r="W2963" s="17">
        <f t="shared" si="46"/>
        <v>5.8932068082542255E-3</v>
      </c>
    </row>
    <row r="2964" spans="1:23" x14ac:dyDescent="0.2">
      <c r="A2964" s="14"/>
      <c r="B2964" s="3"/>
      <c r="C2964" s="3"/>
      <c r="D2964" s="3"/>
      <c r="E2964" s="3"/>
      <c r="F2964" s="3"/>
      <c r="G2964" s="3"/>
      <c r="H2964" s="3"/>
      <c r="I2964" s="4"/>
      <c r="U2964" s="12"/>
      <c r="V2964" s="16">
        <v>5.3445</v>
      </c>
      <c r="W2964" s="17">
        <f t="shared" si="46"/>
        <v>3.7435657463724681E-4</v>
      </c>
    </row>
    <row r="2965" spans="1:23" x14ac:dyDescent="0.2">
      <c r="A2965" s="15"/>
      <c r="B2965" s="5"/>
      <c r="C2965" s="5"/>
      <c r="D2965" s="5"/>
      <c r="E2965" s="5"/>
      <c r="F2965" s="5"/>
      <c r="G2965" s="5"/>
      <c r="H2965" s="5"/>
      <c r="I2965" s="6"/>
      <c r="U2965" s="12"/>
      <c r="V2965" s="16">
        <v>5.3228999999999997</v>
      </c>
      <c r="W2965" s="17">
        <f t="shared" si="46"/>
        <v>-4.041538029750269E-3</v>
      </c>
    </row>
    <row r="2966" spans="1:23" x14ac:dyDescent="0.2">
      <c r="A2966" s="14"/>
      <c r="B2966" s="3"/>
      <c r="C2966" s="3"/>
      <c r="D2966" s="3"/>
      <c r="E2966" s="3"/>
      <c r="F2966" s="3"/>
      <c r="G2966" s="3"/>
      <c r="H2966" s="3"/>
      <c r="I2966" s="4"/>
      <c r="U2966" s="12"/>
      <c r="V2966" s="16">
        <v>5.3186</v>
      </c>
      <c r="W2966" s="17">
        <f t="shared" si="46"/>
        <v>-8.0783031805964356E-4</v>
      </c>
    </row>
    <row r="2967" spans="1:23" x14ac:dyDescent="0.2">
      <c r="A2967" s="15"/>
      <c r="B2967" s="5"/>
      <c r="C2967" s="5"/>
      <c r="D2967" s="5"/>
      <c r="E2967" s="5"/>
      <c r="F2967" s="5"/>
      <c r="G2967" s="5"/>
      <c r="H2967" s="5"/>
      <c r="I2967" s="6"/>
      <c r="U2967" s="12"/>
      <c r="V2967" s="16">
        <v>5.3208000000000002</v>
      </c>
      <c r="W2967" s="17">
        <f t="shared" si="46"/>
        <v>4.1364268792554171E-4</v>
      </c>
    </row>
    <row r="2968" spans="1:23" x14ac:dyDescent="0.2">
      <c r="A2968" s="14"/>
      <c r="B2968" s="3"/>
      <c r="C2968" s="3"/>
      <c r="D2968" s="3"/>
      <c r="E2968" s="3"/>
      <c r="F2968" s="3"/>
      <c r="G2968" s="3"/>
      <c r="H2968" s="3"/>
      <c r="I2968" s="4"/>
      <c r="U2968" s="12"/>
      <c r="V2968" s="16">
        <v>5.3449</v>
      </c>
      <c r="W2968" s="17">
        <f t="shared" si="46"/>
        <v>4.5293940760786633E-3</v>
      </c>
    </row>
    <row r="2969" spans="1:23" x14ac:dyDescent="0.2">
      <c r="A2969" s="15"/>
      <c r="B2969" s="5"/>
      <c r="C2969" s="5"/>
      <c r="D2969" s="5"/>
      <c r="E2969" s="5"/>
      <c r="F2969" s="5"/>
      <c r="G2969" s="5"/>
      <c r="H2969" s="5"/>
      <c r="I2969" s="6"/>
      <c r="U2969" s="12"/>
      <c r="V2969" s="16">
        <v>5.3498000000000001</v>
      </c>
      <c r="W2969" s="17">
        <f t="shared" si="46"/>
        <v>9.1676177290511696E-4</v>
      </c>
    </row>
    <row r="2970" spans="1:23" x14ac:dyDescent="0.2">
      <c r="A2970" s="14"/>
      <c r="B2970" s="3"/>
      <c r="C2970" s="3"/>
      <c r="D2970" s="3"/>
      <c r="E2970" s="3"/>
      <c r="F2970" s="3"/>
      <c r="G2970" s="3"/>
      <c r="H2970" s="3"/>
      <c r="I2970" s="4"/>
      <c r="U2970" s="12"/>
      <c r="V2970" s="16">
        <v>5.3226000000000004</v>
      </c>
      <c r="W2970" s="17">
        <f t="shared" si="46"/>
        <v>-5.0843022169052565E-3</v>
      </c>
    </row>
    <row r="2971" spans="1:23" x14ac:dyDescent="0.2">
      <c r="A2971" s="15"/>
      <c r="B2971" s="5"/>
      <c r="C2971" s="5"/>
      <c r="D2971" s="5"/>
      <c r="E2971" s="5"/>
      <c r="F2971" s="5"/>
      <c r="G2971" s="5"/>
      <c r="H2971" s="5"/>
      <c r="I2971" s="6"/>
      <c r="V2971" s="16">
        <v>5.3226000000000004</v>
      </c>
      <c r="W2971" s="17">
        <f t="shared" si="46"/>
        <v>0</v>
      </c>
    </row>
    <row r="2972" spans="1:23" x14ac:dyDescent="0.2">
      <c r="A2972" s="14"/>
      <c r="B2972" s="3"/>
      <c r="C2972" s="3"/>
      <c r="D2972" s="3"/>
      <c r="E2972" s="3"/>
      <c r="F2972" s="3"/>
      <c r="G2972" s="3"/>
      <c r="H2972" s="3"/>
      <c r="I2972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 lauvrs de mello soares</dc:creator>
  <cp:lastModifiedBy>daniel  lauvrs de mello soares</cp:lastModifiedBy>
  <dcterms:created xsi:type="dcterms:W3CDTF">2025-11-02T13:53:49Z</dcterms:created>
  <dcterms:modified xsi:type="dcterms:W3CDTF">2025-11-02T14:10:18Z</dcterms:modified>
</cp:coreProperties>
</file>